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a1b097145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c808ac85e35b4c13"/>
    <x:sheet xmlns:r="http://schemas.openxmlformats.org/officeDocument/2006/relationships" name="Прогоны" sheetId="2" r:id="R1b0fc04cfb7742c1"/>
    <x:sheet xmlns:r="http://schemas.openxmlformats.org/officeDocument/2006/relationships" name="Контроль" sheetId="3" r:id="Rbbdefc50094c4ad8"/>
    <x:sheet xmlns:r="http://schemas.openxmlformats.org/officeDocument/2006/relationships" name="Методика" sheetId="4" r:id="R11bb1e5b90db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0.00"/>
    <x:numFmt numFmtId="202" formatCode="0.0000"/>
    <x:numFmt numFmtId="203" formatCode="#,##0"/>
    <x:numFmt numFmtId="204" formatCode="0.0"/>
    <x:numFmt numFmtId="205" formatCode="+0.00;-0.00;0.00"/>
    <x:numFmt numFmtId="206" formatCode="+0.0%;-0.0%;0.0%"/>
    <x:numFmt numFmtId="207" formatCode="0.000"/>
    <x:numFmt numFmtId="208" formatCode="+0.000;-0.000;0.000"/>
    <x:numFmt numFmtId="209" formatCode="+0.0;-0.0;0.0"/>
    <x:numFmt numFmtId="210" formatCode="0"/>
    <x:numFmt numFmtId="211" formatCode="+0;-0;0"/>
  </x:numFmts>
  <x:fonts count="6">
    <x:font>
      <x:sz val="11"/>
      <x:name val="Carlito"/>
    </x:font>
    <x:font>
      <x:sz val="11"/>
      <x:color rgb="FF263247"/>
      <x:name val="Arial"/>
    </x:font>
    <x:font>
      <x:b/>
      <x:sz val="16"/>
      <x:color rgb="FFFFFFFF"/>
      <x:name val="Arial"/>
    </x:font>
    <x:font>
      <x:sz val="11"/>
      <x:color rgb="FF617083"/>
      <x:name val="Arial"/>
    </x:font>
    <x:font>
      <x:i/>
      <x:sz val="11"/>
      <x:color rgb="FF61708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4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horizontal="center" vertical="center"/>
    </x:xf>
    <x:xf numFmtId="203" fontId="1" fillId="5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horizontal="center" vertical="center"/>
    </x:xf>
    <x:xf numFmtId="204" fontId="1" fillId="5" borderId="0" xfId="0" applyNumberFormat="1" applyFont="1" applyFill="1" applyBorder="1" applyAlignment="1">
      <x:alignment horizontal="center" vertical="center"/>
    </x:xf>
    <x:xf numFmtId="205" fontId="1" fillId="4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7" fontId="1" fillId="5" borderId="0" xfId="0" applyNumberFormat="1" applyFont="1" applyFill="1" applyBorder="1" applyAlignment="1">
      <x:alignment vertical="center"/>
    </x:xf>
    <x:xf numFmtId="208" fontId="1" fillId="5" borderId="0" xfId="0" applyNumberFormat="1" applyFont="1" applyFill="1" applyBorder="1" applyAlignment="1">
      <x:alignment vertical="center"/>
    </x:xf>
    <x:xf numFmtId="206" fontId="1" fillId="5" borderId="0" xfId="0" applyNumberFormat="1" applyFont="1" applyFill="1" applyBorder="1" applyAlignment="1">
      <x:alignment vertical="center"/>
    </x:xf>
    <x:xf numFmtId="209" fontId="1" fillId="5" borderId="0" xfId="0" applyNumberFormat="1" applyFont="1" applyFill="1" applyBorder="1" applyAlignment="1">
      <x:alignment vertical="center"/>
    </x:xf>
    <x:xf numFmtId="210" fontId="1" fillId="4" borderId="0" xfId="0" applyNumberFormat="1" applyFont="1" applyFill="1" applyBorder="1" applyAlignment="1">
      <x:alignment vertical="center"/>
    </x:xf>
    <x:xf numFmtId="211" fontId="1" fillId="4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7" fontId="1" fillId="4" borderId="0" xfId="0" applyNumberFormat="1" applyFont="1" applyFill="1" applyBorder="1" applyAlignment="1">
      <x:alignment vertical="center"/>
    </x:xf>
    <x:xf numFmtId="208" fontId="1" fillId="4" borderId="0" xfId="0" applyNumberFormat="1" applyFont="1" applyFill="1" applyBorder="1" applyAlignment="1">
      <x:alignment vertical="center"/>
    </x:xf>
    <x:xf numFmtId="209" fontId="1" fillId="4" borderId="0" xfId="0" applyNumberFormat="1" applyFont="1" applyFill="1" applyBorder="1" applyAlignment="1">
      <x:alignment vertical="center"/>
    </x:xf>
    <x:xf numFmtId="210" fontId="1" fillId="5" borderId="0" xfId="0" applyNumberFormat="1" applyFont="1" applyFill="1" applyBorder="1" applyAlignment="1">
      <x:alignment vertical="center"/>
    </x:xf>
    <x:xf numFmtId="211" fontId="1" fillId="5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7" fontId="1" fillId="5" borderId="0" xfId="0" applyNumberFormat="1" applyFont="1" applyFill="1" applyBorder="1" applyAlignment="1">
      <x:alignment horizontal="right" vertical="center"/>
    </x:xf>
    <x:xf numFmtId="208" fontId="1" fillId="5" borderId="0" xfId="0" applyNumberFormat="1" applyFont="1" applyFill="1" applyBorder="1" applyAlignment="1">
      <x:alignment horizontal="right" vertical="center"/>
    </x:xf>
    <x:xf numFmtId="206" fontId="1" fillId="5" borderId="0" xfId="0" applyNumberFormat="1" applyFont="1" applyFill="1" applyBorder="1" applyAlignment="1">
      <x:alignment horizontal="right" vertical="center"/>
    </x:xf>
    <x:xf numFmtId="204" fontId="1" fillId="5" borderId="0" xfId="0" applyNumberFormat="1" applyFont="1" applyFill="1" applyBorder="1" applyAlignment="1">
      <x:alignment horizontal="right" vertical="center"/>
    </x:xf>
    <x:xf numFmtId="209" fontId="1" fillId="5" borderId="0" xfId="0" applyNumberFormat="1" applyFont="1" applyFill="1" applyBorder="1" applyAlignment="1">
      <x:alignment horizontal="right" vertical="center"/>
    </x:xf>
    <x:xf numFmtId="210" fontId="1" fillId="4" borderId="0" xfId="0" applyNumberFormat="1" applyFont="1" applyFill="1" applyBorder="1" applyAlignment="1">
      <x:alignment horizontal="right" vertical="center"/>
    </x:xf>
    <x:xf numFmtId="211" fontId="1" fillId="4" borderId="0" xfId="0" applyNumberFormat="1" applyFont="1" applyFill="1" applyBorder="1" applyAlignment="1">
      <x:alignment horizontal="right" vertical="center"/>
    </x:xf>
    <x:xf numFmtId="205" fontId="1" fillId="5" borderId="0" xfId="0" applyNumberFormat="1" applyFont="1" applyFill="1" applyBorder="1" applyAlignment="1">
      <x:alignment horizontal="right" vertical="center"/>
    </x:xf>
    <x:xf numFmtId="207" fontId="1" fillId="4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9" fontId="1" fillId="4" borderId="0" xfId="0" applyNumberFormat="1" applyFont="1" applyFill="1" applyBorder="1" applyAlignment="1">
      <x:alignment horizontal="right" vertical="center"/>
    </x:xf>
    <x:xf numFmtId="210" fontId="1" fillId="5" borderId="0" xfId="0" applyNumberFormat="1" applyFont="1" applyFill="1" applyBorder="1" applyAlignment="1">
      <x:alignment horizontal="right" vertical="center"/>
    </x:xf>
    <x:xf numFmtId="211" fontId="1" fillId="5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204" fontId="1" fillId="4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horizontal="center" vertical="center" wrapText="1"/>
    </x:xf>
    <x:xf numFmtId="204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2"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  <x:dxf>
      <x:font>
        <x:color rgb="FF785313"/>
      </x:font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0469928de4b2f" /><Relationship Type="http://schemas.openxmlformats.org/officeDocument/2006/relationships/theme" Target="/xl/theme/theme1.xml" Id="R0232c0fdf6ea4fcf" /><Relationship Type="http://schemas.openxmlformats.org/officeDocument/2006/relationships/sharedStrings" Target="/xl/sharedStrings.xml" Id="R0dd4ce74562c4f10" /><Relationship Type="http://schemas.openxmlformats.org/officeDocument/2006/relationships/worksheet" Target="/xl/worksheets/sheet1.xml" Id="Rc808ac85e35b4c13" /><Relationship Type="http://schemas.openxmlformats.org/officeDocument/2006/relationships/worksheet" Target="/xl/worksheets/sheet2.xml" Id="R1b0fc04cfb7742c1" /><Relationship Type="http://schemas.openxmlformats.org/officeDocument/2006/relationships/worksheet" Target="/xl/worksheets/sheet3.xml" Id="Rbbdefc50094c4ad8" /><Relationship Type="http://schemas.openxmlformats.org/officeDocument/2006/relationships/worksheet" Target="/xl/worksheets/sheet4.xml" Id="R11bb1e5b90db48b0" /></Relationships>
</file>

<file path=xl/tables/table1.xml><?xml version="1.0" encoding="utf-8"?>
<x:table xmlns:x="http://schemas.openxmlformats.org/spreadsheetml/2006/main" id="2" name="Medians" displayName="Medians" ref="A5:H82" headerRowCount="1" totalsRowCount="0" totalsRowShown="0">
  <x:tableColumns count="8">
    <x:tableColumn id="1" name="Страница"/>
    <x:tableColumn id="2" name="Устройство"/>
    <x:tableColumn id="3" name="Показатель"/>
    <x:tableColumn id="4" name="До"/>
    <x:tableColumn id="5" name="После"/>
    <x:tableColumn id="6" name="Разница"/>
    <x:tableColumn id="7" name="Разница, %"/>
    <x:tableColumn id="8" name="Ед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easurements" displayName="Measurements" ref="A5:O71" headerRowCount="1" totalsRowCount="0" totalsRowShown="0">
  <x:tableColumns count="15">
    <x:tableColumn id="1" name="Страница"/>
    <x:tableColumn id="2" name="Устройство"/>
    <x:tableColumn id="3" name="Этап"/>
    <x:tableColumn id="4" name="Время UTC"/>
    <x:tableColumn id="5" name="LCP, мс"/>
    <x:tableColumn id="6" name="CLS"/>
    <x:tableColumn id="7" name="FCP, мс"/>
    <x:tableColumn id="8" name="TBT, мс"/>
    <x:tableColumn id="9" name="Lighthouse"/>
    <x:tableColumn id="10" name="Байты"/>
    <x:tableColumn id="11" name="Запросы"/>
    <x:tableColumn id="12" name="Адрес"/>
    <x:tableColumn id="13" name="Серия"/>
    <x:tableColumn id="14" name="CPU benchmark"/>
    <x:tableColumn id="15" name="ID прогон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emental" displayName="Supplemental" ref="A5:P80" headerRowCount="1" totalsRowCount="0" totalsRowShown="0">
  <x:tableColumns count="16">
    <x:tableColumn id="1" name="Страница"/>
    <x:tableColumn id="2" name="Устройство"/>
    <x:tableColumn id="3" name="Этап"/>
    <x:tableColumn id="4" name="Время UTC"/>
    <x:tableColumn id="5" name="LCP, мс"/>
    <x:tableColumn id="6" name="CLS"/>
    <x:tableColumn id="7" name="FCP, мс"/>
    <x:tableColumn id="8" name="TBT, мс"/>
    <x:tableColumn id="9" name="Lighthouse"/>
    <x:tableColumn id="10" name="Байты"/>
    <x:tableColumn id="11" name="Запросы"/>
    <x:tableColumn id="12" name="Адрес"/>
    <x:tableColumn id="13" name="Серия"/>
    <x:tableColumn id="14" name="CPU benchmark"/>
    <x:tableColumn id="15" name="ID прогона"/>
    <x:tableColumn id="16" name="Почему не в основной таблиц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191bcb6fc43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bfa8d6e57548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09671e06e7498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0" hidden="0" customWidth="1"/>
  </x:cols>
  <x:sheetData>
    <x:row r="1" ht="36" customHeight="1">
      <x:c r="A1" s="4" t="str">
        <x:v>Скорость сайта: до и после</x:v>
      </x:c>
      <x:c r="B1" s="4"/>
      <x:c r="C1" s="4"/>
      <x:c r="D1" s="4"/>
      <x:c r="E1" s="4"/>
      <x:c r="F1" s="4"/>
      <x:c r="G1" s="4"/>
      <x:c r="H1" s="4"/>
    </x:row>
    <x:row r="2" ht="28" customHeight="1">
      <x:c r="A2" s="5" t="str">
        <x:v>Клиника «Кожа». kozhaclinic.ru. 16 октября 2026</x:v>
      </x:c>
      <x:c r="B2" s="2"/>
      <x:c r="C2" s="2"/>
      <x:c r="D2" s="2"/>
      <x:c r="E2" s="2"/>
      <x:c r="F2" s="2"/>
      <x:c r="G2" s="2"/>
      <x:c r="H2" s="2"/>
    </x:row>
    <x:row r="3" ht="38" customHeight="1">
      <x:c r="A3" s="7" t="str">
        <x:v>В таблице медианы трёх прогонов. LCP, FCP, CLS, TBT, объём и запросы: меньше лучше. Балл: больше лучше.</x:v>
      </x:c>
      <x:c r="B3" s="8"/>
      <x:c r="C3" s="8"/>
      <x:c r="D3" s="8"/>
      <x:c r="E3" s="8"/>
      <x:c r="F3" s="8"/>
      <x:c r="G3" s="8"/>
      <x:c r="H3" s="8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12" t="str">
        <x:v>Страница</x:v>
      </x:c>
      <x:c r="B5" s="12" t="str">
        <x:v>Устройство</x:v>
      </x:c>
      <x:c r="C5" s="12" t="str">
        <x:v>Показатель</x:v>
      </x:c>
      <x:c r="D5" s="12" t="str">
        <x:v>До</x:v>
      </x:c>
      <x:c r="E5" s="12" t="str">
        <x:v>После</x:v>
      </x:c>
      <x:c r="F5" s="12" t="str">
        <x:v>Разница</x:v>
      </x:c>
      <x:c r="G5" s="12" t="str">
        <x:v>Разница, %</x:v>
      </x:c>
      <x:c r="H5" s="12" t="str">
        <x:v>Ед.</x:v>
      </x:c>
    </x:row>
    <x:row r="6" ht="28" customHeight="1">
      <x:c r="A6" s="13" t="str">
        <x:v>Главная *</x:v>
      </x:c>
      <x:c r="B6" s="13" t="str">
        <x:v>Смартфон</x:v>
      </x:c>
      <x:c r="C6" s="13" t="str">
        <x:v>LCP: основное содержимое</x:v>
      </x:c>
      <x:c r="D6" s="26" t="n">
        <x:f>MEDIAN('Прогоны'!E6:E8)/1000</x:f>
        <x:v>4.820475</x:v>
      </x:c>
      <x:c r="E6" s="26" t="n">
        <x:f>MEDIAN('Прогоны'!E39:E41)/1000</x:f>
        <x:v>3.8723316000000003</x:v>
      </x:c>
      <x:c r="F6" s="53" t="n">
        <x:f>E6-D6</x:f>
        <x:v>-0.9481433999999997</x:v>
      </x:c>
      <x:c r="G6" s="54" t="n">
        <x:f>IF(D6=0,"н/п",F6/D6)</x:f>
        <x:v>-0.19669086552673745</x:v>
      </x:c>
      <x:c r="H6" s="69" t="str">
        <x:v>с</x:v>
      </x:c>
    </x:row>
    <x:row r="7" ht="28" customHeight="1">
      <x:c r="A7" s="14" t="str">
        <x:v>Главная *</x:v>
      </x:c>
      <x:c r="B7" s="14" t="str">
        <x:v>Смартфон</x:v>
      </x:c>
      <x:c r="C7" s="14" t="str">
        <x:v>CLS: сдвиги вёрстки</x:v>
      </x:c>
      <x:c r="D7" s="55" t="n">
        <x:f>MEDIAN('Прогоны'!F6:F8)/1</x:f>
        <x:v>0.1603888213851762</x:v>
      </x:c>
      <x:c r="E7" s="55" t="n">
        <x:f>MEDIAN('Прогоны'!F39:F41)/1</x:f>
        <x:v>0.0043293412056985055</x:v>
      </x:c>
      <x:c r="F7" s="56" t="n">
        <x:f>E7-D7</x:f>
        <x:v>-0.1560594801794777</x:v>
      </x:c>
      <x:c r="G7" s="57"/>
      <x:c r="H7" s="70" t="str"/>
    </x:row>
    <x:row r="8" ht="28" customHeight="1">
      <x:c r="A8" s="13" t="str">
        <x:v>Главная *</x:v>
      </x:c>
      <x:c r="B8" s="13" t="str">
        <x:v>Смартфон</x:v>
      </x:c>
      <x:c r="C8" s="13" t="str">
        <x:v>FCP: первая отрисовка</x:v>
      </x:c>
      <x:c r="D8" s="26" t="n">
        <x:f>MEDIAN('Прогоны'!G6:G8)/1000</x:f>
        <x:v>4.420427500000001</x:v>
      </x:c>
      <x:c r="E8" s="26" t="n">
        <x:f>MEDIAN('Прогоны'!G39:G41)/1000</x:f>
        <x:v>3.4347901500000004</x:v>
      </x:c>
      <x:c r="F8" s="53" t="n">
        <x:f>E8-D8</x:f>
        <x:v>-0.9856373500000002</x:v>
      </x:c>
      <x:c r="G8" s="54" t="n">
        <x:f>IF(D8=0,"н/п",F8/D8)</x:f>
        <x:v>-0.22297330970816737</x:v>
      </x:c>
      <x:c r="H8" s="69" t="str">
        <x:v>с</x:v>
      </x:c>
    </x:row>
    <x:row r="9" ht="28" customHeight="1">
      <x:c r="A9" s="14" t="str">
        <x:v>Главная *</x:v>
      </x:c>
      <x:c r="B9" s="14" t="str">
        <x:v>Смартфон</x:v>
      </x:c>
      <x:c r="C9" s="14" t="str">
        <x:v>TBT: блокировка потока</x:v>
      </x:c>
      <x:c r="D9" s="58" t="n">
        <x:f>MEDIAN('Прогоны'!H6:H8)/1</x:f>
        <x:v>178</x:v>
      </x:c>
      <x:c r="E9" s="58" t="n">
        <x:f>MEDIAN('Прогоны'!H39:H41)/1</x:f>
        <x:v>180.5</x:v>
      </x:c>
      <x:c r="F9" s="59" t="n">
        <x:f>E9-D9</x:f>
        <x:v>2.5</x:v>
      </x:c>
      <x:c r="G9" s="57" t="n">
        <x:f>IF(D9=0,"н/п",F9/D9)</x:f>
        <x:v>0.014044943820224719</x:v>
      </x:c>
      <x:c r="H9" s="70" t="str">
        <x:v>мс</x:v>
      </x:c>
    </x:row>
    <x:row r="10" ht="28" customHeight="1">
      <x:c r="A10" s="13" t="str">
        <x:v>Главная *</x:v>
      </x:c>
      <x:c r="B10" s="13" t="str">
        <x:v>Смартфон</x:v>
      </x:c>
      <x:c r="C10" s="13" t="str">
        <x:v>Балл Lighthouse</x:v>
      </x:c>
      <x:c r="D10" s="60" t="n">
        <x:f>MEDIAN('Прогоны'!I6:I8)/1</x:f>
        <x:v>56</x:v>
      </x:c>
      <x:c r="E10" s="60" t="n">
        <x:f>MEDIAN('Прогоны'!I39:I41)/1</x:f>
        <x:v>70</x:v>
      </x:c>
      <x:c r="F10" s="61" t="n">
        <x:f>E10-D10</x:f>
        <x:v>14</x:v>
      </x:c>
      <x:c r="G10" s="54"/>
      <x:c r="H10" s="69" t="str">
        <x:v>балл</x:v>
      </x:c>
    </x:row>
    <x:row r="11" ht="28" customHeight="1">
      <x:c r="A11" s="14" t="str">
        <x:v>Главная *</x:v>
      </x:c>
      <x:c r="B11" s="14" t="str">
        <x:v>Смартфон</x:v>
      </x:c>
      <x:c r="C11" s="14" t="str">
        <x:v>Переданный объём</x:v>
      </x:c>
      <x:c r="D11" s="30" t="n">
        <x:f>MEDIAN('Прогоны'!J6:J8)/1000000</x:f>
        <x:v>4.607915</x:v>
      </x:c>
      <x:c r="E11" s="30" t="n">
        <x:f>MEDIAN('Прогоны'!J39:J41)/1000000</x:f>
        <x:v>1.791908</x:v>
      </x:c>
      <x:c r="F11" s="62" t="n">
        <x:f>E11-D11</x:f>
        <x:v>-2.816007</x:v>
      </x:c>
      <x:c r="G11" s="57" t="n">
        <x:f>IF(D11=0,"н/п",F11/D11)</x:f>
        <x:v>-0.6111239031101918</x:v>
      </x:c>
      <x:c r="H11" s="70" t="str">
        <x:v>МБ</x:v>
      </x:c>
    </x:row>
    <x:row r="12" ht="28" customHeight="1">
      <x:c r="A12" s="13" t="str">
        <x:v>Главная *</x:v>
      </x:c>
      <x:c r="B12" s="13" t="str">
        <x:v>Смартфон</x:v>
      </x:c>
      <x:c r="C12" s="13" t="str">
        <x:v>Количество запросов</x:v>
      </x:c>
      <x:c r="D12" s="60" t="n">
        <x:f>MEDIAN('Прогоны'!K6:K8)/1</x:f>
        <x:v>157</x:v>
      </x:c>
      <x:c r="E12" s="60" t="n">
        <x:f>MEDIAN('Прогоны'!K39:K41)/1</x:f>
        <x:v>79</x:v>
      </x:c>
      <x:c r="F12" s="61" t="n">
        <x:f>E12-D12</x:f>
        <x:v>-78</x:v>
      </x:c>
      <x:c r="G12" s="54" t="n">
        <x:f>IF(D12=0,"н/п",F12/D12)</x:f>
        <x:v>-0.4968152866242038</x:v>
      </x:c>
      <x:c r="H12" s="69" t="str">
        <x:v>шт.</x:v>
      </x:c>
    </x:row>
    <x:row r="13" ht="28" customHeight="1">
      <x:c r="A13" s="14" t="str">
        <x:v>Главная</x:v>
      </x:c>
      <x:c r="B13" s="14" t="str">
        <x:v>Компьютер</x:v>
      </x:c>
      <x:c r="C13" s="14" t="str">
        <x:v>LCP: основное содержимое</x:v>
      </x:c>
      <x:c r="D13" s="30" t="n">
        <x:f>MEDIAN('Прогоны'!E9:E11)/1000</x:f>
        <x:v>2.6563936</x:v>
      </x:c>
      <x:c r="E13" s="30" t="n">
        <x:f>MEDIAN('Прогоны'!E42:E44)/1000</x:f>
        <x:v>2.4833178</x:v>
      </x:c>
      <x:c r="F13" s="62" t="n">
        <x:f>E13-D13</x:f>
        <x:v>-0.1730757999999999</x:v>
      </x:c>
      <x:c r="G13" s="57" t="n">
        <x:f>IF(D13=0,"н/п",F13/D13)</x:f>
        <x:v>-0.0651544259103771</x:v>
      </x:c>
      <x:c r="H13" s="70" t="str">
        <x:v>с</x:v>
      </x:c>
    </x:row>
    <x:row r="14" ht="28" customHeight="1">
      <x:c r="A14" s="13" t="str">
        <x:v>Главная</x:v>
      </x:c>
      <x:c r="B14" s="13" t="str">
        <x:v>Компьютер</x:v>
      </x:c>
      <x:c r="C14" s="13" t="str">
        <x:v>CLS: сдвиги вёрстки</x:v>
      </x:c>
      <x:c r="D14" s="63" t="n">
        <x:f>MEDIAN('Прогоны'!F9:F11)/1</x:f>
        <x:v>0.1033707865168539</x:v>
      </x:c>
      <x:c r="E14" s="63" t="n">
        <x:f>MEDIAN('Прогоны'!F42:F44)/1</x:f>
        <x:v>0.007565310275853485</x:v>
      </x:c>
      <x:c r="F14" s="64" t="n">
        <x:f>E14-D14</x:f>
        <x:v>-0.09580547624100041</x:v>
      </x:c>
      <x:c r="G14" s="54"/>
      <x:c r="H14" s="69" t="str"/>
    </x:row>
    <x:row r="15" ht="28" customHeight="1">
      <x:c r="A15" s="14" t="str">
        <x:v>Главная</x:v>
      </x:c>
      <x:c r="B15" s="14" t="str">
        <x:v>Компьютер</x:v>
      </x:c>
      <x:c r="C15" s="14" t="str">
        <x:v>FCP: первая отрисовка</x:v>
      </x:c>
      <x:c r="D15" s="30" t="n">
        <x:f>MEDIAN('Прогоны'!G9:G11)/1000</x:f>
        <x:v>2.6563936</x:v>
      </x:c>
      <x:c r="E15" s="30" t="n">
        <x:f>MEDIAN('Прогоны'!G42:G44)/1000</x:f>
        <x:v>2.4833178</x:v>
      </x:c>
      <x:c r="F15" s="62" t="n">
        <x:f>E15-D15</x:f>
        <x:v>-0.1730757999999999</x:v>
      </x:c>
      <x:c r="G15" s="57" t="n">
        <x:f>IF(D15=0,"н/п",F15/D15)</x:f>
        <x:v>-0.0651544259103771</x:v>
      </x:c>
      <x:c r="H15" s="70" t="str">
        <x:v>с</x:v>
      </x:c>
    </x:row>
    <x:row r="16" ht="28" customHeight="1">
      <x:c r="A16" s="13" t="str">
        <x:v>Главная</x:v>
      </x:c>
      <x:c r="B16" s="13" t="str">
        <x:v>Компьютер</x:v>
      </x:c>
      <x:c r="C16" s="13" t="str">
        <x:v>TBT: блокировка потока</x:v>
      </x:c>
      <x:c r="D16" s="65" t="n">
        <x:f>MEDIAN('Прогоны'!H9:H11)/1</x:f>
        <x:v>0</x:v>
      </x:c>
      <x:c r="E16" s="65" t="n">
        <x:f>MEDIAN('Прогоны'!H42:H44)/1</x:f>
        <x:v>0</x:v>
      </x:c>
      <x:c r="F16" s="66" t="n">
        <x:f>E16-D16</x:f>
        <x:v>0</x:v>
      </x:c>
      <x:c r="G16" s="54" t="str">
        <x:f>IF(D16=0,"н/п",F16/D16)</x:f>
        <x:v>н/п</x:v>
      </x:c>
      <x:c r="H16" s="69" t="str">
        <x:v>мс</x:v>
      </x:c>
    </x:row>
    <x:row r="17" ht="28" customHeight="1">
      <x:c r="A17" s="14" t="str">
        <x:v>Главная</x:v>
      </x:c>
      <x:c r="B17" s="14" t="str">
        <x:v>Компьютер</x:v>
      </x:c>
      <x:c r="C17" s="14" t="str">
        <x:v>Балл Lighthouse</x:v>
      </x:c>
      <x:c r="D17" s="67" t="n">
        <x:f>MEDIAN('Прогоны'!I9:I11)/1</x:f>
        <x:v>64</x:v>
      </x:c>
      <x:c r="E17" s="67" t="n">
        <x:f>MEDIAN('Прогоны'!I42:I44)/1</x:f>
        <x:v>68</x:v>
      </x:c>
      <x:c r="F17" s="68" t="n">
        <x:f>E17-D17</x:f>
        <x:v>4</x:v>
      </x:c>
      <x:c r="G17" s="57"/>
      <x:c r="H17" s="70" t="str">
        <x:v>балл</x:v>
      </x:c>
    </x:row>
    <x:row r="18" ht="28" customHeight="1">
      <x:c r="A18" s="13" t="str">
        <x:v>Главная</x:v>
      </x:c>
      <x:c r="B18" s="13" t="str">
        <x:v>Компьютер</x:v>
      </x:c>
      <x:c r="C18" s="13" t="str">
        <x:v>Переданный объём</x:v>
      </x:c>
      <x:c r="D18" s="26" t="n">
        <x:f>MEDIAN('Прогоны'!J9:J11)/1000000</x:f>
        <x:v>5.797704</x:v>
      </x:c>
      <x:c r="E18" s="26" t="n">
        <x:f>MEDIAN('Прогоны'!J42:J44)/1000000</x:f>
        <x:v>2.981222</x:v>
      </x:c>
      <x:c r="F18" s="53" t="n">
        <x:f>E18-D18</x:f>
        <x:v>-2.8164820000000006</x:v>
      </x:c>
      <x:c r="G18" s="54" t="n">
        <x:f>IF(D18=0,"н/п",F18/D18)</x:f>
        <x:v>-0.48579265171178115</x:v>
      </x:c>
      <x:c r="H18" s="69" t="str">
        <x:v>МБ</x:v>
      </x:c>
    </x:row>
    <x:row r="19" ht="28" customHeight="1">
      <x:c r="A19" s="14" t="str">
        <x:v>Главная</x:v>
      </x:c>
      <x:c r="B19" s="14" t="str">
        <x:v>Компьютер</x:v>
      </x:c>
      <x:c r="C19" s="14" t="str">
        <x:v>Количество запросов</x:v>
      </x:c>
      <x:c r="D19" s="67" t="n">
        <x:f>MEDIAN('Прогоны'!K9:K11)/1</x:f>
        <x:v>163</x:v>
      </x:c>
      <x:c r="E19" s="67" t="n">
        <x:f>MEDIAN('Прогоны'!K42:K44)/1</x:f>
        <x:v>85</x:v>
      </x:c>
      <x:c r="F19" s="68" t="n">
        <x:f>E19-D19</x:f>
        <x:v>-78</x:v>
      </x:c>
      <x:c r="G19" s="57" t="n">
        <x:f>IF(D19=0,"н/п",F19/D19)</x:f>
        <x:v>-0.4785276073619632</x:v>
      </x:c>
      <x:c r="H19" s="70" t="str">
        <x:v>шт.</x:v>
      </x:c>
    </x:row>
    <x:row r="20" ht="28" customHeight="1">
      <x:c r="A20" s="13" t="str">
        <x:v>Каталог услуг *</x:v>
      </x:c>
      <x:c r="B20" s="13" t="str">
        <x:v>Смартфон</x:v>
      </x:c>
      <x:c r="C20" s="13" t="str">
        <x:v>LCP: основное содержимое</x:v>
      </x:c>
      <x:c r="D20" s="26" t="n">
        <x:f>MEDIAN('Прогоны'!E12:E14)/1000</x:f>
        <x:v>4.250996069999999</x:v>
      </x:c>
      <x:c r="E20" s="26" t="n">
        <x:f>MEDIAN('Прогоны'!E45:E47)/1000</x:f>
        <x:v>4.140343380000001</x:v>
      </x:c>
      <x:c r="F20" s="53" t="n">
        <x:f>E20-D20</x:f>
        <x:v>-0.11065268999999844</x:v>
      </x:c>
      <x:c r="G20" s="54" t="n">
        <x:f>IF(D20=0,"н/п",F20/D20)</x:f>
        <x:v>-0.02602982646370653</x:v>
      </x:c>
      <x:c r="H20" s="69" t="str">
        <x:v>с</x:v>
      </x:c>
    </x:row>
    <x:row r="21" ht="28" customHeight="1">
      <x:c r="A21" s="14" t="str">
        <x:v>Каталог услуг *</x:v>
      </x:c>
      <x:c r="B21" s="14" t="str">
        <x:v>Смартфон</x:v>
      </x:c>
      <x:c r="C21" s="14" t="str">
        <x:v>CLS: сдвиги вёрстки</x:v>
      </x:c>
      <x:c r="D21" s="55" t="n">
        <x:f>MEDIAN('Прогоны'!F12:F14)/1</x:f>
        <x:v>0.1603888213851762</x:v>
      </x:c>
      <x:c r="E21" s="55" t="n">
        <x:f>MEDIAN('Прогоны'!F45:F47)/1</x:f>
        <x:v>0.004330143901759635</x:v>
      </x:c>
      <x:c r="F21" s="56" t="n">
        <x:f>E21-D21</x:f>
        <x:v>-0.15605867748341656</x:v>
      </x:c>
      <x:c r="G21" s="57"/>
      <x:c r="H21" s="70" t="str"/>
    </x:row>
    <x:row r="22" ht="28" customHeight="1">
      <x:c r="A22" s="13" t="str">
        <x:v>Каталог услуг *</x:v>
      </x:c>
      <x:c r="B22" s="13" t="str">
        <x:v>Смартфон</x:v>
      </x:c>
      <x:c r="C22" s="13" t="str">
        <x:v>FCP: первая отрисовка</x:v>
      </x:c>
      <x:c r="D22" s="26" t="n">
        <x:f>MEDIAN('Прогоны'!G12:G14)/1000</x:f>
        <x:v>4.011085799999999</x:v>
      </x:c>
      <x:c r="E22" s="26" t="n">
        <x:f>MEDIAN('Прогоны'!G45:G47)/1000</x:f>
        <x:v>3.692322020000001</x:v>
      </x:c>
      <x:c r="F22" s="53" t="n">
        <x:f>E22-D22</x:f>
        <x:v>-0.31876377999999805</x:v>
      </x:c>
      <x:c r="G22" s="54" t="n">
        <x:f>IF(D22=0,"н/п",F22/D22)</x:f>
        <x:v>-0.07947069593973735</x:v>
      </x:c>
      <x:c r="H22" s="69" t="str">
        <x:v>с</x:v>
      </x:c>
    </x:row>
    <x:row r="23" ht="28" customHeight="1">
      <x:c r="A23" s="14" t="str">
        <x:v>Каталог услуг *</x:v>
      </x:c>
      <x:c r="B23" s="14" t="str">
        <x:v>Смартфон</x:v>
      </x:c>
      <x:c r="C23" s="14" t="str">
        <x:v>TBT: блокировка потока</x:v>
      </x:c>
      <x:c r="D23" s="58" t="n">
        <x:f>MEDIAN('Прогоны'!H12:H14)/1</x:f>
        <x:v>147</x:v>
      </x:c>
      <x:c r="E23" s="58" t="n">
        <x:f>MEDIAN('Прогоны'!H45:H47)/1</x:f>
        <x:v>154.5</x:v>
      </x:c>
      <x:c r="F23" s="59" t="n">
        <x:f>E23-D23</x:f>
        <x:v>7.5</x:v>
      </x:c>
      <x:c r="G23" s="57" t="n">
        <x:f>IF(D23=0,"н/п",F23/D23)</x:f>
        <x:v>0.05102040816326531</x:v>
      </x:c>
      <x:c r="H23" s="70" t="str">
        <x:v>мс</x:v>
      </x:c>
    </x:row>
    <x:row r="24" ht="28" customHeight="1">
      <x:c r="A24" s="13" t="str">
        <x:v>Каталог услуг *</x:v>
      </x:c>
      <x:c r="B24" s="13" t="str">
        <x:v>Смартфон</x:v>
      </x:c>
      <x:c r="C24" s="13" t="str">
        <x:v>Балл Lighthouse</x:v>
      </x:c>
      <x:c r="D24" s="60" t="n">
        <x:f>MEDIAN('Прогоны'!I12:I14)/1</x:f>
        <x:v>63</x:v>
      </x:c>
      <x:c r="E24" s="60" t="n">
        <x:f>MEDIAN('Прогоны'!I45:I47)/1</x:f>
        <x:v>71</x:v>
      </x:c>
      <x:c r="F24" s="61" t="n">
        <x:f>E24-D24</x:f>
        <x:v>8</x:v>
      </x:c>
      <x:c r="G24" s="54"/>
      <x:c r="H24" s="69" t="str">
        <x:v>балл</x:v>
      </x:c>
    </x:row>
    <x:row r="25" ht="28" customHeight="1">
      <x:c r="A25" s="14" t="str">
        <x:v>Каталог услуг *</x:v>
      </x:c>
      <x:c r="B25" s="14" t="str">
        <x:v>Смартфон</x:v>
      </x:c>
      <x:c r="C25" s="14" t="str">
        <x:v>Переданный объём</x:v>
      </x:c>
      <x:c r="D25" s="30" t="n">
        <x:f>MEDIAN('Прогоны'!J12:J14)/1000000</x:f>
        <x:v>2.170523</x:v>
      </x:c>
      <x:c r="E25" s="30" t="n">
        <x:f>MEDIAN('Прогоны'!J45:J47)/1000000</x:f>
        <x:v>1.653379</x:v>
      </x:c>
      <x:c r="F25" s="62" t="n">
        <x:f>E25-D25</x:f>
        <x:v>-0.5171440000000003</x:v>
      </x:c>
      <x:c r="G25" s="57" t="n">
        <x:f>IF(D25=0,"н/п",F25/D25)</x:f>
        <x:v>-0.2382577839534528</x:v>
      </x:c>
      <x:c r="H25" s="70" t="str">
        <x:v>МБ</x:v>
      </x:c>
    </x:row>
    <x:row r="26" ht="28" customHeight="1">
      <x:c r="A26" s="13" t="str">
        <x:v>Каталог услуг *</x:v>
      </x:c>
      <x:c r="B26" s="13" t="str">
        <x:v>Смартфон</x:v>
      </x:c>
      <x:c r="C26" s="13" t="str">
        <x:v>Количество запросов</x:v>
      </x:c>
      <x:c r="D26" s="60" t="n">
        <x:f>MEDIAN('Прогоны'!K12:K14)/1</x:f>
        <x:v>69</x:v>
      </x:c>
      <x:c r="E26" s="60" t="n">
        <x:f>MEDIAN('Прогоны'!K45:K47)/1</x:f>
        <x:v>72</x:v>
      </x:c>
      <x:c r="F26" s="61" t="n">
        <x:f>E26-D26</x:f>
        <x:v>3</x:v>
      </x:c>
      <x:c r="G26" s="54" t="n">
        <x:f>IF(D26=0,"н/п",F26/D26)</x:f>
        <x:v>0.043478260869565216</x:v>
      </x:c>
      <x:c r="H26" s="69" t="str">
        <x:v>шт.</x:v>
      </x:c>
    </x:row>
    <x:row r="27" ht="28" customHeight="1">
      <x:c r="A27" s="14" t="str">
        <x:v>Аппаратная косметология</x:v>
      </x:c>
      <x:c r="B27" s="14" t="str">
        <x:v>Смартфон</x:v>
      </x:c>
      <x:c r="C27" s="14" t="str">
        <x:v>LCP: основное содержимое</x:v>
      </x:c>
      <x:c r="D27" s="30" t="n">
        <x:f>MEDIAN('Прогоны'!E15:E17)/1000</x:f>
        <x:v>4.403006400000001</x:v>
      </x:c>
      <x:c r="E27" s="30" t="n">
        <x:f>MEDIAN('Прогоны'!E48:E50)/1000</x:f>
        <x:v>4.2061258</x:v>
      </x:c>
      <x:c r="F27" s="62" t="n">
        <x:f>E27-D27</x:f>
        <x:v>-0.19688060000000096</x:v>
      </x:c>
      <x:c r="G27" s="57" t="n">
        <x:f>IF(D27=0,"н/п",F27/D27)</x:f>
        <x:v>-0.04471503834289247</x:v>
      </x:c>
      <x:c r="H27" s="70" t="str">
        <x:v>с</x:v>
      </x:c>
    </x:row>
    <x:row r="28" ht="28" customHeight="1">
      <x:c r="A28" s="13" t="str">
        <x:v>Аппаратная косметология</x:v>
      </x:c>
      <x:c r="B28" s="13" t="str">
        <x:v>Смартфон</x:v>
      </x:c>
      <x:c r="C28" s="13" t="str">
        <x:v>CLS: сдвиги вёрстки</x:v>
      </x:c>
      <x:c r="D28" s="63" t="n">
        <x:f>MEDIAN('Прогоны'!F15:F17)/1</x:f>
        <x:v>0.02562487633015875</x:v>
      </x:c>
      <x:c r="E28" s="63" t="n">
        <x:f>MEDIAN('Прогоны'!F48:F50)/1</x:f>
        <x:v>0.004330143901759635</x:v>
      </x:c>
      <x:c r="F28" s="64" t="n">
        <x:f>E28-D28</x:f>
        <x:v>-0.021294732428399115</x:v>
      </x:c>
      <x:c r="G28" s="54"/>
      <x:c r="H28" s="69" t="str"/>
    </x:row>
    <x:row r="29" ht="28" customHeight="1">
      <x:c r="A29" s="14" t="str">
        <x:v>Аппаратная косметология</x:v>
      </x:c>
      <x:c r="B29" s="14" t="str">
        <x:v>Смартфон</x:v>
      </x:c>
      <x:c r="C29" s="14" t="str">
        <x:v>FCP: первая отрисовка</x:v>
      </x:c>
      <x:c r="D29" s="30" t="n">
        <x:f>MEDIAN('Прогоны'!G15:G17)/1000</x:f>
        <x:v>4.0998296</x:v>
      </x:c>
      <x:c r="E29" s="30" t="n">
        <x:f>MEDIAN('Прогоны'!G48:G50)/1000</x:f>
        <x:v>3.625432</x:v>
      </x:c>
      <x:c r="F29" s="62" t="n">
        <x:f>E29-D29</x:f>
        <x:v>-0.47439759999999964</x:v>
      </x:c>
      <x:c r="G29" s="57" t="n">
        <x:f>IF(D29=0,"н/п",F29/D29)</x:f>
        <x:v>-0.11571154079184161</x:v>
      </x:c>
      <x:c r="H29" s="70" t="str">
        <x:v>с</x:v>
      </x:c>
    </x:row>
    <x:row r="30" ht="28" customHeight="1">
      <x:c r="A30" s="13" t="str">
        <x:v>Аппаратная косметология</x:v>
      </x:c>
      <x:c r="B30" s="13" t="str">
        <x:v>Смартфон</x:v>
      </x:c>
      <x:c r="C30" s="13" t="str">
        <x:v>TBT: блокировка потока</x:v>
      </x:c>
      <x:c r="D30" s="65" t="n">
        <x:f>MEDIAN('Прогоны'!H15:H17)/1</x:f>
        <x:v>256</x:v>
      </x:c>
      <x:c r="E30" s="65" t="n">
        <x:f>MEDIAN('Прогоны'!H48:H50)/1</x:f>
        <x:v>157.5</x:v>
      </x:c>
      <x:c r="F30" s="66" t="n">
        <x:f>E30-D30</x:f>
        <x:v>-98.5</x:v>
      </x:c>
      <x:c r="G30" s="54" t="n">
        <x:f>IF(D30=0,"н/п",F30/D30)</x:f>
        <x:v>-0.384765625</x:v>
      </x:c>
      <x:c r="H30" s="69" t="str">
        <x:v>мс</x:v>
      </x:c>
    </x:row>
    <x:row r="31" ht="28" customHeight="1">
      <x:c r="A31" s="14" t="str">
        <x:v>Аппаратная косметология</x:v>
      </x:c>
      <x:c r="B31" s="14" t="str">
        <x:v>Смартфон</x:v>
      </x:c>
      <x:c r="C31" s="14" t="str">
        <x:v>Балл Lighthouse</x:v>
      </x:c>
      <x:c r="D31" s="67" t="n">
        <x:f>MEDIAN('Прогоны'!I15:I17)/1</x:f>
        <x:v>63</x:v>
      </x:c>
      <x:c r="E31" s="67" t="n">
        <x:f>MEDIAN('Прогоны'!I48:I50)/1</x:f>
        <x:v>69</x:v>
      </x:c>
      <x:c r="F31" s="68" t="n">
        <x:f>E31-D31</x:f>
        <x:v>6</x:v>
      </x:c>
      <x:c r="G31" s="57"/>
      <x:c r="H31" s="70" t="str">
        <x:v>балл</x:v>
      </x:c>
    </x:row>
    <x:row r="32" ht="28" customHeight="1">
      <x:c r="A32" s="13" t="str">
        <x:v>Аппаратная косметология</x:v>
      </x:c>
      <x:c r="B32" s="13" t="str">
        <x:v>Смартфон</x:v>
      </x:c>
      <x:c r="C32" s="13" t="str">
        <x:v>Переданный объём</x:v>
      </x:c>
      <x:c r="D32" s="26" t="n">
        <x:f>MEDIAN('Прогоны'!J15:J17)/1000000</x:f>
        <x:v>1.25591</x:v>
      </x:c>
      <x:c r="E32" s="26" t="n">
        <x:f>MEDIAN('Прогоны'!J48:J50)/1000000</x:f>
        <x:v>1.245547</x:v>
      </x:c>
      <x:c r="F32" s="53" t="n">
        <x:f>E32-D32</x:f>
        <x:v>-0.010363000000000122</x:v>
      </x:c>
      <x:c r="G32" s="54" t="n">
        <x:f>IF(D32=0,"н/п",F32/D32)</x:f>
        <x:v>-0.008251387440182912</x:v>
      </x:c>
      <x:c r="H32" s="69" t="str">
        <x:v>МБ</x:v>
      </x:c>
    </x:row>
    <x:row r="33" ht="28" customHeight="1">
      <x:c r="A33" s="14" t="str">
        <x:v>Аппаратная косметология</x:v>
      </x:c>
      <x:c r="B33" s="14" t="str">
        <x:v>Смартфон</x:v>
      </x:c>
      <x:c r="C33" s="14" t="str">
        <x:v>Количество запросов</x:v>
      </x:c>
      <x:c r="D33" s="67" t="n">
        <x:f>MEDIAN('Прогоны'!K15:K17)/1</x:f>
        <x:v>65</x:v>
      </x:c>
      <x:c r="E33" s="67" t="n">
        <x:f>MEDIAN('Прогоны'!K48:K50)/1</x:f>
        <x:v>68</x:v>
      </x:c>
      <x:c r="F33" s="68" t="n">
        <x:f>E33-D33</x:f>
        <x:v>3</x:v>
      </x:c>
      <x:c r="G33" s="57" t="n">
        <x:f>IF(D33=0,"н/п",F33/D33)</x:f>
        <x:v>0.046153846153846156</x:v>
      </x:c>
      <x:c r="H33" s="70" t="str">
        <x:v>шт.</x:v>
      </x:c>
    </x:row>
    <x:row r="34" ht="28" customHeight="1">
      <x:c r="A34" s="13" t="str">
        <x:v>Morpheus 8</x:v>
      </x:c>
      <x:c r="B34" s="13" t="str">
        <x:v>Смартфон</x:v>
      </x:c>
      <x:c r="C34" s="13" t="str">
        <x:v>LCP: основное содержимое</x:v>
      </x:c>
      <x:c r="D34" s="26" t="n">
        <x:f>MEDIAN('Прогоны'!E18:E20)/1000</x:f>
        <x:v>4.408981699999999</x:v>
      </x:c>
      <x:c r="E34" s="26" t="n">
        <x:f>MEDIAN('Прогоны'!E51:E53)/1000</x:f>
        <x:v>4.1079452</x:v>
      </x:c>
      <x:c r="F34" s="53" t="n">
        <x:f>E34-D34</x:f>
        <x:v>-0.3010364999999995</x:v>
      </x:c>
      <x:c r="G34" s="54" t="n">
        <x:f>IF(D34=0,"н/п",F34/D34)</x:f>
        <x:v>-0.06827801077060482</x:v>
      </x:c>
      <x:c r="H34" s="69" t="str">
        <x:v>с</x:v>
      </x:c>
    </x:row>
    <x:row r="35" ht="28" customHeight="1">
      <x:c r="A35" s="14" t="str">
        <x:v>Morpheus 8</x:v>
      </x:c>
      <x:c r="B35" s="14" t="str">
        <x:v>Смартфон</x:v>
      </x:c>
      <x:c r="C35" s="14" t="str">
        <x:v>CLS: сдвиги вёрстки</x:v>
      </x:c>
      <x:c r="D35" s="55" t="n">
        <x:f>MEDIAN('Прогоны'!F18:F20)/1</x:f>
        <x:v>0.00444062659343231</x:v>
      </x:c>
      <x:c r="E35" s="55" t="n">
        <x:f>MEDIAN('Прогоны'!F51:F53)/1</x:f>
        <x:v>0.0043293412056985055</x:v>
      </x:c>
      <x:c r="F35" s="56" t="n">
        <x:f>E35-D35</x:f>
        <x:v>-0.0001112853877338043</x:v>
      </x:c>
      <x:c r="G35" s="57"/>
      <x:c r="H35" s="70" t="str"/>
    </x:row>
    <x:row r="36" ht="28" customHeight="1">
      <x:c r="A36" s="13" t="str">
        <x:v>Morpheus 8</x:v>
      </x:c>
      <x:c r="B36" s="13" t="str">
        <x:v>Смартфон</x:v>
      </x:c>
      <x:c r="C36" s="13" t="str">
        <x:v>FCP: первая отрисовка</x:v>
      </x:c>
      <x:c r="D36" s="26" t="n">
        <x:f>MEDIAN('Прогоны'!G18:G20)/1000</x:f>
        <x:v>4.0377984</x:v>
      </x:c>
      <x:c r="E36" s="26" t="n">
        <x:f>MEDIAN('Прогоны'!G51:G53)/1000</x:f>
        <x:v>3.654493799999999</x:v>
      </x:c>
      <x:c r="F36" s="53" t="n">
        <x:f>E36-D36</x:f>
        <x:v>-0.38330460000000066</x:v>
      </x:c>
      <x:c r="G36" s="54" t="n">
        <x:f>IF(D36=0,"н/п",F36/D36)</x:f>
        <x:v>-0.09492910790196972</x:v>
      </x:c>
      <x:c r="H36" s="69" t="str">
        <x:v>с</x:v>
      </x:c>
    </x:row>
    <x:row r="37" ht="28" customHeight="1">
      <x:c r="A37" s="14" t="str">
        <x:v>Morpheus 8</x:v>
      </x:c>
      <x:c r="B37" s="14" t="str">
        <x:v>Смартфон</x:v>
      </x:c>
      <x:c r="C37" s="14" t="str">
        <x:v>TBT: блокировка потока</x:v>
      </x:c>
      <x:c r="D37" s="58" t="n">
        <x:f>MEDIAN('Прогоны'!H18:H20)/1</x:f>
        <x:v>266</x:v>
      </x:c>
      <x:c r="E37" s="58" t="n">
        <x:f>MEDIAN('Прогоны'!H51:H53)/1</x:f>
        <x:v>147</x:v>
      </x:c>
      <x:c r="F37" s="59" t="n">
        <x:f>E37-D37</x:f>
        <x:v>-119</x:v>
      </x:c>
      <x:c r="G37" s="57" t="n">
        <x:f>IF(D37=0,"н/п",F37/D37)</x:f>
        <x:v>-0.4473684210526316</x:v>
      </x:c>
      <x:c r="H37" s="70" t="str">
        <x:v>мс</x:v>
      </x:c>
    </x:row>
    <x:row r="38" ht="28" customHeight="1">
      <x:c r="A38" s="13" t="str">
        <x:v>Morpheus 8</x:v>
      </x:c>
      <x:c r="B38" s="13" t="str">
        <x:v>Смартфон</x:v>
      </x:c>
      <x:c r="C38" s="13" t="str">
        <x:v>Балл Lighthouse</x:v>
      </x:c>
      <x:c r="D38" s="60" t="n">
        <x:f>MEDIAN('Прогоны'!I18:I20)/1</x:f>
        <x:v>64</x:v>
      </x:c>
      <x:c r="E38" s="60" t="n">
        <x:f>MEDIAN('Прогоны'!I51:I53)/1</x:f>
        <x:v>70</x:v>
      </x:c>
      <x:c r="F38" s="61" t="n">
        <x:f>E38-D38</x:f>
        <x:v>6</x:v>
      </x:c>
      <x:c r="G38" s="54"/>
      <x:c r="H38" s="69" t="str">
        <x:v>балл</x:v>
      </x:c>
    </x:row>
    <x:row r="39" ht="28" customHeight="1">
      <x:c r="A39" s="14" t="str">
        <x:v>Morpheus 8</x:v>
      </x:c>
      <x:c r="B39" s="14" t="str">
        <x:v>Смартфон</x:v>
      </x:c>
      <x:c r="C39" s="14" t="str">
        <x:v>Переданный объём</x:v>
      </x:c>
      <x:c r="D39" s="30" t="n">
        <x:f>MEDIAN('Прогоны'!J18:J20)/1000000</x:f>
        <x:v>1.262</x:v>
      </x:c>
      <x:c r="E39" s="30" t="n">
        <x:f>MEDIAN('Прогоны'!J51:J53)/1000000</x:f>
        <x:v>1.251767</x:v>
      </x:c>
      <x:c r="F39" s="62" t="n">
        <x:f>E39-D39</x:f>
        <x:v>-0.010232999999999937</x:v>
      </x:c>
      <x:c r="G39" s="57" t="n">
        <x:f>IF(D39=0,"н/п",F39/D39)</x:f>
        <x:v>-0.008108557844690917</x:v>
      </x:c>
      <x:c r="H39" s="70" t="str">
        <x:v>МБ</x:v>
      </x:c>
    </x:row>
    <x:row r="40" ht="28" customHeight="1">
      <x:c r="A40" s="13" t="str">
        <x:v>Morpheus 8</x:v>
      </x:c>
      <x:c r="B40" s="13" t="str">
        <x:v>Смартфон</x:v>
      </x:c>
      <x:c r="C40" s="13" t="str">
        <x:v>Количество запросов</x:v>
      </x:c>
      <x:c r="D40" s="60" t="n">
        <x:f>MEDIAN('Прогоны'!K18:K20)/1</x:f>
        <x:v>65</x:v>
      </x:c>
      <x:c r="E40" s="60" t="n">
        <x:f>MEDIAN('Прогоны'!K51:K53)/1</x:f>
        <x:v>68</x:v>
      </x:c>
      <x:c r="F40" s="61" t="n">
        <x:f>E40-D40</x:f>
        <x:v>3</x:v>
      </x:c>
      <x:c r="G40" s="54" t="n">
        <x:f>IF(D40=0,"н/п",F40/D40)</x:f>
        <x:v>0.046153846153846156</x:v>
      </x:c>
      <x:c r="H40" s="69" t="str">
        <x:v>шт.</x:v>
      </x:c>
    </x:row>
    <x:row r="41" ht="28" customHeight="1">
      <x:c r="A41" s="14" t="str">
        <x:v>Morpheus 8</x:v>
      </x:c>
      <x:c r="B41" s="14" t="str">
        <x:v>Компьютер</x:v>
      </x:c>
      <x:c r="C41" s="14" t="str">
        <x:v>LCP: основное содержимое</x:v>
      </x:c>
      <x:c r="D41" s="30" t="n">
        <x:f>MEDIAN('Прогоны'!E21:E23)/1000</x:f>
        <x:v>3.3813617000000002</x:v>
      </x:c>
      <x:c r="E41" s="30" t="n">
        <x:f>MEDIAN('Прогоны'!E54:E56)/1000</x:f>
        <x:v>2.4821875</x:v>
      </x:c>
      <x:c r="F41" s="62" t="n">
        <x:f>E41-D41</x:f>
        <x:v>-0.8991742</x:v>
      </x:c>
      <x:c r="G41" s="57" t="n">
        <x:f>IF(D41=0,"н/п",F41/D41)</x:f>
        <x:v>-0.2659207383818182</x:v>
      </x:c>
      <x:c r="H41" s="70" t="str">
        <x:v>с</x:v>
      </x:c>
    </x:row>
    <x:row r="42" ht="28" customHeight="1">
      <x:c r="A42" s="13" t="str">
        <x:v>Morpheus 8</x:v>
      </x:c>
      <x:c r="B42" s="13" t="str">
        <x:v>Компьютер</x:v>
      </x:c>
      <x:c r="C42" s="13" t="str">
        <x:v>CLS: сдвиги вёрстки</x:v>
      </x:c>
      <x:c r="D42" s="63" t="n">
        <x:f>MEDIAN('Прогоны'!F21:F23)/1</x:f>
        <x:v>0.008741505881215297</x:v>
      </x:c>
      <x:c r="E42" s="63" t="n">
        <x:f>MEDIAN('Прогоны'!F54:F56)/1</x:f>
        <x:v>0.007565310275853485</x:v>
      </x:c>
      <x:c r="F42" s="64" t="n">
        <x:f>E42-D42</x:f>
        <x:v>-0.0011761956053618124</x:v>
      </x:c>
      <x:c r="G42" s="54"/>
      <x:c r="H42" s="69" t="str"/>
    </x:row>
    <x:row r="43" ht="28" customHeight="1">
      <x:c r="A43" s="14" t="str">
        <x:v>Morpheus 8</x:v>
      </x:c>
      <x:c r="B43" s="14" t="str">
        <x:v>Компьютер</x:v>
      </x:c>
      <x:c r="C43" s="14" t="str">
        <x:v>FCP: первая отрисовка</x:v>
      </x:c>
      <x:c r="D43" s="30" t="n">
        <x:f>MEDIAN('Прогоны'!G21:G23)/1000</x:f>
        <x:v>3.3813617000000002</x:v>
      </x:c>
      <x:c r="E43" s="30" t="n">
        <x:f>MEDIAN('Прогоны'!G54:G56)/1000</x:f>
        <x:v>2.4821875</x:v>
      </x:c>
      <x:c r="F43" s="62" t="n">
        <x:f>E43-D43</x:f>
        <x:v>-0.8991742</x:v>
      </x:c>
      <x:c r="G43" s="57" t="n">
        <x:f>IF(D43=0,"н/п",F43/D43)</x:f>
        <x:v>-0.2659207383818182</x:v>
      </x:c>
      <x:c r="H43" s="70" t="str">
        <x:v>с</x:v>
      </x:c>
    </x:row>
    <x:row r="44" ht="28" customHeight="1">
      <x:c r="A44" s="13" t="str">
        <x:v>Morpheus 8</x:v>
      </x:c>
      <x:c r="B44" s="13" t="str">
        <x:v>Компьютер</x:v>
      </x:c>
      <x:c r="C44" s="13" t="str">
        <x:v>TBT: блокировка потока</x:v>
      </x:c>
      <x:c r="D44" s="65" t="n">
        <x:f>MEDIAN('Прогоны'!H21:H23)/1</x:f>
        <x:v>0</x:v>
      </x:c>
      <x:c r="E44" s="65" t="n">
        <x:f>MEDIAN('Прогоны'!H54:H56)/1</x:f>
        <x:v>0</x:v>
      </x:c>
      <x:c r="F44" s="66" t="n">
        <x:f>E44-D44</x:f>
        <x:v>0</x:v>
      </x:c>
      <x:c r="G44" s="54" t="str">
        <x:f>IF(D44=0,"н/п",F44/D44)</x:f>
        <x:v>н/п</x:v>
      </x:c>
      <x:c r="H44" s="69" t="str">
        <x:v>мс</x:v>
      </x:c>
    </x:row>
    <x:row r="45" ht="28" customHeight="1">
      <x:c r="A45" s="14" t="str">
        <x:v>Morpheus 8</x:v>
      </x:c>
      <x:c r="B45" s="14" t="str">
        <x:v>Компьютер</x:v>
      </x:c>
      <x:c r="C45" s="14" t="str">
        <x:v>Балл Lighthouse</x:v>
      </x:c>
      <x:c r="D45" s="67" t="n">
        <x:f>MEDIAN('Прогоны'!I21:I23)/1</x:f>
        <x:v>62</x:v>
      </x:c>
      <x:c r="E45" s="67" t="n">
        <x:f>MEDIAN('Прогоны'!I54:I56)/1</x:f>
        <x:v>70</x:v>
      </x:c>
      <x:c r="F45" s="68" t="n">
        <x:f>E45-D45</x:f>
        <x:v>8</x:v>
      </x:c>
      <x:c r="G45" s="57"/>
      <x:c r="H45" s="70" t="str">
        <x:v>балл</x:v>
      </x:c>
    </x:row>
    <x:row r="46" ht="28" customHeight="1">
      <x:c r="A46" s="13" t="str">
        <x:v>Morpheus 8</x:v>
      </x:c>
      <x:c r="B46" s="13" t="str">
        <x:v>Компьютер</x:v>
      </x:c>
      <x:c r="C46" s="13" t="str">
        <x:v>Переданный объём</x:v>
      </x:c>
      <x:c r="D46" s="26" t="n">
        <x:f>MEDIAN('Прогоны'!J21:J23)/1000000</x:f>
        <x:v>1.76026</x:v>
      </x:c>
      <x:c r="E46" s="26" t="n">
        <x:f>MEDIAN('Прогоны'!J54:J56)/1000000</x:f>
        <x:v>1.749974</x:v>
      </x:c>
      <x:c r="F46" s="53" t="n">
        <x:f>E46-D46</x:f>
        <x:v>-0.010286000000000017</x:v>
      </x:c>
      <x:c r="G46" s="54" t="n">
        <x:f>IF(D46=0,"н/п",F46/D46)</x:f>
        <x:v>-0.005843454944155987</x:v>
      </x:c>
      <x:c r="H46" s="69" t="str">
        <x:v>МБ</x:v>
      </x:c>
    </x:row>
    <x:row r="47" ht="28" customHeight="1">
      <x:c r="A47" s="14" t="str">
        <x:v>Morpheus 8</x:v>
      </x:c>
      <x:c r="B47" s="14" t="str">
        <x:v>Компьютер</x:v>
      </x:c>
      <x:c r="C47" s="14" t="str">
        <x:v>Количество запросов</x:v>
      </x:c>
      <x:c r="D47" s="67" t="n">
        <x:f>MEDIAN('Прогоны'!K21:K23)/1</x:f>
        <x:v>69</x:v>
      </x:c>
      <x:c r="E47" s="67" t="n">
        <x:f>MEDIAN('Прогоны'!K54:K56)/1</x:f>
        <x:v>72</x:v>
      </x:c>
      <x:c r="F47" s="68" t="n">
        <x:f>E47-D47</x:f>
        <x:v>3</x:v>
      </x:c>
      <x:c r="G47" s="57" t="n">
        <x:f>IF(D47=0,"н/п",F47/D47)</x:f>
        <x:v>0.043478260869565216</x:v>
      </x:c>
      <x:c r="H47" s="70" t="str">
        <x:v>шт.</x:v>
      </x:c>
    </x:row>
    <x:row r="48" ht="28" customHeight="1">
      <x:c r="A48" s="13" t="str">
        <x:v>Лечение розацеа</x:v>
      </x:c>
      <x:c r="B48" s="13" t="str">
        <x:v>Смартфон</x:v>
      </x:c>
      <x:c r="C48" s="13" t="str">
        <x:v>LCP: основное содержимое</x:v>
      </x:c>
      <x:c r="D48" s="26" t="n">
        <x:f>MEDIAN('Прогоны'!E24:E26)/1000</x:f>
        <x:v>4.050020000000001</x:v>
      </x:c>
      <x:c r="E48" s="26" t="n">
        <x:f>MEDIAN('Прогоны'!E57:E59)/1000</x:f>
        <x:v>3.905975599999999</x:v>
      </x:c>
      <x:c r="F48" s="53" t="n">
        <x:f>E48-D48</x:f>
        <x:v>-0.14404440000000163</x:v>
      </x:c>
      <x:c r="G48" s="54" t="n">
        <x:f>IF(D48=0,"н/п",F48/D48)</x:f>
        <x:v>-0.03556634288225777</x:v>
      </x:c>
      <x:c r="H48" s="69" t="str">
        <x:v>с</x:v>
      </x:c>
    </x:row>
    <x:row r="49" ht="28" customHeight="1">
      <x:c r="A49" s="14" t="str">
        <x:v>Лечение розацеа</x:v>
      </x:c>
      <x:c r="B49" s="14" t="str">
        <x:v>Смартфон</x:v>
      </x:c>
      <x:c r="C49" s="14" t="str">
        <x:v>CLS: сдвиги вёрстки</x:v>
      </x:c>
      <x:c r="D49" s="55" t="n">
        <x:f>MEDIAN('Прогоны'!F24:F26)/1</x:f>
        <x:v>0.004330143901759635</x:v>
      </x:c>
      <x:c r="E49" s="55" t="n">
        <x:f>MEDIAN('Прогоны'!F57:F59)/1</x:f>
        <x:v>0.004330143901759635</x:v>
      </x:c>
      <x:c r="F49" s="56" t="n">
        <x:f>E49-D49</x:f>
        <x:v>0</x:v>
      </x:c>
      <x:c r="G49" s="57"/>
      <x:c r="H49" s="70" t="str"/>
    </x:row>
    <x:row r="50" ht="28" customHeight="1">
      <x:c r="A50" s="13" t="str">
        <x:v>Лечение розацеа</x:v>
      </x:c>
      <x:c r="B50" s="13" t="str">
        <x:v>Смартфон</x:v>
      </x:c>
      <x:c r="C50" s="13" t="str">
        <x:v>FCP: первая отрисовка</x:v>
      </x:c>
      <x:c r="D50" s="26" t="n">
        <x:f>MEDIAN('Прогоны'!G24:G26)/1000</x:f>
        <x:v>4.050020000000001</x:v>
      </x:c>
      <x:c r="E50" s="26" t="n">
        <x:f>MEDIAN('Прогоны'!G57:G59)/1000</x:f>
        <x:v>3.4762368999999995</x:v>
      </x:c>
      <x:c r="F50" s="53" t="n">
        <x:f>E50-D50</x:f>
        <x:v>-0.5737831000000013</x:v>
      </x:c>
      <x:c r="G50" s="54" t="n">
        <x:f>IF(D50=0,"н/п",F50/D50)</x:f>
        <x:v>-0.141674139880791</x:v>
      </x:c>
      <x:c r="H50" s="69" t="str">
        <x:v>с</x:v>
      </x:c>
    </x:row>
    <x:row r="51" ht="28" customHeight="1">
      <x:c r="A51" s="14" t="str">
        <x:v>Лечение розацеа</x:v>
      </x:c>
      <x:c r="B51" s="14" t="str">
        <x:v>Смартфон</x:v>
      </x:c>
      <x:c r="C51" s="14" t="str">
        <x:v>TBT: блокировка потока</x:v>
      </x:c>
      <x:c r="D51" s="58" t="n">
        <x:f>MEDIAN('Прогоны'!H24:H26)/1</x:f>
        <x:v>269.5</x:v>
      </x:c>
      <x:c r="E51" s="58" t="n">
        <x:f>MEDIAN('Прогоны'!H57:H59)/1</x:f>
        <x:v>186</x:v>
      </x:c>
      <x:c r="F51" s="59" t="n">
        <x:f>E51-D51</x:f>
        <x:v>-83.5</x:v>
      </x:c>
      <x:c r="G51" s="57" t="n">
        <x:f>IF(D51=0,"н/п",F51/D51)</x:f>
        <x:v>-0.3098330241187384</x:v>
      </x:c>
      <x:c r="H51" s="70" t="str">
        <x:v>мс</x:v>
      </x:c>
    </x:row>
    <x:row r="52" ht="28" customHeight="1">
      <x:c r="A52" s="13" t="str">
        <x:v>Лечение розацеа</x:v>
      </x:c>
      <x:c r="B52" s="13" t="str">
        <x:v>Смартфон</x:v>
      </x:c>
      <x:c r="C52" s="13" t="str">
        <x:v>Балл Lighthouse</x:v>
      </x:c>
      <x:c r="D52" s="60" t="n">
        <x:f>MEDIAN('Прогоны'!I24:I26)/1</x:f>
        <x:v>66</x:v>
      </x:c>
      <x:c r="E52" s="60" t="n">
        <x:f>MEDIAN('Прогоны'!I57:I59)/1</x:f>
        <x:v>71</x:v>
      </x:c>
      <x:c r="F52" s="61" t="n">
        <x:f>E52-D52</x:f>
        <x:v>5</x:v>
      </x:c>
      <x:c r="G52" s="54"/>
      <x:c r="H52" s="69" t="str">
        <x:v>балл</x:v>
      </x:c>
    </x:row>
    <x:row r="53" ht="28" customHeight="1">
      <x:c r="A53" s="14" t="str">
        <x:v>Лечение розацеа</x:v>
      </x:c>
      <x:c r="B53" s="14" t="str">
        <x:v>Смартфон</x:v>
      </x:c>
      <x:c r="C53" s="14" t="str">
        <x:v>Переданный объём</x:v>
      </x:c>
      <x:c r="D53" s="30" t="n">
        <x:f>MEDIAN('Прогоны'!J24:J26)/1000000</x:f>
        <x:v>1.253726</x:v>
      </x:c>
      <x:c r="E53" s="30" t="n">
        <x:f>MEDIAN('Прогоны'!J57:J59)/1000000</x:f>
        <x:v>1.243461</x:v>
      </x:c>
      <x:c r="F53" s="62" t="n">
        <x:f>E53-D53</x:f>
        <x:v>-0.010264999999999969</x:v>
      </x:c>
      <x:c r="G53" s="57" t="n">
        <x:f>IF(D53=0,"н/п",F53/D53)</x:f>
        <x:v>-0.00818759441855714</x:v>
      </x:c>
      <x:c r="H53" s="70" t="str">
        <x:v>МБ</x:v>
      </x:c>
    </x:row>
    <x:row r="54" ht="28" customHeight="1">
      <x:c r="A54" s="13" t="str">
        <x:v>Лечение розацеа</x:v>
      </x:c>
      <x:c r="B54" s="13" t="str">
        <x:v>Смартфон</x:v>
      </x:c>
      <x:c r="C54" s="13" t="str">
        <x:v>Количество запросов</x:v>
      </x:c>
      <x:c r="D54" s="60" t="n">
        <x:f>MEDIAN('Прогоны'!K24:K26)/1</x:f>
        <x:v>64</x:v>
      </x:c>
      <x:c r="E54" s="60" t="n">
        <x:f>MEDIAN('Прогоны'!K57:K59)/1</x:f>
        <x:v>67</x:v>
      </x:c>
      <x:c r="F54" s="61" t="n">
        <x:f>E54-D54</x:f>
        <x:v>3</x:v>
      </x:c>
      <x:c r="G54" s="54" t="n">
        <x:f>IF(D54=0,"н/п",F54/D54)</x:f>
        <x:v>0.046875</x:v>
      </x:c>
      <x:c r="H54" s="69" t="str">
        <x:v>шт.</x:v>
      </x:c>
    </x:row>
    <x:row r="55" ht="28" customHeight="1">
      <x:c r="A55" s="14" t="str">
        <x:v>Прайс *</x:v>
      </x:c>
      <x:c r="B55" s="14" t="str">
        <x:v>Смартфон</x:v>
      </x:c>
      <x:c r="C55" s="14" t="str">
        <x:v>LCP: основное содержимое</x:v>
      </x:c>
      <x:c r="D55" s="30" t="n">
        <x:f>MEDIAN('Прогоны'!E27:E29)/1000</x:f>
        <x:v>4.190194199999999</x:v>
      </x:c>
      <x:c r="E55" s="30" t="n">
        <x:f>MEDIAN('Прогоны'!E60:E62)/1000</x:f>
        <x:v>4.10740824</x:v>
      </x:c>
      <x:c r="F55" s="62" t="n">
        <x:f>E55-D55</x:f>
        <x:v>-0.08278595999999894</x:v>
      </x:c>
      <x:c r="G55" s="57" t="n">
        <x:f>IF(D55=0,"н/п",F55/D55)</x:f>
        <x:v>-0.019757069970646936</x:v>
      </x:c>
      <x:c r="H55" s="70" t="str">
        <x:v>с</x:v>
      </x:c>
    </x:row>
    <x:row r="56" ht="28" customHeight="1">
      <x:c r="A56" s="13" t="str">
        <x:v>Прайс *</x:v>
      </x:c>
      <x:c r="B56" s="13" t="str">
        <x:v>Смартфон</x:v>
      </x:c>
      <x:c r="C56" s="13" t="str">
        <x:v>CLS: сдвиги вёрстки</x:v>
      </x:c>
      <x:c r="D56" s="63" t="n">
        <x:f>MEDIAN('Прогоны'!F27:F29)/1</x:f>
        <x:v>0.1992121335246339</x:v>
      </x:c>
      <x:c r="E56" s="63" t="n">
        <x:f>MEDIAN('Прогоны'!F60:F62)/1</x:f>
        <x:v>0.042118798287812044</x:v>
      </x:c>
      <x:c r="F56" s="64" t="n">
        <x:f>E56-D56</x:f>
        <x:v>-0.15709333523682187</x:v>
      </x:c>
      <x:c r="G56" s="54"/>
      <x:c r="H56" s="69" t="str"/>
    </x:row>
    <x:row r="57" ht="28" customHeight="1">
      <x:c r="A57" s="14" t="str">
        <x:v>Прайс *</x:v>
      </x:c>
      <x:c r="B57" s="14" t="str">
        <x:v>Смартфон</x:v>
      </x:c>
      <x:c r="C57" s="14" t="str">
        <x:v>FCP: первая отрисовка</x:v>
      </x:c>
      <x:c r="D57" s="30" t="n">
        <x:f>MEDIAN('Прогоны'!G27:G29)/1000</x:f>
        <x:v>4.190194199999999</x:v>
      </x:c>
      <x:c r="E57" s="30" t="n">
        <x:f>MEDIAN('Прогоны'!G60:G62)/1000</x:f>
        <x:v>3.67021096</x:v>
      </x:c>
      <x:c r="F57" s="62" t="n">
        <x:f>E57-D57</x:f>
        <x:v>-0.5199832399999988</x:v>
      </x:c>
      <x:c r="G57" s="57" t="n">
        <x:f>IF(D57=0,"н/п",F57/D57)</x:f>
        <x:v>-0.12409526031036915</x:v>
      </x:c>
      <x:c r="H57" s="70" t="str">
        <x:v>с</x:v>
      </x:c>
    </x:row>
    <x:row r="58" ht="28" customHeight="1">
      <x:c r="A58" s="13" t="str">
        <x:v>Прайс *</x:v>
      </x:c>
      <x:c r="B58" s="13" t="str">
        <x:v>Смартфон</x:v>
      </x:c>
      <x:c r="C58" s="13" t="str">
        <x:v>TBT: блокировка потока</x:v>
      </x:c>
      <x:c r="D58" s="65" t="n">
        <x:f>MEDIAN('Прогоны'!H27:H29)/1</x:f>
        <x:v>146</x:v>
      </x:c>
      <x:c r="E58" s="65" t="n">
        <x:f>MEDIAN('Прогоны'!H60:H62)/1</x:f>
        <x:v>157.5</x:v>
      </x:c>
      <x:c r="F58" s="66" t="n">
        <x:f>E58-D58</x:f>
        <x:v>11.5</x:v>
      </x:c>
      <x:c r="G58" s="54" t="n">
        <x:f>IF(D58=0,"н/п",F58/D58)</x:f>
        <x:v>0.07876712328767123</x:v>
      </x:c>
      <x:c r="H58" s="69" t="str">
        <x:v>мс</x:v>
      </x:c>
    </x:row>
    <x:row r="59" ht="28" customHeight="1">
      <x:c r="A59" s="14" t="str">
        <x:v>Прайс *</x:v>
      </x:c>
      <x:c r="B59" s="14" t="str">
        <x:v>Смартфон</x:v>
      </x:c>
      <x:c r="C59" s="14" t="str">
        <x:v>Балл Lighthouse</x:v>
      </x:c>
      <x:c r="D59" s="67" t="n">
        <x:f>MEDIAN('Прогоны'!I27:I29)/1</x:f>
        <x:v>60</x:v>
      </x:c>
      <x:c r="E59" s="67" t="n">
        <x:f>MEDIAN('Прогоны'!I60:I62)/1</x:f>
        <x:v>71</x:v>
      </x:c>
      <x:c r="F59" s="68" t="n">
        <x:f>E59-D59</x:f>
        <x:v>11</x:v>
      </x:c>
      <x:c r="G59" s="57"/>
      <x:c r="H59" s="70" t="str">
        <x:v>балл</x:v>
      </x:c>
    </x:row>
    <x:row r="60" ht="28" customHeight="1">
      <x:c r="A60" s="13" t="str">
        <x:v>Прайс *</x:v>
      </x:c>
      <x:c r="B60" s="13" t="str">
        <x:v>Смартфон</x:v>
      </x:c>
      <x:c r="C60" s="13" t="str">
        <x:v>Переданный объём</x:v>
      </x:c>
      <x:c r="D60" s="26" t="n">
        <x:f>MEDIAN('Прогоны'!J27:J29)/1000000</x:f>
        <x:v>1.450113</x:v>
      </x:c>
      <x:c r="E60" s="26" t="n">
        <x:f>MEDIAN('Прогоны'!J60:J62)/1000000</x:f>
        <x:v>1.20185</x:v>
      </x:c>
      <x:c r="F60" s="53" t="n">
        <x:f>E60-D60</x:f>
        <x:v>-0.2482629999999999</x:v>
      </x:c>
      <x:c r="G60" s="54" t="n">
        <x:f>IF(D60=0,"н/п",F60/D60)</x:f>
        <x:v>-0.1712025200794696</x:v>
      </x:c>
      <x:c r="H60" s="69" t="str">
        <x:v>МБ</x:v>
      </x:c>
    </x:row>
    <x:row r="61" ht="28" customHeight="1">
      <x:c r="A61" s="14" t="str">
        <x:v>Прайс *</x:v>
      </x:c>
      <x:c r="B61" s="14" t="str">
        <x:v>Смартфон</x:v>
      </x:c>
      <x:c r="C61" s="14" t="str">
        <x:v>Количество запросов</x:v>
      </x:c>
      <x:c r="D61" s="67" t="n">
        <x:f>MEDIAN('Прогоны'!K27:K29)/1</x:f>
        <x:v>61</x:v>
      </x:c>
      <x:c r="E61" s="67" t="n">
        <x:f>MEDIAN('Прогоны'!K60:K62)/1</x:f>
        <x:v>63</x:v>
      </x:c>
      <x:c r="F61" s="68" t="n">
        <x:f>E61-D61</x:f>
        <x:v>2</x:v>
      </x:c>
      <x:c r="G61" s="57" t="n">
        <x:f>IF(D61=0,"н/п",F61/D61)</x:f>
        <x:v>0.03278688524590164</x:v>
      </x:c>
      <x:c r="H61" s="70" t="str">
        <x:v>шт.</x:v>
      </x:c>
    </x:row>
    <x:row r="62" ht="28" customHeight="1">
      <x:c r="A62" s="13" t="str">
        <x:v>Контакты *</x:v>
      </x:c>
      <x:c r="B62" s="13" t="str">
        <x:v>Смартфон</x:v>
      </x:c>
      <x:c r="C62" s="13" t="str">
        <x:v>LCP: основное содержимое</x:v>
      </x:c>
      <x:c r="D62" s="26" t="n">
        <x:f>MEDIAN('Прогоны'!E30:E32)/1000</x:f>
        <x:v>17.191262000000002</x:v>
      </x:c>
      <x:c r="E62" s="26" t="n">
        <x:f>MEDIAN('Прогоны'!E63:E65)/1000</x:f>
        <x:v>18.782553100000005</x:v>
      </x:c>
      <x:c r="F62" s="53" t="n">
        <x:f>E62-D62</x:f>
        <x:v>1.591291100000003</x:v>
      </x:c>
      <x:c r="G62" s="54" t="n">
        <x:f>IF(D62=0,"н/п",F62/D62)</x:f>
        <x:v>0.09256394905737594</x:v>
      </x:c>
      <x:c r="H62" s="69" t="str">
        <x:v>с</x:v>
      </x:c>
    </x:row>
    <x:row r="63" ht="28" customHeight="1">
      <x:c r="A63" s="14" t="str">
        <x:v>Контакты *</x:v>
      </x:c>
      <x:c r="B63" s="14" t="str">
        <x:v>Смартфон</x:v>
      </x:c>
      <x:c r="C63" s="14" t="str">
        <x:v>CLS: сдвиги вёрстки</x:v>
      </x:c>
      <x:c r="D63" s="55" t="n">
        <x:f>MEDIAN('Прогоны'!F30:F32)/1</x:f>
        <x:v>0.1570758080637327</x:v>
      </x:c>
      <x:c r="E63" s="55" t="n">
        <x:f>MEDIAN('Прогоны'!F63:F65)/1</x:f>
        <x:v>0.0043293412056985055</x:v>
      </x:c>
      <x:c r="F63" s="56" t="n">
        <x:f>E63-D63</x:f>
        <x:v>-0.1527464668580342</x:v>
      </x:c>
      <x:c r="G63" s="57"/>
      <x:c r="H63" s="70" t="str"/>
    </x:row>
    <x:row r="64" ht="28" customHeight="1">
      <x:c r="A64" s="13" t="str">
        <x:v>Контакты *</x:v>
      </x:c>
      <x:c r="B64" s="13" t="str">
        <x:v>Смартфон</x:v>
      </x:c>
      <x:c r="C64" s="13" t="str">
        <x:v>FCP: первая отрисовка</x:v>
      </x:c>
      <x:c r="D64" s="26" t="n">
        <x:f>MEDIAN('Прогоны'!G30:G32)/1000</x:f>
        <x:v>4.2052703000000005</x:v>
      </x:c>
      <x:c r="E64" s="26" t="n">
        <x:f>MEDIAN('Прогоны'!G63:G65)/1000</x:f>
        <x:v>3.7407727</x:v>
      </x:c>
      <x:c r="F64" s="53" t="n">
        <x:f>E64-D64</x:f>
        <x:v>-0.4644976000000005</x:v>
      </x:c>
      <x:c r="G64" s="54" t="n">
        <x:f>IF(D64=0,"н/п",F64/D64)</x:f>
        <x:v>-0.11045606271730035</x:v>
      </x:c>
      <x:c r="H64" s="69" t="str">
        <x:v>с</x:v>
      </x:c>
    </x:row>
    <x:row r="65" ht="28" customHeight="1">
      <x:c r="A65" s="14" t="str">
        <x:v>Контакты *</x:v>
      </x:c>
      <x:c r="B65" s="14" t="str">
        <x:v>Смартфон</x:v>
      </x:c>
      <x:c r="C65" s="14" t="str">
        <x:v>TBT: блокировка потока</x:v>
      </x:c>
      <x:c r="D65" s="58" t="n">
        <x:f>MEDIAN('Прогоны'!H30:H32)/1</x:f>
        <x:v>396</x:v>
      </x:c>
      <x:c r="E65" s="58" t="n">
        <x:f>MEDIAN('Прогоны'!H63:H65)/1</x:f>
        <x:v>418.9999999999991</x:v>
      </x:c>
      <x:c r="F65" s="59" t="n">
        <x:f>E65-D65</x:f>
        <x:v>22.99999999999909</x:v>
      </x:c>
      <x:c r="G65" s="57" t="n">
        <x:f>IF(D65=0,"н/п",F65/D65)</x:f>
        <x:v>0.05808080808080578</x:v>
      </x:c>
      <x:c r="H65" s="70" t="str">
        <x:v>мс</x:v>
      </x:c>
    </x:row>
    <x:row r="66" ht="28" customHeight="1">
      <x:c r="A66" s="13" t="str">
        <x:v>Контакты *</x:v>
      </x:c>
      <x:c r="B66" s="13" t="str">
        <x:v>Смартфон</x:v>
      </x:c>
      <x:c r="C66" s="13" t="str">
        <x:v>Балл Lighthouse</x:v>
      </x:c>
      <x:c r="D66" s="60" t="n">
        <x:f>MEDIAN('Прогоны'!I30:I32)/1</x:f>
        <x:v>42</x:v>
      </x:c>
      <x:c r="E66" s="60" t="n">
        <x:f>MEDIAN('Прогоны'!I63:I65)/1</x:f>
        <x:v>48</x:v>
      </x:c>
      <x:c r="F66" s="61" t="n">
        <x:f>E66-D66</x:f>
        <x:v>6</x:v>
      </x:c>
      <x:c r="G66" s="54"/>
      <x:c r="H66" s="69" t="str">
        <x:v>балл</x:v>
      </x:c>
    </x:row>
    <x:row r="67" ht="28" customHeight="1">
      <x:c r="A67" s="14" t="str">
        <x:v>Контакты *</x:v>
      </x:c>
      <x:c r="B67" s="14" t="str">
        <x:v>Смартфон</x:v>
      </x:c>
      <x:c r="C67" s="14" t="str">
        <x:v>Переданный объём</x:v>
      </x:c>
      <x:c r="D67" s="30" t="n">
        <x:f>MEDIAN('Прогоны'!J30:J32)/1000000</x:f>
        <x:v>2.118515</x:v>
      </x:c>
      <x:c r="E67" s="30" t="n">
        <x:f>MEDIAN('Прогоны'!J63:J65)/1000000</x:f>
        <x:v>2.108655</x:v>
      </x:c>
      <x:c r="F67" s="62" t="n">
        <x:f>E67-D67</x:f>
        <x:v>-0.009859999999999758</x:v>
      </x:c>
      <x:c r="G67" s="57" t="n">
        <x:f>IF(D67=0,"н/п",F67/D67)</x:f>
        <x:v>-0.004654203534079182</x:v>
      </x:c>
      <x:c r="H67" s="70" t="str">
        <x:v>МБ</x:v>
      </x:c>
    </x:row>
    <x:row r="68" ht="28" customHeight="1">
      <x:c r="A68" s="13" t="str">
        <x:v>Контакты *</x:v>
      </x:c>
      <x:c r="B68" s="13" t="str">
        <x:v>Смартфон</x:v>
      </x:c>
      <x:c r="C68" s="13" t="str">
        <x:v>Количество запросов</x:v>
      </x:c>
      <x:c r="D68" s="60" t="n">
        <x:f>MEDIAN('Прогоны'!K30:K32)/1</x:f>
        <x:v>78</x:v>
      </x:c>
      <x:c r="E68" s="60" t="n">
        <x:f>MEDIAN('Прогоны'!K63:K65)/1</x:f>
        <x:v>81</x:v>
      </x:c>
      <x:c r="F68" s="61" t="n">
        <x:f>E68-D68</x:f>
        <x:v>3</x:v>
      </x:c>
      <x:c r="G68" s="54" t="n">
        <x:f>IF(D68=0,"н/п",F68/D68)</x:f>
        <x:v>0.038461538461538464</x:v>
      </x:c>
      <x:c r="H68" s="69" t="str">
        <x:v>шт.</x:v>
      </x:c>
    </x:row>
    <x:row r="69" ht="28" customHeight="1">
      <x:c r="A69" s="14" t="str">
        <x:v>О клинике *</x:v>
      </x:c>
      <x:c r="B69" s="14" t="str">
        <x:v>Смартфон</x:v>
      </x:c>
      <x:c r="C69" s="14" t="str">
        <x:v>LCP: основное содержимое</x:v>
      </x:c>
      <x:c r="D69" s="30" t="n">
        <x:f>MEDIAN('Прогоны'!E33:E35)/1000</x:f>
        <x:v>11.0403698</x:v>
      </x:c>
      <x:c r="E69" s="30" t="n">
        <x:f>MEDIAN('Прогоны'!E66:E68)/1000</x:f>
        <x:v>4.667322000000001</x:v>
      </x:c>
      <x:c r="F69" s="62" t="n">
        <x:f>E69-D69</x:f>
        <x:v>-6.373047799999999</x:v>
      </x:c>
      <x:c r="G69" s="57" t="n">
        <x:f>IF(D69=0,"н/п",F69/D69)</x:f>
        <x:v>-0.5772494866974474</x:v>
      </x:c>
      <x:c r="H69" s="70" t="str">
        <x:v>с</x:v>
      </x:c>
    </x:row>
    <x:row r="70" ht="28" customHeight="1">
      <x:c r="A70" s="13" t="str">
        <x:v>О клинике *</x:v>
      </x:c>
      <x:c r="B70" s="13" t="str">
        <x:v>Смартфон</x:v>
      </x:c>
      <x:c r="C70" s="13" t="str">
        <x:v>CLS: сдвиги вёрстки</x:v>
      </x:c>
      <x:c r="D70" s="63" t="n">
        <x:f>MEDIAN('Прогоны'!F33:F35)/1</x:f>
        <x:v>0.2215875243050275</x:v>
      </x:c>
      <x:c r="E70" s="63" t="n">
        <x:f>MEDIAN('Прогоны'!F66:F68)/1</x:f>
        <x:v>0.004330143901759635</x:v>
      </x:c>
      <x:c r="F70" s="64" t="n">
        <x:f>E70-D70</x:f>
        <x:v>-0.21725738040326786</x:v>
      </x:c>
      <x:c r="G70" s="54"/>
      <x:c r="H70" s="69" t="str"/>
    </x:row>
    <x:row r="71" ht="28" customHeight="1">
      <x:c r="A71" s="14" t="str">
        <x:v>О клинике *</x:v>
      </x:c>
      <x:c r="B71" s="14" t="str">
        <x:v>Смартфон</x:v>
      </x:c>
      <x:c r="C71" s="14" t="str">
        <x:v>FCP: первая отрисовка</x:v>
      </x:c>
      <x:c r="D71" s="30" t="n">
        <x:f>MEDIAN('Прогоны'!G33:G35)/1000</x:f>
        <x:v>5.659703919999999</x:v>
      </x:c>
      <x:c r="E71" s="30" t="n">
        <x:f>MEDIAN('Прогоны'!G66:G68)/1000</x:f>
        <x:v>3.4832438</x:v>
      </x:c>
      <x:c r="F71" s="62" t="n">
        <x:f>E71-D71</x:f>
        <x:v>-2.1764601199999993</x:v>
      </x:c>
      <x:c r="G71" s="57" t="n">
        <x:f>IF(D71=0,"н/п",F71/D71)</x:f>
        <x:v>-0.38455370647728154</x:v>
      </x:c>
      <x:c r="H71" s="70" t="str">
        <x:v>с</x:v>
      </x:c>
    </x:row>
    <x:row r="72" ht="28" customHeight="1">
      <x:c r="A72" s="13" t="str">
        <x:v>О клинике *</x:v>
      </x:c>
      <x:c r="B72" s="13" t="str">
        <x:v>Смартфон</x:v>
      </x:c>
      <x:c r="C72" s="13" t="str">
        <x:v>TBT: блокировка потока</x:v>
      </x:c>
      <x:c r="D72" s="65" t="n">
        <x:f>MEDIAN('Прогоны'!H33:H35)/1</x:f>
        <x:v>174</x:v>
      </x:c>
      <x:c r="E72" s="65" t="n">
        <x:f>MEDIAN('Прогоны'!H66:H68)/1</x:f>
        <x:v>167.5</x:v>
      </x:c>
      <x:c r="F72" s="66" t="n">
        <x:f>E72-D72</x:f>
        <x:v>-6.5</x:v>
      </x:c>
      <x:c r="G72" s="54" t="n">
        <x:f>IF(D72=0,"н/п",F72/D72)</x:f>
        <x:v>-0.03735632183908046</x:v>
      </x:c>
      <x:c r="H72" s="69" t="str">
        <x:v>мс</x:v>
      </x:c>
    </x:row>
    <x:row r="73" ht="28" customHeight="1">
      <x:c r="A73" s="14" t="str">
        <x:v>О клинике *</x:v>
      </x:c>
      <x:c r="B73" s="14" t="str">
        <x:v>Смартфон</x:v>
      </x:c>
      <x:c r="C73" s="14" t="str">
        <x:v>Балл Lighthouse</x:v>
      </x:c>
      <x:c r="D73" s="67" t="n">
        <x:f>MEDIAN('Прогоны'!I33:I35)/1</x:f>
        <x:v>43</x:v>
      </x:c>
      <x:c r="E73" s="67" t="n">
        <x:f>MEDIAN('Прогоны'!I66:I68)/1</x:f>
        <x:v>67</x:v>
      </x:c>
      <x:c r="F73" s="68" t="n">
        <x:f>E73-D73</x:f>
        <x:v>24</x:v>
      </x:c>
      <x:c r="G73" s="57"/>
      <x:c r="H73" s="70" t="str">
        <x:v>балл</x:v>
      </x:c>
    </x:row>
    <x:row r="74" ht="28" customHeight="1">
      <x:c r="A74" s="13" t="str">
        <x:v>О клинике *</x:v>
      </x:c>
      <x:c r="B74" s="13" t="str">
        <x:v>Смартфон</x:v>
      </x:c>
      <x:c r="C74" s="13" t="str">
        <x:v>Переданный объём</x:v>
      </x:c>
      <x:c r="D74" s="26" t="n">
        <x:f>MEDIAN('Прогоны'!J33:J35)/1000000</x:f>
        <x:v>3.078211</x:v>
      </x:c>
      <x:c r="E74" s="26" t="n">
        <x:f>MEDIAN('Прогоны'!J66:J68)/1000000</x:f>
        <x:v>2.002903</x:v>
      </x:c>
      <x:c r="F74" s="53" t="n">
        <x:f>E74-D74</x:f>
        <x:v>-1.0753080000000002</x:v>
      </x:c>
      <x:c r="G74" s="54" t="n">
        <x:f>IF(D74=0,"н/п",F74/D74)</x:f>
        <x:v>-0.3493288796641946</x:v>
      </x:c>
      <x:c r="H74" s="69" t="str">
        <x:v>МБ</x:v>
      </x:c>
    </x:row>
    <x:row r="75" ht="28" customHeight="1">
      <x:c r="A75" s="14" t="str">
        <x:v>О клинике *</x:v>
      </x:c>
      <x:c r="B75" s="14" t="str">
        <x:v>Смартфон</x:v>
      </x:c>
      <x:c r="C75" s="14" t="str">
        <x:v>Количество запросов</x:v>
      </x:c>
      <x:c r="D75" s="67" t="n">
        <x:f>MEDIAN('Прогоны'!K33:K35)/1</x:f>
        <x:v>78</x:v>
      </x:c>
      <x:c r="E75" s="67" t="n">
        <x:f>MEDIAN('Прогоны'!K66:K68)/1</x:f>
        <x:v>79</x:v>
      </x:c>
      <x:c r="F75" s="68" t="n">
        <x:f>E75-D75</x:f>
        <x:v>1</x:v>
      </x:c>
      <x:c r="G75" s="57" t="n">
        <x:f>IF(D75=0,"н/п",F75/D75)</x:f>
        <x:v>0.01282051282051282</x:v>
      </x:c>
      <x:c r="H75" s="70" t="str">
        <x:v>шт.</x:v>
      </x:c>
    </x:row>
    <x:row r="76" ht="28" customHeight="1">
      <x:c r="A76" s="13" t="str">
        <x:v>Профиль Михайловой *</x:v>
      </x:c>
      <x:c r="B76" s="13" t="str">
        <x:v>Смартфон</x:v>
      </x:c>
      <x:c r="C76" s="13" t="str">
        <x:v>LCP: основное содержимое</x:v>
      </x:c>
      <x:c r="D76" s="26" t="n">
        <x:f>MEDIAN('Прогоны'!E36:E38)/1000</x:f>
        <x:v>4.5746072</x:v>
      </x:c>
      <x:c r="E76" s="26" t="n">
        <x:f>MEDIAN('Прогоны'!E69:E71)/1000</x:f>
        <x:v>4.292804200000002</x:v>
      </x:c>
      <x:c r="F76" s="53" t="n">
        <x:f>E76-D76</x:f>
        <x:v>-0.28180299999999825</x:v>
      </x:c>
      <x:c r="G76" s="54" t="n">
        <x:f>IF(D76=0,"н/п",F76/D76)</x:f>
        <x:v>-0.061601573136158716</x:v>
      </x:c>
      <x:c r="H76" s="69" t="str">
        <x:v>с</x:v>
      </x:c>
    </x:row>
    <x:row r="77" ht="28" customHeight="1">
      <x:c r="A77" s="14" t="str">
        <x:v>Профиль Михайловой *</x:v>
      </x:c>
      <x:c r="B77" s="14" t="str">
        <x:v>Смартфон</x:v>
      </x:c>
      <x:c r="C77" s="14" t="str">
        <x:v>CLS: сдвиги вёрстки</x:v>
      </x:c>
      <x:c r="D77" s="55" t="n">
        <x:f>MEDIAN('Прогоны'!F36:F38)/1</x:f>
        <x:v>0.1603888213851762</x:v>
      </x:c>
      <x:c r="E77" s="55" t="n">
        <x:f>MEDIAN('Прогоны'!F69:F71)/1</x:f>
        <x:v>0.0043293412056985055</x:v>
      </x:c>
      <x:c r="F77" s="56" t="n">
        <x:f>E77-D77</x:f>
        <x:v>-0.1560594801794777</x:v>
      </x:c>
      <x:c r="G77" s="57"/>
      <x:c r="H77" s="70" t="str"/>
    </x:row>
    <x:row r="78" ht="28" customHeight="1">
      <x:c r="A78" s="13" t="str">
        <x:v>Профиль Михайловой *</x:v>
      </x:c>
      <x:c r="B78" s="13" t="str">
        <x:v>Смартфон</x:v>
      </x:c>
      <x:c r="C78" s="13" t="str">
        <x:v>FCP: первая отрисовка</x:v>
      </x:c>
      <x:c r="D78" s="26" t="n">
        <x:f>MEDIAN('Прогоны'!G36:G38)/1000</x:f>
        <x:v>4.1791964</x:v>
      </x:c>
      <x:c r="E78" s="26" t="n">
        <x:f>MEDIAN('Прогоны'!G69:G71)/1000</x:f>
        <x:v>3.5249091000000004</x:v>
      </x:c>
      <x:c r="F78" s="53" t="n">
        <x:f>E78-D78</x:f>
        <x:v>-0.6542873</x:v>
      </x:c>
      <x:c r="G78" s="54" t="n">
        <x:f>IF(D78=0,"н/п",F78/D78)</x:f>
        <x:v>-0.1565581603200079</x:v>
      </x:c>
      <x:c r="H78" s="69" t="str">
        <x:v>с</x:v>
      </x:c>
    </x:row>
    <x:row r="79" ht="28" customHeight="1">
      <x:c r="A79" s="14" t="str">
        <x:v>Профиль Михайловой *</x:v>
      </x:c>
      <x:c r="B79" s="14" t="str">
        <x:v>Смартфон</x:v>
      </x:c>
      <x:c r="C79" s="14" t="str">
        <x:v>TBT: блокировка потока</x:v>
      </x:c>
      <x:c r="D79" s="58" t="n">
        <x:f>MEDIAN('Прогоны'!H36:H38)/1</x:f>
        <x:v>138.5</x:v>
      </x:c>
      <x:c r="E79" s="58" t="n">
        <x:f>MEDIAN('Прогоны'!H69:H71)/1</x:f>
        <x:v>151</x:v>
      </x:c>
      <x:c r="F79" s="59" t="n">
        <x:f>E79-D79</x:f>
        <x:v>12.5</x:v>
      </x:c>
      <x:c r="G79" s="57" t="n">
        <x:f>IF(D79=0,"н/п",F79/D79)</x:f>
        <x:v>0.09025270758122744</x:v>
      </x:c>
      <x:c r="H79" s="70" t="str">
        <x:v>мс</x:v>
      </x:c>
    </x:row>
    <x:row r="80" ht="28" customHeight="1">
      <x:c r="A80" s="13" t="str">
        <x:v>Профиль Михайловой *</x:v>
      </x:c>
      <x:c r="B80" s="13" t="str">
        <x:v>Смартфон</x:v>
      </x:c>
      <x:c r="C80" s="13" t="str">
        <x:v>Балл Lighthouse</x:v>
      </x:c>
      <x:c r="D80" s="60" t="n">
        <x:f>MEDIAN('Прогоны'!I36:I38)/1</x:f>
        <x:v>61</x:v>
      </x:c>
      <x:c r="E80" s="60" t="n">
        <x:f>MEDIAN('Прогоны'!I69:I71)/1</x:f>
        <x:v>70</x:v>
      </x:c>
      <x:c r="F80" s="61" t="n">
        <x:f>E80-D80</x:f>
        <x:v>9</x:v>
      </x:c>
      <x:c r="G80" s="54"/>
      <x:c r="H80" s="69" t="str">
        <x:v>балл</x:v>
      </x:c>
    </x:row>
    <x:row r="81" ht="28" customHeight="1">
      <x:c r="A81" s="14" t="str">
        <x:v>Профиль Михайловой *</x:v>
      </x:c>
      <x:c r="B81" s="14" t="str">
        <x:v>Смартфон</x:v>
      </x:c>
      <x:c r="C81" s="14" t="str">
        <x:v>Переданный объём</x:v>
      </x:c>
      <x:c r="D81" s="30" t="n">
        <x:f>MEDIAN('Прогоны'!J36:J38)/1000000</x:f>
        <x:v>1.230003</x:v>
      </x:c>
      <x:c r="E81" s="30" t="n">
        <x:f>MEDIAN('Прогоны'!J69:J71)/1000000</x:f>
        <x:v>1.219672</x:v>
      </x:c>
      <x:c r="F81" s="62" t="n">
        <x:f>E81-D81</x:f>
        <x:v>-0.010330999999999868</x:v>
      </x:c>
      <x:c r="G81" s="57" t="n">
        <x:f>IF(D81=0,"н/п",F81/D81)</x:f>
        <x:v>-0.008399166506097845</x:v>
      </x:c>
      <x:c r="H81" s="70" t="str">
        <x:v>МБ</x:v>
      </x:c>
    </x:row>
    <x:row r="82" ht="28" customHeight="1">
      <x:c r="A82" s="13" t="str">
        <x:v>Профиль Михайловой *</x:v>
      </x:c>
      <x:c r="B82" s="13" t="str">
        <x:v>Смартфон</x:v>
      </x:c>
      <x:c r="C82" s="13" t="str">
        <x:v>Количество запросов</x:v>
      </x:c>
      <x:c r="D82" s="60" t="n">
        <x:f>MEDIAN('Прогоны'!K36:K38)/1</x:f>
        <x:v>62</x:v>
      </x:c>
      <x:c r="E82" s="60" t="n">
        <x:f>MEDIAN('Прогоны'!K69:K71)/1</x:f>
        <x:v>65</x:v>
      </x:c>
      <x:c r="F82" s="61" t="n">
        <x:f>E82-D82</x:f>
        <x:v>3</x:v>
      </x:c>
      <x:c r="G82" s="54" t="n">
        <x:f>IF(D82=0,"н/п",F82/D82)</x:f>
        <x:v>0.04838709677419355</x:v>
      </x:c>
      <x:c r="H82" s="69" t="str">
        <x:v>шт.</x:v>
      </x:c>
    </x:row>
  </x:sheetData>
  <x:mergeCells>
    <x:mergeCell ref="A1:H1"/>
    <x:mergeCell ref="A2:H2"/>
    <x:mergeCell ref="A3:H3"/>
  </x:mergeCells>
  <x:conditionalFormatting sqref="E6:E6">
    <x:cfRule type="cellIs" dxfId="0" priority="1" operator="greaterThan">
      <x:formula>2.5</x:formula>
    </x:cfRule>
  </x:conditionalFormatting>
  <x:conditionalFormatting sqref="E7:E7">
    <x:cfRule type="cellIs" dxfId="1" priority="2" operator="greaterThan">
      <x:formula>0.1</x:formula>
    </x:cfRule>
  </x:conditionalFormatting>
  <x:conditionalFormatting sqref="E13:E13">
    <x:cfRule type="cellIs" dxfId="2" priority="3" operator="greaterThan">
      <x:formula>2.5</x:formula>
    </x:cfRule>
  </x:conditionalFormatting>
  <x:conditionalFormatting sqref="E14:E14">
    <x:cfRule type="cellIs" dxfId="3" priority="4" operator="greaterThan">
      <x:formula>0.1</x:formula>
    </x:cfRule>
  </x:conditionalFormatting>
  <x:conditionalFormatting sqref="E20:E20">
    <x:cfRule type="cellIs" dxfId="4" priority="5" operator="greaterThan">
      <x:formula>2.5</x:formula>
    </x:cfRule>
  </x:conditionalFormatting>
  <x:conditionalFormatting sqref="E21:E21">
    <x:cfRule type="cellIs" dxfId="5" priority="6" operator="greaterThan">
      <x:formula>0.1</x:formula>
    </x:cfRule>
  </x:conditionalFormatting>
  <x:conditionalFormatting sqref="E27:E27">
    <x:cfRule type="cellIs" dxfId="6" priority="7" operator="greaterThan">
      <x:formula>2.5</x:formula>
    </x:cfRule>
  </x:conditionalFormatting>
  <x:conditionalFormatting sqref="E28:E28">
    <x:cfRule type="cellIs" dxfId="7" priority="8" operator="greaterThan">
      <x:formula>0.1</x:formula>
    </x:cfRule>
  </x:conditionalFormatting>
  <x:conditionalFormatting sqref="E34:E34">
    <x:cfRule type="cellIs" dxfId="8" priority="9" operator="greaterThan">
      <x:formula>2.5</x:formula>
    </x:cfRule>
  </x:conditionalFormatting>
  <x:conditionalFormatting sqref="E35:E35">
    <x:cfRule type="cellIs" dxfId="9" priority="10" operator="greaterThan">
      <x:formula>0.1</x:formula>
    </x:cfRule>
  </x:conditionalFormatting>
  <x:conditionalFormatting sqref="E41:E41">
    <x:cfRule type="cellIs" dxfId="10" priority="11" operator="greaterThan">
      <x:formula>2.5</x:formula>
    </x:cfRule>
  </x:conditionalFormatting>
  <x:conditionalFormatting sqref="E42:E42">
    <x:cfRule type="cellIs" dxfId="11" priority="12" operator="greaterThan">
      <x:formula>0.1</x:formula>
    </x:cfRule>
  </x:conditionalFormatting>
  <x:conditionalFormatting sqref="E48:E48">
    <x:cfRule type="cellIs" dxfId="12" priority="13" operator="greaterThan">
      <x:formula>2.5</x:formula>
    </x:cfRule>
  </x:conditionalFormatting>
  <x:conditionalFormatting sqref="E49:E49">
    <x:cfRule type="cellIs" dxfId="13" priority="14" operator="greaterThan">
      <x:formula>0.1</x:formula>
    </x:cfRule>
  </x:conditionalFormatting>
  <x:conditionalFormatting sqref="E55:E55">
    <x:cfRule type="cellIs" dxfId="14" priority="15" operator="greaterThan">
      <x:formula>2.5</x:formula>
    </x:cfRule>
  </x:conditionalFormatting>
  <x:conditionalFormatting sqref="E56:E56">
    <x:cfRule type="cellIs" dxfId="15" priority="16" operator="greaterThan">
      <x:formula>0.1</x:formula>
    </x:cfRule>
  </x:conditionalFormatting>
  <x:conditionalFormatting sqref="E62:E62">
    <x:cfRule type="cellIs" dxfId="16" priority="17" operator="greaterThan">
      <x:formula>2.5</x:formula>
    </x:cfRule>
  </x:conditionalFormatting>
  <x:conditionalFormatting sqref="E63:E63">
    <x:cfRule type="cellIs" dxfId="17" priority="18" operator="greaterThan">
      <x:formula>0.1</x:formula>
    </x:cfRule>
  </x:conditionalFormatting>
  <x:conditionalFormatting sqref="E69:E69">
    <x:cfRule type="cellIs" dxfId="18" priority="19" operator="greaterThan">
      <x:formula>2.5</x:formula>
    </x:cfRule>
  </x:conditionalFormatting>
  <x:conditionalFormatting sqref="E70:E70">
    <x:cfRule type="cellIs" dxfId="19" priority="20" operator="greaterThan">
      <x:formula>0.1</x:formula>
    </x:cfRule>
  </x:conditionalFormatting>
  <x:conditionalFormatting sqref="E76:E76">
    <x:cfRule type="cellIs" dxfId="20" priority="21" operator="greaterThan">
      <x:formula>2.5</x:formula>
    </x:cfRule>
  </x:conditionalFormatting>
  <x:conditionalFormatting sqref="E77:E77">
    <x:cfRule type="cellIs" dxfId="21" priority="22" operator="greaterThan">
      <x:formula>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6191bcb6fc43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1" hidden="0" customWidth="1"/>
    <x:col min="4" max="4" width="23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3" hidden="0" customWidth="1"/>
    <x:col min="10" max="10" width="17" hidden="0" customWidth="1"/>
    <x:col min="11" max="11" width="12" hidden="0" customWidth="1"/>
    <x:col min="12" max="12" width="60" hidden="0" customWidth="1"/>
    <x:col min="13" max="13" width="23" hidden="0" customWidth="1"/>
    <x:col min="14" max="14" width="17" hidden="0" customWidth="1"/>
    <x:col min="15" max="15" width="55" hidden="0" customWidth="1"/>
  </x:cols>
  <x:sheetData>
    <x:row r="1" ht="36" customHeight="1">
      <x:c r="A1" s="4" t="str">
        <x:v>Отдельные измерения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5" t="str">
        <x:v>Клиника «Кожа». kozhaclinic.ru. 16 октября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8" customHeight="1">
      <x:c r="A3" s="7" t="str">
        <x:v>Источник: Lighthouse 13.4.1. 66 успешных прогонов, выбранных по правилу на вкладке «Методика».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2" customHeight="1">
      <x:c r="A5" s="12" t="str">
        <x:v>Страница</x:v>
      </x:c>
      <x:c r="B5" s="12" t="str">
        <x:v>Устройство</x:v>
      </x:c>
      <x:c r="C5" s="12" t="str">
        <x:v>Этап</x:v>
      </x:c>
      <x:c r="D5" s="12" t="str">
        <x:v>Время UTC</x:v>
      </x:c>
      <x:c r="E5" s="12" t="str">
        <x:v>LCP, мс</x:v>
      </x:c>
      <x:c r="F5" s="12" t="str">
        <x:v>CLS</x:v>
      </x:c>
      <x:c r="G5" s="12" t="str">
        <x:v>FCP, мс</x:v>
      </x:c>
      <x:c r="H5" s="12" t="str">
        <x:v>TBT, мс</x:v>
      </x:c>
      <x:c r="I5" s="12" t="str">
        <x:v>Lighthouse</x:v>
      </x:c>
      <x:c r="J5" s="12" t="str">
        <x:v>Байты</x:v>
      </x:c>
      <x:c r="K5" s="12" t="str">
        <x:v>Запросы</x:v>
      </x:c>
      <x:c r="L5" s="12" t="str">
        <x:v>Адрес</x:v>
      </x:c>
      <x:c r="M5" s="12" t="str">
        <x:v>Серия</x:v>
      </x:c>
      <x:c r="N5" s="12" t="str">
        <x:v>CPU benchmark</x:v>
      </x:c>
      <x:c r="O5" s="12" t="str">
        <x:v>ID прогона</x:v>
      </x:c>
    </x:row>
    <x:row r="6" ht="28" customHeight="1">
      <x:c r="A6" s="13" t="str">
        <x:v>Главная</x:v>
      </x:c>
      <x:c r="B6" s="13" t="str">
        <x:v>Смартфон</x:v>
      </x:c>
      <x:c r="C6" s="13" t="str">
        <x:v>До</x:v>
      </x:c>
      <x:c r="D6" s="25" t="d">
        <x:v>2026-10-16T15:34:08.703Z</x:v>
      </x:c>
      <x:c r="E6" s="26" t="n">
        <x:v>4770.2694</x:v>
      </x:c>
      <x:c r="F6" s="27" t="n">
        <x:v>0.1603888213851762</x:v>
      </x:c>
      <x:c r="G6" s="26" t="n">
        <x:v>4376.24246</x:v>
      </x:c>
      <x:c r="H6" s="26" t="n">
        <x:v>178</x:v>
      </x:c>
      <x:c r="I6" s="28" t="n">
        <x:v>56</x:v>
      </x:c>
      <x:c r="J6" s="28" t="n">
        <x:v>4608204</x:v>
      </x:c>
      <x:c r="K6" s="35" t="n">
        <x:v>157</x:v>
      </x:c>
      <x:c r="L6" s="33" t="str">
        <x:v>/</x:v>
      </x:c>
      <x:c r="M6" s="13" t="str">
        <x:v>Повтор исходной</x:v>
      </x:c>
      <x:c r="N6" s="37" t="n">
        <x:v>3660.5</x:v>
      </x:c>
      <x:c r="O6" s="13" t="str">
        <x:v>recheck-late-original/home-mobile-01.json</x:v>
      </x:c>
    </x:row>
    <x:row r="7" ht="28" customHeight="1">
      <x:c r="A7" s="14" t="str">
        <x:v>Главная</x:v>
      </x:c>
      <x:c r="B7" s="14" t="str">
        <x:v>Смартфон</x:v>
      </x:c>
      <x:c r="C7" s="14" t="str">
        <x:v>До</x:v>
      </x:c>
      <x:c r="D7" s="29" t="d">
        <x:v>2026-10-16T15:34:39.572Z</x:v>
      </x:c>
      <x:c r="E7" s="30" t="n">
        <x:v>4820.475</x:v>
      </x:c>
      <x:c r="F7" s="31" t="n">
        <x:v>0.1603888213851762</x:v>
      </x:c>
      <x:c r="G7" s="30" t="n">
        <x:v>4420.427500000001</x:v>
      </x:c>
      <x:c r="H7" s="30" t="n">
        <x:v>180</x:v>
      </x:c>
      <x:c r="I7" s="32" t="n">
        <x:v>56</x:v>
      </x:c>
      <x:c r="J7" s="32" t="n">
        <x:v>4607915</x:v>
      </x:c>
      <x:c r="K7" s="36" t="n">
        <x:v>156</x:v>
      </x:c>
      <x:c r="L7" s="34" t="str">
        <x:v>/</x:v>
      </x:c>
      <x:c r="M7" s="14" t="str">
        <x:v>Повтор исходной</x:v>
      </x:c>
      <x:c r="N7" s="38" t="n">
        <x:v>3638.5</x:v>
      </x:c>
      <x:c r="O7" s="14" t="str">
        <x:v>recheck-late-original/home-mobile-02.json</x:v>
      </x:c>
    </x:row>
    <x:row r="8" ht="28" customHeight="1">
      <x:c r="A8" s="13" t="str">
        <x:v>Главная</x:v>
      </x:c>
      <x:c r="B8" s="13" t="str">
        <x:v>Смартфон</x:v>
      </x:c>
      <x:c r="C8" s="13" t="str">
        <x:v>До</x:v>
      </x:c>
      <x:c r="D8" s="25" t="d">
        <x:v>2026-10-16T15:35:09.765Z</x:v>
      </x:c>
      <x:c r="E8" s="26" t="n">
        <x:v>5285.8375</x:v>
      </x:c>
      <x:c r="F8" s="27" t="n">
        <x:v>0.1603888213851762</x:v>
      </x:c>
      <x:c r="G8" s="26" t="n">
        <x:v>4890.2679</x:v>
      </x:c>
      <x:c r="H8" s="26" t="n">
        <x:v>152.5</x:v>
      </x:c>
      <x:c r="I8" s="28" t="n">
        <x:v>53</x:v>
      </x:c>
      <x:c r="J8" s="28" t="n">
        <x:v>4607567</x:v>
      </x:c>
      <x:c r="K8" s="35" t="n">
        <x:v>157</x:v>
      </x:c>
      <x:c r="L8" s="33" t="str">
        <x:v>/</x:v>
      </x:c>
      <x:c r="M8" s="13" t="str">
        <x:v>Повтор исходной</x:v>
      </x:c>
      <x:c r="N8" s="37" t="n">
        <x:v>3660</x:v>
      </x:c>
      <x:c r="O8" s="13" t="str">
        <x:v>recheck-late-original/home-mobile-03.json</x:v>
      </x:c>
    </x:row>
    <x:row r="9" ht="28" customHeight="1">
      <x:c r="A9" s="14" t="str">
        <x:v>Главная</x:v>
      </x:c>
      <x:c r="B9" s="14" t="str">
        <x:v>Компьютер</x:v>
      </x:c>
      <x:c r="C9" s="14" t="str">
        <x:v>До</x:v>
      </x:c>
      <x:c r="D9" s="29" t="d">
        <x:v>2026-10-16T11:32:03.545Z</x:v>
      </x:c>
      <x:c r="E9" s="30" t="n">
        <x:v>2597.14056</x:v>
      </x:c>
      <x:c r="F9" s="31" t="n">
        <x:v>0.1033707865168539</x:v>
      </x:c>
      <x:c r="G9" s="30" t="n">
        <x:v>2597.14056</x:v>
      </x:c>
      <x:c r="H9" s="30" t="n">
        <x:v>0</x:v>
      </x:c>
      <x:c r="I9" s="32" t="n">
        <x:v>65</x:v>
      </x:c>
      <x:c r="J9" s="32" t="n">
        <x:v>5797306</x:v>
      </x:c>
      <x:c r="K9" s="36" t="n">
        <x:v>163</x:v>
      </x:c>
      <x:c r="L9" s="34" t="str">
        <x:v>/</x:v>
      </x:c>
      <x:c r="M9" s="14" t="str">
        <x:v>Первоначальная</x:v>
      </x:c>
      <x:c r="N9" s="38" t="n">
        <x:v>3572</x:v>
      </x:c>
      <x:c r="O9" s="14" t="str">
        <x:v>before/home-desktop-01.json</x:v>
      </x:c>
    </x:row>
    <x:row r="10" ht="28" customHeight="1">
      <x:c r="A10" s="13" t="str">
        <x:v>Главная</x:v>
      </x:c>
      <x:c r="B10" s="13" t="str">
        <x:v>Компьютер</x:v>
      </x:c>
      <x:c r="C10" s="13" t="str">
        <x:v>До</x:v>
      </x:c>
      <x:c r="D10" s="25" t="d">
        <x:v>2026-10-16T11:32:37.489Z</x:v>
      </x:c>
      <x:c r="E10" s="26" t="n">
        <x:v>2656.3936</x:v>
      </x:c>
      <x:c r="F10" s="27" t="n">
        <x:v>0.1033707865168539</x:v>
      </x:c>
      <x:c r="G10" s="26" t="n">
        <x:v>2656.3936</x:v>
      </x:c>
      <x:c r="H10" s="26" t="n">
        <x:v>0</x:v>
      </x:c>
      <x:c r="I10" s="28" t="n">
        <x:v>64</x:v>
      </x:c>
      <x:c r="J10" s="28" t="n">
        <x:v>5797704</x:v>
      </x:c>
      <x:c r="K10" s="35" t="n">
        <x:v>163</x:v>
      </x:c>
      <x:c r="L10" s="33" t="str">
        <x:v>/</x:v>
      </x:c>
      <x:c r="M10" s="13" t="str">
        <x:v>Первоначальная</x:v>
      </x:c>
      <x:c r="N10" s="37" t="n">
        <x:v>3606</x:v>
      </x:c>
      <x:c r="O10" s="13" t="str">
        <x:v>before/home-desktop-02.json</x:v>
      </x:c>
    </x:row>
    <x:row r="11" ht="28" customHeight="1">
      <x:c r="A11" s="14" t="str">
        <x:v>Главная</x:v>
      </x:c>
      <x:c r="B11" s="14" t="str">
        <x:v>Компьютер</x:v>
      </x:c>
      <x:c r="C11" s="14" t="str">
        <x:v>До</x:v>
      </x:c>
      <x:c r="D11" s="29" t="d">
        <x:v>2026-10-16T11:33:07.685Z</x:v>
      </x:c>
      <x:c r="E11" s="30" t="n">
        <x:v>4316.58044</x:v>
      </x:c>
      <x:c r="F11" s="31" t="n">
        <x:v>0.1033707865168539</x:v>
      </x:c>
      <x:c r="G11" s="30" t="n">
        <x:v>4023.87326</x:v>
      </x:c>
      <x:c r="H11" s="30" t="n">
        <x:v>0</x:v>
      </x:c>
      <x:c r="I11" s="32" t="n">
        <x:v>56</x:v>
      </x:c>
      <x:c r="J11" s="32" t="n">
        <x:v>5798482</x:v>
      </x:c>
      <x:c r="K11" s="36" t="n">
        <x:v>165</x:v>
      </x:c>
      <x:c r="L11" s="34" t="str">
        <x:v>/</x:v>
      </x:c>
      <x:c r="M11" s="14" t="str">
        <x:v>Первоначальная</x:v>
      </x:c>
      <x:c r="N11" s="38" t="n">
        <x:v>3642.5</x:v>
      </x:c>
      <x:c r="O11" s="14" t="str">
        <x:v>before/home-desktop-03.json</x:v>
      </x:c>
    </x:row>
    <x:row r="12" ht="28" customHeight="1">
      <x:c r="A12" s="13" t="str">
        <x:v>Каталог услуг</x:v>
      </x:c>
      <x:c r="B12" s="13" t="str">
        <x:v>Смартфон</x:v>
      </x:c>
      <x:c r="C12" s="13" t="str">
        <x:v>До</x:v>
      </x:c>
      <x:c r="D12" s="25" t="d">
        <x:v>2026-10-16T14:45:37.393Z</x:v>
      </x:c>
      <x:c r="E12" s="26" t="n">
        <x:v>4011.0857999999994</x:v>
      </x:c>
      <x:c r="F12" s="27" t="n">
        <x:v>0.1603888213851762</x:v>
      </x:c>
      <x:c r="G12" s="26" t="n">
        <x:v>4011.0857999999994</x:v>
      </x:c>
      <x:c r="H12" s="26" t="n">
        <x:v>147</x:v>
      </x:c>
      <x:c r="I12" s="28" t="n">
        <x:v>64</x:v>
      </x:c>
      <x:c r="J12" s="28" t="n">
        <x:v>2170751</x:v>
      </x:c>
      <x:c r="K12" s="35" t="n">
        <x:v>69</x:v>
      </x:c>
      <x:c r="L12" s="33" t="str">
        <x:v>/uslugi/</x:v>
      </x:c>
      <x:c r="M12" s="13" t="str">
        <x:v>Контроль исходной</x:v>
      </x:c>
      <x:c r="N12" s="37" t="n">
        <x:v>3612</x:v>
      </x:c>
      <x:c r="O12" s="13" t="str">
        <x:v>recheck-original-control/catalog-mobile-01.json</x:v>
      </x:c>
    </x:row>
    <x:row r="13" ht="28" customHeight="1">
      <x:c r="A13" s="14" t="str">
        <x:v>Каталог услуг</x:v>
      </x:c>
      <x:c r="B13" s="14" t="str">
        <x:v>Смартфон</x:v>
      </x:c>
      <x:c r="C13" s="14" t="str">
        <x:v>До</x:v>
      </x:c>
      <x:c r="D13" s="29" t="d">
        <x:v>2026-10-16T14:46:03.360Z</x:v>
      </x:c>
      <x:c r="E13" s="30" t="n">
        <x:v>4250.996069999999</x:v>
      </x:c>
      <x:c r="F13" s="31" t="n">
        <x:v>0.1603888213851762</x:v>
      </x:c>
      <x:c r="G13" s="30" t="n">
        <x:v>3871.1998399999993</x:v>
      </x:c>
      <x:c r="H13" s="30" t="n">
        <x:v>159</x:v>
      </x:c>
      <x:c r="I13" s="32" t="n">
        <x:v>63</x:v>
      </x:c>
      <x:c r="J13" s="32" t="n">
        <x:v>2170520</x:v>
      </x:c>
      <x:c r="K13" s="36" t="n">
        <x:v>69</x:v>
      </x:c>
      <x:c r="L13" s="34" t="str">
        <x:v>/uslugi/</x:v>
      </x:c>
      <x:c r="M13" s="14" t="str">
        <x:v>Контроль исходной</x:v>
      </x:c>
      <x:c r="N13" s="38" t="n">
        <x:v>3588.5</x:v>
      </x:c>
      <x:c r="O13" s="14" t="str">
        <x:v>recheck-original-control/catalog-mobile-02.json</x:v>
      </x:c>
    </x:row>
    <x:row r="14" ht="28" customHeight="1">
      <x:c r="A14" s="13" t="str">
        <x:v>Каталог услуг</x:v>
      </x:c>
      <x:c r="B14" s="13" t="str">
        <x:v>Смартфон</x:v>
      </x:c>
      <x:c r="C14" s="13" t="str">
        <x:v>До</x:v>
      </x:c>
      <x:c r="D14" s="25" t="d">
        <x:v>2026-10-16T14:46:30.228Z</x:v>
      </x:c>
      <x:c r="E14" s="26" t="n">
        <x:v>4469.834200000001</x:v>
      </x:c>
      <x:c r="F14" s="27" t="n">
        <x:v>0.1603888213851762</x:v>
      </x:c>
      <x:c r="G14" s="26" t="n">
        <x:v>4087.219400000001</x:v>
      </x:c>
      <x:c r="H14" s="26" t="n">
        <x:v>139.5</x:v>
      </x:c>
      <x:c r="I14" s="28" t="n">
        <x:v>61</x:v>
      </x:c>
      <x:c r="J14" s="28" t="n">
        <x:v>2170523</x:v>
      </x:c>
      <x:c r="K14" s="35" t="n">
        <x:v>69</x:v>
      </x:c>
      <x:c r="L14" s="33" t="str">
        <x:v>/uslugi/</x:v>
      </x:c>
      <x:c r="M14" s="13" t="str">
        <x:v>Контроль исходной</x:v>
      </x:c>
      <x:c r="N14" s="37" t="n">
        <x:v>3660.5</x:v>
      </x:c>
      <x:c r="O14" s="13" t="str">
        <x:v>recheck-original-control/catalog-mobile-03.json</x:v>
      </x:c>
    </x:row>
    <x:row r="15" ht="28" customHeight="1">
      <x:c r="A15" s="14" t="str">
        <x:v>Аппаратная косметология</x:v>
      </x:c>
      <x:c r="B15" s="14" t="str">
        <x:v>Смартфон</x:v>
      </x:c>
      <x:c r="C15" s="14" t="str">
        <x:v>До</x:v>
      </x:c>
      <x:c r="D15" s="29" t="d">
        <x:v>2026-10-16T11:35:14.062Z</x:v>
      </x:c>
      <x:c r="E15" s="30" t="n">
        <x:v>4403.0064</x:v>
      </x:c>
      <x:c r="F15" s="31" t="n">
        <x:v>0.02562487633015875</x:v>
      </x:c>
      <x:c r="G15" s="30" t="n">
        <x:v>4027.9438</x:v>
      </x:c>
      <x:c r="H15" s="30" t="n">
        <x:v>164</x:v>
      </x:c>
      <x:c r="I15" s="32" t="n">
        <x:v>67</x:v>
      </x:c>
      <x:c r="J15" s="32" t="n">
        <x:v>1255910</x:v>
      </x:c>
      <x:c r="K15" s="36" t="n">
        <x:v>65</x:v>
      </x:c>
      <x:c r="L15" s="34" t="str">
        <x:v>/apparatnaya-kosmetologiya/</x:v>
      </x:c>
      <x:c r="M15" s="14" t="str">
        <x:v>Первоначальная</x:v>
      </x:c>
      <x:c r="N15" s="38" t="n">
        <x:v>3556.5</x:v>
      </x:c>
      <x:c r="O15" s="14" t="str">
        <x:v>before/category-mobile-01.json</x:v>
      </x:c>
    </x:row>
    <x:row r="16" ht="28" customHeight="1">
      <x:c r="A16" s="13" t="str">
        <x:v>Аппаратная косметология</x:v>
      </x:c>
      <x:c r="B16" s="13" t="str">
        <x:v>Смартфон</x:v>
      </x:c>
      <x:c r="C16" s="13" t="str">
        <x:v>До</x:v>
      </x:c>
      <x:c r="D16" s="25" t="d">
        <x:v>2026-10-16T11:35:41.093Z</x:v>
      </x:c>
      <x:c r="E16" s="26" t="n">
        <x:v>4263.5346</x:v>
      </x:c>
      <x:c r="F16" s="27" t="n">
        <x:v>0.02562487633015875</x:v>
      </x:c>
      <x:c r="G16" s="26" t="n">
        <x:v>4263.5346</x:v>
      </x:c>
      <x:c r="H16" s="26" t="n">
        <x:v>283</x:v>
      </x:c>
      <x:c r="I16" s="28" t="n">
        <x:v>63</x:v>
      </x:c>
      <x:c r="J16" s="28" t="n">
        <x:v>1255970</x:v>
      </x:c>
      <x:c r="K16" s="35" t="n">
        <x:v>65</x:v>
      </x:c>
      <x:c r="L16" s="33" t="str">
        <x:v>/apparatnaya-kosmetologiya/</x:v>
      </x:c>
      <x:c r="M16" s="13" t="str">
        <x:v>Первоначальная</x:v>
      </x:c>
      <x:c r="N16" s="37" t="n">
        <x:v>3392</x:v>
      </x:c>
      <x:c r="O16" s="13" t="str">
        <x:v>before/category-mobile-02.json</x:v>
      </x:c>
    </x:row>
    <x:row r="17" ht="28" customHeight="1">
      <x:c r="A17" s="14" t="str">
        <x:v>Аппаратная косметология</x:v>
      </x:c>
      <x:c r="B17" s="14" t="str">
        <x:v>Смартфон</x:v>
      </x:c>
      <x:c r="C17" s="14" t="str">
        <x:v>До</x:v>
      </x:c>
      <x:c r="D17" s="29" t="d">
        <x:v>2026-10-16T11:36:07.426Z</x:v>
      </x:c>
      <x:c r="E17" s="30" t="n">
        <x:v>4476.0503</x:v>
      </x:c>
      <x:c r="F17" s="31" t="n">
        <x:v>0.02562487633015875</x:v>
      </x:c>
      <x:c r="G17" s="30" t="n">
        <x:v>4099.8296</x:v>
      </x:c>
      <x:c r="H17" s="30" t="n">
        <x:v>256</x:v>
      </x:c>
      <x:c r="I17" s="32" t="n">
        <x:v>63</x:v>
      </x:c>
      <x:c r="J17" s="32" t="n">
        <x:v>1255737</x:v>
      </x:c>
      <x:c r="K17" s="36" t="n">
        <x:v>65</x:v>
      </x:c>
      <x:c r="L17" s="34" t="str">
        <x:v>/apparatnaya-kosmetologiya/</x:v>
      </x:c>
      <x:c r="M17" s="14" t="str">
        <x:v>Первоначальная</x:v>
      </x:c>
      <x:c r="N17" s="38" t="n">
        <x:v>3661</x:v>
      </x:c>
      <x:c r="O17" s="14" t="str">
        <x:v>before/category-mobile-03.json</x:v>
      </x:c>
    </x:row>
    <x:row r="18" ht="38" customHeight="1">
      <x:c r="A18" s="13" t="str">
        <x:v>Morpheus 8</x:v>
      </x:c>
      <x:c r="B18" s="13" t="str">
        <x:v>Смартфон</x:v>
      </x:c>
      <x:c r="C18" s="13" t="str">
        <x:v>До</x:v>
      </x:c>
      <x:c r="D18" s="25" t="d">
        <x:v>2026-10-16T11:36:34.737Z</x:v>
      </x:c>
      <x:c r="E18" s="26" t="n">
        <x:v>4327.724030000001</x:v>
      </x:c>
      <x:c r="F18" s="27" t="n">
        <x:v>0.00444062659343231</x:v>
      </x:c>
      <x:c r="G18" s="26" t="n">
        <x:v>3971.942360000001</x:v>
      </x:c>
      <x:c r="H18" s="26" t="n">
        <x:v>266</x:v>
      </x:c>
      <x:c r="I18" s="28" t="n">
        <x:v>64</x:v>
      </x:c>
      <x:c r="J18" s="28" t="n">
        <x:v>1262000</x:v>
      </x:c>
      <x:c r="K18" s="35" t="n">
        <x:v>65</x:v>
      </x:c>
      <x:c r="L18" s="33" t="str">
        <x:v>/apparatnaya-kosmetologiya/igolchatyy-rf-lifting-na-morpheus-8/</x:v>
      </x:c>
      <x:c r="M18" s="13" t="str">
        <x:v>Первоначальная</x:v>
      </x:c>
      <x:c r="N18" s="37" t="n">
        <x:v>3652.5</x:v>
      </x:c>
      <x:c r="O18" s="13" t="str">
        <x:v>before/service-mobile-01.json</x:v>
      </x:c>
    </x:row>
    <x:row r="19" ht="38" customHeight="1">
      <x:c r="A19" s="14" t="str">
        <x:v>Morpheus 8</x:v>
      </x:c>
      <x:c r="B19" s="14" t="str">
        <x:v>Смартфон</x:v>
      </x:c>
      <x:c r="C19" s="14" t="str">
        <x:v>До</x:v>
      </x:c>
      <x:c r="D19" s="29" t="d">
        <x:v>2026-10-16T11:37:00.624Z</x:v>
      </x:c>
      <x:c r="E19" s="30" t="n">
        <x:v>4408.981699999999</x:v>
      </x:c>
      <x:c r="F19" s="31" t="n">
        <x:v>0.00444062659343231</x:v>
      </x:c>
      <x:c r="G19" s="30" t="n">
        <x:v>4037.7983999999997</x:v>
      </x:c>
      <x:c r="H19" s="30" t="n">
        <x:v>364</x:v>
      </x:c>
      <x:c r="I19" s="32" t="n">
        <x:v>61</x:v>
      </x:c>
      <x:c r="J19" s="32" t="n">
        <x:v>1262003</x:v>
      </x:c>
      <x:c r="K19" s="36" t="n">
        <x:v>65</x:v>
      </x:c>
      <x:c r="L19" s="34" t="str">
        <x:v>/apparatnaya-kosmetologiya/igolchatyy-rf-lifting-na-morpheus-8/</x:v>
      </x:c>
      <x:c r="M19" s="14" t="str">
        <x:v>Первоначальная</x:v>
      </x:c>
      <x:c r="N19" s="38" t="n">
        <x:v>3563.5</x:v>
      </x:c>
      <x:c r="O19" s="14" t="str">
        <x:v>before/service-mobile-02.json</x:v>
      </x:c>
    </x:row>
    <x:row r="20" ht="38" customHeight="1">
      <x:c r="A20" s="13" t="str">
        <x:v>Morpheus 8</x:v>
      </x:c>
      <x:c r="B20" s="13" t="str">
        <x:v>Смартфон</x:v>
      </x:c>
      <x:c r="C20" s="13" t="str">
        <x:v>До</x:v>
      </x:c>
      <x:c r="D20" s="25" t="d">
        <x:v>2026-10-16T11:37:26.223Z</x:v>
      </x:c>
      <x:c r="E20" s="26" t="n">
        <x:v>4417.132799999999</x:v>
      </x:c>
      <x:c r="F20" s="27" t="n">
        <x:v>0.00444062659343231</x:v>
      </x:c>
      <x:c r="G20" s="26" t="n">
        <x:v>4046.1415999999995</x:v>
      </x:c>
      <x:c r="H20" s="26" t="n">
        <x:v>235</x:v>
      </x:c>
      <x:c r="I20" s="28" t="n">
        <x:v>65</x:v>
      </x:c>
      <x:c r="J20" s="28" t="n">
        <x:v>1261901</x:v>
      </x:c>
      <x:c r="K20" s="35" t="n">
        <x:v>65</x:v>
      </x:c>
      <x:c r="L20" s="33" t="str">
        <x:v>/apparatnaya-kosmetologiya/igolchatyy-rf-lifting-na-morpheus-8/</x:v>
      </x:c>
      <x:c r="M20" s="13" t="str">
        <x:v>Первоначальная</x:v>
      </x:c>
      <x:c r="N20" s="37" t="n">
        <x:v>3680.5</x:v>
      </x:c>
      <x:c r="O20" s="13" t="str">
        <x:v>before/service-mobile-03.json</x:v>
      </x:c>
    </x:row>
    <x:row r="21" ht="38" customHeight="1">
      <x:c r="A21" s="14" t="str">
        <x:v>Morpheus 8</x:v>
      </x:c>
      <x:c r="B21" s="14" t="str">
        <x:v>Компьютер</x:v>
      </x:c>
      <x:c r="C21" s="14" t="str">
        <x:v>До</x:v>
      </x:c>
      <x:c r="D21" s="29" t="d">
        <x:v>2026-10-16T11:37:53.292Z</x:v>
      </x:c>
      <x:c r="E21" s="30" t="n">
        <x:v>3381.3617000000004</x:v>
      </x:c>
      <x:c r="F21" s="31" t="n">
        <x:v>0.008741505881215297</x:v>
      </x:c>
      <x:c r="G21" s="30" t="n">
        <x:v>3381.3617000000004</x:v>
      </x:c>
      <x:c r="H21" s="30" t="n">
        <x:v>0</x:v>
      </x:c>
      <x:c r="I21" s="32" t="n">
        <x:v>62</x:v>
      </x:c>
      <x:c r="J21" s="32" t="n">
        <x:v>1760298</x:v>
      </x:c>
      <x:c r="K21" s="36" t="n">
        <x:v>69</x:v>
      </x:c>
      <x:c r="L21" s="34" t="str">
        <x:v>/apparatnaya-kosmetologiya/igolchatyy-rf-lifting-na-morpheus-8/</x:v>
      </x:c>
      <x:c r="M21" s="14" t="str">
        <x:v>Первоначальная</x:v>
      </x:c>
      <x:c r="N21" s="38" t="n">
        <x:v>3396.5</x:v>
      </x:c>
      <x:c r="O21" s="14" t="str">
        <x:v>before/service-desktop-01.json</x:v>
      </x:c>
    </x:row>
    <x:row r="22" ht="38" customHeight="1">
      <x:c r="A22" s="13" t="str">
        <x:v>Morpheus 8</x:v>
      </x:c>
      <x:c r="B22" s="13" t="str">
        <x:v>Компьютер</x:v>
      </x:c>
      <x:c r="C22" s="13" t="str">
        <x:v>До</x:v>
      </x:c>
      <x:c r="D22" s="25" t="d">
        <x:v>2026-10-16T11:38:19.272Z</x:v>
      </x:c>
      <x:c r="E22" s="26" t="n">
        <x:v>4359.72142</x:v>
      </x:c>
      <x:c r="F22" s="27" t="n">
        <x:v>0.010597285159030531</x:v>
      </x:c>
      <x:c r="G22" s="26" t="n">
        <x:v>4359.72142</x:v>
      </x:c>
      <x:c r="H22" s="26" t="n">
        <x:v>0</x:v>
      </x:c>
      <x:c r="I22" s="28" t="n">
        <x:v>58</x:v>
      </x:c>
      <x:c r="J22" s="28" t="n">
        <x:v>1760161</x:v>
      </x:c>
      <x:c r="K22" s="35" t="n">
        <x:v>69</x:v>
      </x:c>
      <x:c r="L22" s="33" t="str">
        <x:v>/apparatnaya-kosmetologiya/igolchatyy-rf-lifting-na-morpheus-8/</x:v>
      </x:c>
      <x:c r="M22" s="13" t="str">
        <x:v>Первоначальная</x:v>
      </x:c>
      <x:c r="N22" s="37" t="n">
        <x:v>3531.5</x:v>
      </x:c>
      <x:c r="O22" s="13" t="str">
        <x:v>before/service-desktop-02.json</x:v>
      </x:c>
    </x:row>
    <x:row r="23" ht="38" customHeight="1">
      <x:c r="A23" s="14" t="str">
        <x:v>Morpheus 8</x:v>
      </x:c>
      <x:c r="B23" s="14" t="str">
        <x:v>Компьютер</x:v>
      </x:c>
      <x:c r="C23" s="14" t="str">
        <x:v>До</x:v>
      </x:c>
      <x:c r="D23" s="29" t="d">
        <x:v>2026-10-16T11:38:58.222Z</x:v>
      </x:c>
      <x:c r="E23" s="30" t="n">
        <x:v>2761.2223</x:v>
      </x:c>
      <x:c r="F23" s="31" t="n">
        <x:v>0.008741505881215297</x:v>
      </x:c>
      <x:c r="G23" s="30" t="n">
        <x:v>2761.2223</x:v>
      </x:c>
      <x:c r="H23" s="30" t="n">
        <x:v>0</x:v>
      </x:c>
      <x:c r="I23" s="32" t="n">
        <x:v>67</x:v>
      </x:c>
      <x:c r="J23" s="32" t="n">
        <x:v>1760260</x:v>
      </x:c>
      <x:c r="K23" s="36" t="n">
        <x:v>69</x:v>
      </x:c>
      <x:c r="L23" s="34" t="str">
        <x:v>/apparatnaya-kosmetologiya/igolchatyy-rf-lifting-na-morpheus-8/</x:v>
      </x:c>
      <x:c r="M23" s="14" t="str">
        <x:v>Первоначальная</x:v>
      </x:c>
      <x:c r="N23" s="38" t="n">
        <x:v>3647</x:v>
      </x:c>
      <x:c r="O23" s="14" t="str">
        <x:v>before/service-desktop-03.json</x:v>
      </x:c>
    </x:row>
    <x:row r="24" ht="28" customHeight="1">
      <x:c r="A24" s="13" t="str">
        <x:v>Лечение розацеа</x:v>
      </x:c>
      <x:c r="B24" s="13" t="str">
        <x:v>Смартфон</x:v>
      </x:c>
      <x:c r="C24" s="13" t="str">
        <x:v>До</x:v>
      </x:c>
      <x:c r="D24" s="25" t="d">
        <x:v>2026-10-16T11:39:24.838Z</x:v>
      </x:c>
      <x:c r="E24" s="26" t="n">
        <x:v>4062.0286000000015</x:v>
      </x:c>
      <x:c r="F24" s="27" t="n">
        <x:v>0.004330143901759635</x:v>
      </x:c>
      <x:c r="G24" s="26" t="n">
        <x:v>4062.0286000000015</x:v>
      </x:c>
      <x:c r="H24" s="26" t="n">
        <x:v>269.5</x:v>
      </x:c>
      <x:c r="I24" s="28" t="n">
        <x:v>66</x:v>
      </x:c>
      <x:c r="J24" s="28" t="n">
        <x:v>1253748</x:v>
      </x:c>
      <x:c r="K24" s="35" t="n">
        <x:v>64</x:v>
      </x:c>
      <x:c r="L24" s="33" t="str">
        <x:v>/ubrat-rozatsea/</x:v>
      </x:c>
      <x:c r="M24" s="13" t="str">
        <x:v>Первоначальная</x:v>
      </x:c>
      <x:c r="N24" s="37" t="n">
        <x:v>3482.5</x:v>
      </x:c>
      <x:c r="O24" s="13" t="str">
        <x:v>before/problem-mobile-01.json</x:v>
      </x:c>
    </x:row>
    <x:row r="25" ht="28" customHeight="1">
      <x:c r="A25" s="14" t="str">
        <x:v>Лечение розацеа</x:v>
      </x:c>
      <x:c r="B25" s="14" t="str">
        <x:v>Смартфон</x:v>
      </x:c>
      <x:c r="C25" s="14" t="str">
        <x:v>До</x:v>
      </x:c>
      <x:c r="D25" s="29" t="d">
        <x:v>2026-10-16T11:39:50.029Z</x:v>
      </x:c>
      <x:c r="E25" s="30" t="n">
        <x:v>4050.0200000000004</x:v>
      </x:c>
      <x:c r="F25" s="31" t="n">
        <x:v>0.0043293412056985055</x:v>
      </x:c>
      <x:c r="G25" s="30" t="n">
        <x:v>4050.0200000000004</x:v>
      </x:c>
      <x:c r="H25" s="30" t="n">
        <x:v>303</x:v>
      </x:c>
      <x:c r="I25" s="32" t="n">
        <x:v>65</x:v>
      </x:c>
      <x:c r="J25" s="32" t="n">
        <x:v>1253584</x:v>
      </x:c>
      <x:c r="K25" s="36" t="n">
        <x:v>64</x:v>
      </x:c>
      <x:c r="L25" s="34" t="str">
        <x:v>/ubrat-rozatsea/</x:v>
      </x:c>
      <x:c r="M25" s="14" t="str">
        <x:v>Первоначальная</x:v>
      </x:c>
      <x:c r="N25" s="38" t="n">
        <x:v>3287</x:v>
      </x:c>
      <x:c r="O25" s="14" t="str">
        <x:v>before/problem-mobile-02.json</x:v>
      </x:c>
    </x:row>
    <x:row r="26" ht="28" customHeight="1">
      <x:c r="A26" s="13" t="str">
        <x:v>Лечение розацеа</x:v>
      </x:c>
      <x:c r="B26" s="13" t="str">
        <x:v>Смартфон</x:v>
      </x:c>
      <x:c r="C26" s="13" t="str">
        <x:v>До</x:v>
      </x:c>
      <x:c r="D26" s="25" t="d">
        <x:v>2026-10-16T11:40:14.030Z</x:v>
      </x:c>
      <x:c r="E26" s="26" t="n">
        <x:v>3999.7362000000003</x:v>
      </x:c>
      <x:c r="F26" s="27" t="n">
        <x:v>0.004330143901759635</x:v>
      </x:c>
      <x:c r="G26" s="26" t="n">
        <x:v>3999.7362000000003</x:v>
      </x:c>
      <x:c r="H26" s="26" t="n">
        <x:v>186</x:v>
      </x:c>
      <x:c r="I26" s="28" t="n">
        <x:v>70</x:v>
      </x:c>
      <x:c r="J26" s="28" t="n">
        <x:v>1253726</x:v>
      </x:c>
      <x:c r="K26" s="35" t="n">
        <x:v>64</x:v>
      </x:c>
      <x:c r="L26" s="33" t="str">
        <x:v>/ubrat-rozatsea/</x:v>
      </x:c>
      <x:c r="M26" s="13" t="str">
        <x:v>Первоначальная</x:v>
      </x:c>
      <x:c r="N26" s="37" t="n">
        <x:v>3681.5</x:v>
      </x:c>
      <x:c r="O26" s="13" t="str">
        <x:v>before/problem-mobile-03.json</x:v>
      </x:c>
    </x:row>
    <x:row r="27" ht="28" customHeight="1">
      <x:c r="A27" s="14" t="str">
        <x:v>Прайс</x:v>
      </x:c>
      <x:c r="B27" s="14" t="str">
        <x:v>Смартфон</x:v>
      </x:c>
      <x:c r="C27" s="14" t="str">
        <x:v>До</x:v>
      </x:c>
      <x:c r="D27" s="29" t="d">
        <x:v>2026-10-16T14:46:55.942Z</x:v>
      </x:c>
      <x:c r="E27" s="30" t="n">
        <x:v>4154.5734</x:v>
      </x:c>
      <x:c r="F27" s="31" t="n">
        <x:v>0.1992250048813954</x:v>
      </x:c>
      <x:c r="G27" s="30" t="n">
        <x:v>4154.5734</x:v>
      </x:c>
      <x:c r="H27" s="30" t="n">
        <x:v>146</x:v>
      </x:c>
      <x:c r="I27" s="32" t="n">
        <x:v>60</x:v>
      </x:c>
      <x:c r="J27" s="32" t="n">
        <x:v>1450041</x:v>
      </x:c>
      <x:c r="K27" s="36" t="n">
        <x:v>61</x:v>
      </x:c>
      <x:c r="L27" s="34" t="str">
        <x:v>/ceny-prajs-list/</x:v>
      </x:c>
      <x:c r="M27" s="14" t="str">
        <x:v>Контроль исходной</x:v>
      </x:c>
      <x:c r="N27" s="38" t="n">
        <x:v>3404.5</x:v>
      </x:c>
      <x:c r="O27" s="14" t="str">
        <x:v>recheck-original-control/prices-mobile-01.json</x:v>
      </x:c>
    </x:row>
    <x:row r="28" ht="28" customHeight="1">
      <x:c r="A28" s="13" t="str">
        <x:v>Прайс</x:v>
      </x:c>
      <x:c r="B28" s="13" t="str">
        <x:v>Смартфон</x:v>
      </x:c>
      <x:c r="C28" s="13" t="str">
        <x:v>До</x:v>
      </x:c>
      <x:c r="D28" s="25" t="d">
        <x:v>2026-10-16T14:47:25.441Z</x:v>
      </x:c>
      <x:c r="E28" s="26" t="n">
        <x:v>4988.84868</x:v>
      </x:c>
      <x:c r="F28" s="27" t="n">
        <x:v>0.19918361474591081</x:v>
      </x:c>
      <x:c r="G28" s="26" t="n">
        <x:v>4542.06897</x:v>
      </x:c>
      <x:c r="H28" s="26" t="n">
        <x:v>133.5</x:v>
      </x:c>
      <x:c r="I28" s="28" t="n">
        <x:v>52</x:v>
      </x:c>
      <x:c r="J28" s="28" t="n">
        <x:v>1450113</x:v>
      </x:c>
      <x:c r="K28" s="35" t="n">
        <x:v>61</x:v>
      </x:c>
      <x:c r="L28" s="33" t="str">
        <x:v>/ceny-prajs-list/</x:v>
      </x:c>
      <x:c r="M28" s="13" t="str">
        <x:v>Контроль исходной</x:v>
      </x:c>
      <x:c r="N28" s="37" t="n">
        <x:v>3458.5</x:v>
      </x:c>
      <x:c r="O28" s="13" t="str">
        <x:v>recheck-original-control/prices-mobile-02.json</x:v>
      </x:c>
    </x:row>
    <x:row r="29" ht="28" customHeight="1">
      <x:c r="A29" s="14" t="str">
        <x:v>Прайс</x:v>
      </x:c>
      <x:c r="B29" s="14" t="str">
        <x:v>Смартфон</x:v>
      </x:c>
      <x:c r="C29" s="14" t="str">
        <x:v>До</x:v>
      </x:c>
      <x:c r="D29" s="29" t="d">
        <x:v>2026-10-16T14:48:06.384Z</x:v>
      </x:c>
      <x:c r="E29" s="30" t="n">
        <x:v>4190.194199999999</x:v>
      </x:c>
      <x:c r="F29" s="31" t="n">
        <x:v>0.1992121335246339</x:v>
      </x:c>
      <x:c r="G29" s="30" t="n">
        <x:v>4190.194199999999</x:v>
      </x:c>
      <x:c r="H29" s="30" t="n">
        <x:v>160</x:v>
      </x:c>
      <x:c r="I29" s="32" t="n">
        <x:v>60</x:v>
      </x:c>
      <x:c r="J29" s="32" t="n">
        <x:v>1450582</x:v>
      </x:c>
      <x:c r="K29" s="36" t="n">
        <x:v>61</x:v>
      </x:c>
      <x:c r="L29" s="34" t="str">
        <x:v>/ceny-prajs-list/</x:v>
      </x:c>
      <x:c r="M29" s="14" t="str">
        <x:v>Контроль исходной</x:v>
      </x:c>
      <x:c r="N29" s="38" t="n">
        <x:v>3612.5</x:v>
      </x:c>
      <x:c r="O29" s="14" t="str">
        <x:v>recheck-original-control/prices-mobile-03.json</x:v>
      </x:c>
    </x:row>
    <x:row r="30" ht="28" customHeight="1">
      <x:c r="A30" s="13" t="str">
        <x:v>Контакты</x:v>
      </x:c>
      <x:c r="B30" s="13" t="str">
        <x:v>Смартфон</x:v>
      </x:c>
      <x:c r="C30" s="13" t="str">
        <x:v>До</x:v>
      </x:c>
      <x:c r="D30" s="25" t="d">
        <x:v>2026-10-16T15:35:40.835Z</x:v>
      </x:c>
      <x:c r="E30" s="26" t="n">
        <x:v>17323.71195</x:v>
      </x:c>
      <x:c r="F30" s="27" t="n">
        <x:v>0.1570758080637327</x:v>
      </x:c>
      <x:c r="G30" s="26" t="n">
        <x:v>4174.06006</x:v>
      </x:c>
      <x:c r="H30" s="26" t="n">
        <x:v>396</x:v>
      </x:c>
      <x:c r="I30" s="28" t="n">
        <x:v>42</x:v>
      </x:c>
      <x:c r="J30" s="28" t="n">
        <x:v>2118515</x:v>
      </x:c>
      <x:c r="K30" s="35" t="n">
        <x:v>78</x:v>
      </x:c>
      <x:c r="L30" s="33" t="str">
        <x:v>/kontakty/</x:v>
      </x:c>
      <x:c r="M30" s="13" t="str">
        <x:v>Повтор исходной</x:v>
      </x:c>
      <x:c r="N30" s="37" t="n">
        <x:v>3625</x:v>
      </x:c>
      <x:c r="O30" s="13" t="str">
        <x:v>recheck-late-original/contacts-mobile-01.json</x:v>
      </x:c>
    </x:row>
    <x:row r="31" ht="28" customHeight="1">
      <x:c r="A31" s="14" t="str">
        <x:v>Контакты</x:v>
      </x:c>
      <x:c r="B31" s="14" t="str">
        <x:v>Смартфон</x:v>
      </x:c>
      <x:c r="C31" s="14" t="str">
        <x:v>До</x:v>
      </x:c>
      <x:c r="D31" s="29" t="d">
        <x:v>2026-10-16T15:36:09.171Z</x:v>
      </x:c>
      <x:c r="E31" s="30" t="n">
        <x:v>17106.883499999996</x:v>
      </x:c>
      <x:c r="F31" s="31" t="n">
        <x:v>0.1570758080637327</x:v>
      </x:c>
      <x:c r="G31" s="30" t="n">
        <x:v>4255.8928</x:v>
      </x:c>
      <x:c r="H31" s="30" t="n">
        <x:v>427</x:v>
      </x:c>
      <x:c r="I31" s="32" t="n">
        <x:v>42</x:v>
      </x:c>
      <x:c r="J31" s="32" t="n">
        <x:v>2118264</x:v>
      </x:c>
      <x:c r="K31" s="36" t="n">
        <x:v>78</x:v>
      </x:c>
      <x:c r="L31" s="34" t="str">
        <x:v>/kontakty/</x:v>
      </x:c>
      <x:c r="M31" s="14" t="str">
        <x:v>Повтор исходной</x:v>
      </x:c>
      <x:c r="N31" s="38" t="n">
        <x:v>3660.5</x:v>
      </x:c>
      <x:c r="O31" s="14" t="str">
        <x:v>recheck-late-original/contacts-mobile-02.json</x:v>
      </x:c>
    </x:row>
    <x:row r="32" ht="28" customHeight="1">
      <x:c r="A32" s="13" t="str">
        <x:v>Контакты</x:v>
      </x:c>
      <x:c r="B32" s="13" t="str">
        <x:v>Смартфон</x:v>
      </x:c>
      <x:c r="C32" s="13" t="str">
        <x:v>До</x:v>
      </x:c>
      <x:c r="D32" s="25" t="d">
        <x:v>2026-10-16T15:36:37.322Z</x:v>
      </x:c>
      <x:c r="E32" s="26" t="n">
        <x:v>17191.262000000002</x:v>
      </x:c>
      <x:c r="F32" s="27" t="n">
        <x:v>0.1570758080637327</x:v>
      </x:c>
      <x:c r="G32" s="26" t="n">
        <x:v>4205.2703</x:v>
      </x:c>
      <x:c r="H32" s="26" t="n">
        <x:v>395</x:v>
      </x:c>
      <x:c r="I32" s="28" t="n">
        <x:v>43</x:v>
      </x:c>
      <x:c r="J32" s="28" t="n">
        <x:v>2118681</x:v>
      </x:c>
      <x:c r="K32" s="35" t="n">
        <x:v>78</x:v>
      </x:c>
      <x:c r="L32" s="33" t="str">
        <x:v>/kontakty/</x:v>
      </x:c>
      <x:c r="M32" s="13" t="str">
        <x:v>Повтор исходной</x:v>
      </x:c>
      <x:c r="N32" s="37" t="n">
        <x:v>3634</x:v>
      </x:c>
      <x:c r="O32" s="13" t="str">
        <x:v>recheck-late-original/contacts-mobile-03.json</x:v>
      </x:c>
    </x:row>
    <x:row r="33" ht="28" customHeight="1">
      <x:c r="A33" s="14" t="str">
        <x:v>О клинике</x:v>
      </x:c>
      <x:c r="B33" s="14" t="str">
        <x:v>Смартфон</x:v>
      </x:c>
      <x:c r="C33" s="14" t="str">
        <x:v>До</x:v>
      </x:c>
      <x:c r="D33" s="29" t="d">
        <x:v>2026-10-16T14:49:58.008Z</x:v>
      </x:c>
      <x:c r="E33" s="30" t="n">
        <x:v>11040.3698</x:v>
      </x:c>
      <x:c r="F33" s="31" t="n">
        <x:v>0.2215875243050275</x:v>
      </x:c>
      <x:c r="G33" s="30" t="n">
        <x:v>6336.5462</x:v>
      </x:c>
      <x:c r="H33" s="30" t="n">
        <x:v>144.5</x:v>
      </x:c>
      <x:c r="I33" s="32" t="n">
        <x:v>43</x:v>
      </x:c>
      <x:c r="J33" s="32" t="n">
        <x:v>3078149</x:v>
      </x:c>
      <x:c r="K33" s="36" t="n">
        <x:v>78</x:v>
      </x:c>
      <x:c r="L33" s="34" t="str">
        <x:v>/o-nas/</x:v>
      </x:c>
      <x:c r="M33" s="14" t="str">
        <x:v>Контроль исходной</x:v>
      </x:c>
      <x:c r="N33" s="38" t="n">
        <x:v>3590</x:v>
      </x:c>
      <x:c r="O33" s="14" t="str">
        <x:v>recheck-original-control/about-mobile-01.json</x:v>
      </x:c>
    </x:row>
    <x:row r="34" ht="28" customHeight="1">
      <x:c r="A34" s="13" t="str">
        <x:v>О клинике</x:v>
      </x:c>
      <x:c r="B34" s="13" t="str">
        <x:v>Смартфон</x:v>
      </x:c>
      <x:c r="C34" s="13" t="str">
        <x:v>До</x:v>
      </x:c>
      <x:c r="D34" s="25" t="d">
        <x:v>2026-10-16T14:50:26.699Z</x:v>
      </x:c>
      <x:c r="E34" s="26" t="n">
        <x:v>15359.547444999997</x:v>
      </x:c>
      <x:c r="F34" s="27" t="n">
        <x:v>0.3786633323687602</x:v>
      </x:c>
      <x:c r="G34" s="26" t="n">
        <x:v>5659.703919999999</x:v>
      </x:c>
      <x:c r="H34" s="26" t="n">
        <x:v>174</x:v>
      </x:c>
      <x:c r="I34" s="28" t="n">
        <x:v>36</x:v>
      </x:c>
      <x:c r="J34" s="28" t="n">
        <x:v>3078388</x:v>
      </x:c>
      <x:c r="K34" s="35" t="n">
        <x:v>79</x:v>
      </x:c>
      <x:c r="L34" s="33" t="str">
        <x:v>/o-nas/</x:v>
      </x:c>
      <x:c r="M34" s="13" t="str">
        <x:v>Контроль исходной</x:v>
      </x:c>
      <x:c r="N34" s="37" t="n">
        <x:v>3556.5</x:v>
      </x:c>
      <x:c r="O34" s="13" t="str">
        <x:v>recheck-original-control/about-mobile-02.json</x:v>
      </x:c>
    </x:row>
    <x:row r="35" ht="28" customHeight="1">
      <x:c r="A35" s="14" t="str">
        <x:v>О клинике</x:v>
      </x:c>
      <x:c r="B35" s="14" t="str">
        <x:v>Смартфон</x:v>
      </x:c>
      <x:c r="C35" s="14" t="str">
        <x:v>До</x:v>
      </x:c>
      <x:c r="D35" s="29" t="d">
        <x:v>2026-10-16T14:50:56.868Z</x:v>
      </x:c>
      <x:c r="E35" s="30" t="n">
        <x:v>8811.894499999999</x:v>
      </x:c>
      <x:c r="F35" s="31" t="n">
        <x:v>0.2215875243050275</x:v>
      </x:c>
      <x:c r="G35" s="30" t="n">
        <x:v>3952.3240000000005</x:v>
      </x:c>
      <x:c r="H35" s="30" t="n">
        <x:v>196</x:v>
      </x:c>
      <x:c r="I35" s="32" t="n">
        <x:v>47</x:v>
      </x:c>
      <x:c r="J35" s="32" t="n">
        <x:v>3078211</x:v>
      </x:c>
      <x:c r="K35" s="36" t="n">
        <x:v>78</x:v>
      </x:c>
      <x:c r="L35" s="34" t="str">
        <x:v>/o-nas/</x:v>
      </x:c>
      <x:c r="M35" s="14" t="str">
        <x:v>Контроль исходной</x:v>
      </x:c>
      <x:c r="N35" s="38" t="n">
        <x:v>3577.5</x:v>
      </x:c>
      <x:c r="O35" s="14" t="str">
        <x:v>recheck-original-control/about-mobile-03.json</x:v>
      </x:c>
    </x:row>
    <x:row r="36" ht="28" customHeight="1">
      <x:c r="A36" s="13" t="str">
        <x:v>Профиль Михайловой</x:v>
      </x:c>
      <x:c r="B36" s="13" t="str">
        <x:v>Смартфон</x:v>
      </x:c>
      <x:c r="C36" s="13" t="str">
        <x:v>До</x:v>
      </x:c>
      <x:c r="D36" s="25" t="d">
        <x:v>2026-10-16T14:51:23.447Z</x:v>
      </x:c>
      <x:c r="E36" s="26" t="n">
        <x:v>4574.6072</x:v>
      </x:c>
      <x:c r="F36" s="27" t="n">
        <x:v>0.1603888213851762</x:v>
      </x:c>
      <x:c r="G36" s="26" t="n">
        <x:v>4179.196400000001</x:v>
      </x:c>
      <x:c r="H36" s="26" t="n">
        <x:v>127</x:v>
      </x:c>
      <x:c r="I36" s="28" t="n">
        <x:v>61</x:v>
      </x:c>
      <x:c r="J36" s="28" t="n">
        <x:v>1229930</x:v>
      </x:c>
      <x:c r="K36" s="35" t="n">
        <x:v>62</x:v>
      </x:c>
      <x:c r="L36" s="33" t="str">
        <x:v>/o-nas/specialisty/mikhaylova-anastasiya-petrovna/</x:v>
      </x:c>
      <x:c r="M36" s="13" t="str">
        <x:v>Контроль исходной</x:v>
      </x:c>
      <x:c r="N36" s="37" t="n">
        <x:v>3615.5</x:v>
      </x:c>
      <x:c r="O36" s="13" t="str">
        <x:v>recheck-original-control/doctor-mobile-01.json</x:v>
      </x:c>
    </x:row>
    <x:row r="37" ht="28" customHeight="1">
      <x:c r="A37" s="14" t="str">
        <x:v>Профиль Михайловой</x:v>
      </x:c>
      <x:c r="B37" s="14" t="str">
        <x:v>Смартфон</x:v>
      </x:c>
      <x:c r="C37" s="14" t="str">
        <x:v>До</x:v>
      </x:c>
      <x:c r="D37" s="29" t="d">
        <x:v>2026-10-16T14:51:47.988Z</x:v>
      </x:c>
      <x:c r="E37" s="30" t="n">
        <x:v>4686.400300000001</x:v>
      </x:c>
      <x:c r="F37" s="31" t="n">
        <x:v>0.1603888213851762</x:v>
      </x:c>
      <x:c r="G37" s="30" t="n">
        <x:v>4278.285100000001</x:v>
      </x:c>
      <x:c r="H37" s="30" t="n">
        <x:v>138.5</x:v>
      </x:c>
      <x:c r="I37" s="32" t="n">
        <x:v>60</x:v>
      </x:c>
      <x:c r="J37" s="32" t="n">
        <x:v>1230029</x:v>
      </x:c>
      <x:c r="K37" s="36" t="n">
        <x:v>62</x:v>
      </x:c>
      <x:c r="L37" s="34" t="str">
        <x:v>/o-nas/specialisty/mikhaylova-anastasiya-petrovna/</x:v>
      </x:c>
      <x:c r="M37" s="14" t="str">
        <x:v>Контроль исходной</x:v>
      </x:c>
      <x:c r="N37" s="38" t="n">
        <x:v>3575.5</x:v>
      </x:c>
      <x:c r="O37" s="14" t="str">
        <x:v>recheck-original-control/doctor-mobile-02.json</x:v>
      </x:c>
    </x:row>
    <x:row r="38" ht="28" customHeight="1">
      <x:c r="A38" s="13" t="str">
        <x:v>Профиль Михайловой</x:v>
      </x:c>
      <x:c r="B38" s="13" t="str">
        <x:v>Смартфон</x:v>
      </x:c>
      <x:c r="C38" s="13" t="str">
        <x:v>До</x:v>
      </x:c>
      <x:c r="D38" s="25" t="d">
        <x:v>2026-10-16T14:52:12.950Z</x:v>
      </x:c>
      <x:c r="E38" s="26" t="n">
        <x:v>4543.908799999999</x:v>
      </x:c>
      <x:c r="F38" s="27" t="n">
        <x:v>0.1603888213851762</x:v>
      </x:c>
      <x:c r="G38" s="26" t="n">
        <x:v>4160.0556</x:v>
      </x:c>
      <x:c r="H38" s="26" t="n">
        <x:v>145.5</x:v>
      </x:c>
      <x:c r="I38" s="28" t="n">
        <x:v>61</x:v>
      </x:c>
      <x:c r="J38" s="28" t="n">
        <x:v>1230003</x:v>
      </x:c>
      <x:c r="K38" s="35" t="n">
        <x:v>62</x:v>
      </x:c>
      <x:c r="L38" s="33" t="str">
        <x:v>/o-nas/specialisty/mikhaylova-anastasiya-petrovna/</x:v>
      </x:c>
      <x:c r="M38" s="13" t="str">
        <x:v>Контроль исходной</x:v>
      </x:c>
      <x:c r="N38" s="37" t="n">
        <x:v>3630</x:v>
      </x:c>
      <x:c r="O38" s="13" t="str">
        <x:v>recheck-original-control/doctor-mobile-03.json</x:v>
      </x:c>
    </x:row>
    <x:row r="39" ht="28" customHeight="1">
      <x:c r="A39" s="14" t="str">
        <x:v>Главная</x:v>
      </x:c>
      <x:c r="B39" s="14" t="str">
        <x:v>Смартфон</x:v>
      </x:c>
      <x:c r="C39" s="14" t="str">
        <x:v>После</x:v>
      </x:c>
      <x:c r="D39" s="29" t="d">
        <x:v>2026-10-16T15:40:58.582Z</x:v>
      </x:c>
      <x:c r="E39" s="30" t="n">
        <x:v>3920.5936</x:v>
      </x:c>
      <x:c r="F39" s="31" t="n">
        <x:v>0.0043293412056985055</x:v>
      </x:c>
      <x:c r="G39" s="30" t="n">
        <x:v>3477.2694</x:v>
      </x:c>
      <x:c r="H39" s="30" t="n">
        <x:v>180.5</x:v>
      </x:c>
      <x:c r="I39" s="32" t="n">
        <x:v>70</x:v>
      </x:c>
      <x:c r="J39" s="32" t="n">
        <x:v>1791490</x:v>
      </x:c>
      <x:c r="K39" s="36" t="n">
        <x:v>79</x:v>
      </x:c>
      <x:c r="L39" s="34" t="str">
        <x:v>/</x:v>
      </x:c>
      <x:c r="M39" s="14" t="str">
        <x:v>Повтор итоговой</x:v>
      </x:c>
      <x:c r="N39" s="38" t="n">
        <x:v>3486</x:v>
      </x:c>
      <x:c r="O39" s="14" t="str">
        <x:v>recheck-late-final/home-mobile-01.json</x:v>
      </x:c>
    </x:row>
    <x:row r="40" ht="28" customHeight="1">
      <x:c r="A40" s="13" t="str">
        <x:v>Главная</x:v>
      </x:c>
      <x:c r="B40" s="13" t="str">
        <x:v>Смартфон</x:v>
      </x:c>
      <x:c r="C40" s="13" t="str">
        <x:v>После</x:v>
      </x:c>
      <x:c r="D40" s="25" t="d">
        <x:v>2026-10-16T15:41:26.349Z</x:v>
      </x:c>
      <x:c r="E40" s="26" t="n">
        <x:v>3833.52808</x:v>
      </x:c>
      <x:c r="F40" s="27" t="n">
        <x:v>0.0043293412056985055</x:v>
      </x:c>
      <x:c r="G40" s="26" t="n">
        <x:v>3398.59157</x:v>
      </x:c>
      <x:c r="H40" s="26" t="n">
        <x:v>148</x:v>
      </x:c>
      <x:c r="I40" s="28" t="n">
        <x:v>71</x:v>
      </x:c>
      <x:c r="J40" s="28" t="n">
        <x:v>1791908</x:v>
      </x:c>
      <x:c r="K40" s="35" t="n">
        <x:v>79</x:v>
      </x:c>
      <x:c r="L40" s="33" t="str">
        <x:v>/</x:v>
      </x:c>
      <x:c r="M40" s="13" t="str">
        <x:v>Повтор итоговой</x:v>
      </x:c>
      <x:c r="N40" s="37" t="n">
        <x:v>3589</x:v>
      </x:c>
      <x:c r="O40" s="13" t="str">
        <x:v>recheck-late-final/home-mobile-02.json</x:v>
      </x:c>
    </x:row>
    <x:row r="41" ht="28" customHeight="1">
      <x:c r="A41" s="14" t="str">
        <x:v>Главная</x:v>
      </x:c>
      <x:c r="B41" s="14" t="str">
        <x:v>Смартфон</x:v>
      </x:c>
      <x:c r="C41" s="14" t="str">
        <x:v>После</x:v>
      </x:c>
      <x:c r="D41" s="29" t="d">
        <x:v>2026-10-16T15:41:54.339Z</x:v>
      </x:c>
      <x:c r="E41" s="30" t="n">
        <x:v>3872.3316000000004</x:v>
      </x:c>
      <x:c r="F41" s="31" t="n">
        <x:v>0.004330143901759635</x:v>
      </x:c>
      <x:c r="G41" s="30" t="n">
        <x:v>3434.7901500000003</x:v>
      </x:c>
      <x:c r="H41" s="30" t="n">
        <x:v>181</x:v>
      </x:c>
      <x:c r="I41" s="32" t="n">
        <x:v>70</x:v>
      </x:c>
      <x:c r="J41" s="32" t="n">
        <x:v>1791943</x:v>
      </x:c>
      <x:c r="K41" s="36" t="n">
        <x:v>80</x:v>
      </x:c>
      <x:c r="L41" s="34" t="str">
        <x:v>/</x:v>
      </x:c>
      <x:c r="M41" s="14" t="str">
        <x:v>Повтор итоговой</x:v>
      </x:c>
      <x:c r="N41" s="38" t="n">
        <x:v>3477.5</x:v>
      </x:c>
      <x:c r="O41" s="14" t="str">
        <x:v>recheck-late-final/home-mobile-03.json</x:v>
      </x:c>
    </x:row>
    <x:row r="42" ht="28" customHeight="1">
      <x:c r="A42" s="13" t="str">
        <x:v>Главная</x:v>
      </x:c>
      <x:c r="B42" s="13" t="str">
        <x:v>Компьютер</x:v>
      </x:c>
      <x:c r="C42" s="13" t="str">
        <x:v>После</x:v>
      </x:c>
      <x:c r="D42" s="25" t="d">
        <x:v>2026-10-16T15:15:49.989Z</x:v>
      </x:c>
      <x:c r="E42" s="26" t="n">
        <x:v>2494.8019</x:v>
      </x:c>
      <x:c r="F42" s="27" t="n">
        <x:v>0.007565310275853485</x:v>
      </x:c>
      <x:c r="G42" s="26" t="n">
        <x:v>2494.8019</x:v>
      </x:c>
      <x:c r="H42" s="26" t="n">
        <x:v>0</x:v>
      </x:c>
      <x:c r="I42" s="28" t="n">
        <x:v>68</x:v>
      </x:c>
      <x:c r="J42" s="28" t="n">
        <x:v>2980797</x:v>
      </x:c>
      <x:c r="K42" s="35" t="n">
        <x:v>83</x:v>
      </x:c>
      <x:c r="L42" s="33" t="str">
        <x:v>/</x:v>
      </x:c>
      <x:c r="M42" s="13" t="str">
        <x:v>Последняя версия</x:v>
      </x:c>
      <x:c r="N42" s="37" t="n">
        <x:v>3607</x:v>
      </x:c>
      <x:c r="O42" s="13" t="str">
        <x:v>recheck-css-reserve/home-desktop-01.json</x:v>
      </x:c>
    </x:row>
    <x:row r="43" ht="28" customHeight="1">
      <x:c r="A43" s="14" t="str">
        <x:v>Главная</x:v>
      </x:c>
      <x:c r="B43" s="14" t="str">
        <x:v>Компьютер</x:v>
      </x:c>
      <x:c r="C43" s="14" t="str">
        <x:v>После</x:v>
      </x:c>
      <x:c r="D43" s="29" t="d">
        <x:v>2026-10-16T15:16:20.849Z</x:v>
      </x:c>
      <x:c r="E43" s="30" t="n">
        <x:v>2483.3178</x:v>
      </x:c>
      <x:c r="F43" s="31" t="n">
        <x:v>0.007565310275853485</x:v>
      </x:c>
      <x:c r="G43" s="30" t="n">
        <x:v>2483.3178</x:v>
      </x:c>
      <x:c r="H43" s="30" t="n">
        <x:v>0</x:v>
      </x:c>
      <x:c r="I43" s="32" t="n">
        <x:v>68</x:v>
      </x:c>
      <x:c r="J43" s="32" t="n">
        <x:v>2981222</x:v>
      </x:c>
      <x:c r="K43" s="36" t="n">
        <x:v>85</x:v>
      </x:c>
      <x:c r="L43" s="34" t="str">
        <x:v>/</x:v>
      </x:c>
      <x:c r="M43" s="14" t="str">
        <x:v>Последняя версия</x:v>
      </x:c>
      <x:c r="N43" s="38" t="n">
        <x:v>3663.5</x:v>
      </x:c>
      <x:c r="O43" s="14" t="str">
        <x:v>recheck-css-reserve/home-desktop-02.json</x:v>
      </x:c>
    </x:row>
    <x:row r="44" ht="28" customHeight="1">
      <x:c r="A44" s="13" t="str">
        <x:v>Главная</x:v>
      </x:c>
      <x:c r="B44" s="13" t="str">
        <x:v>Компьютер</x:v>
      </x:c>
      <x:c r="C44" s="13" t="str">
        <x:v>После</x:v>
      </x:c>
      <x:c r="D44" s="25" t="d">
        <x:v>2026-10-16T15:16:51.374Z</x:v>
      </x:c>
      <x:c r="E44" s="26" t="n">
        <x:v>2241.17355</x:v>
      </x:c>
      <x:c r="F44" s="27" t="n">
        <x:v>0.007565310275853485</x:v>
      </x:c>
      <x:c r="G44" s="26" t="n">
        <x:v>2241.17355</x:v>
      </x:c>
      <x:c r="H44" s="26" t="n">
        <x:v>0</x:v>
      </x:c>
      <x:c r="I44" s="28" t="n">
        <x:v>71</x:v>
      </x:c>
      <x:c r="J44" s="28" t="n">
        <x:v>2981368</x:v>
      </x:c>
      <x:c r="K44" s="35" t="n">
        <x:v>85</x:v>
      </x:c>
      <x:c r="L44" s="33" t="str">
        <x:v>/</x:v>
      </x:c>
      <x:c r="M44" s="13" t="str">
        <x:v>Последняя версия</x:v>
      </x:c>
      <x:c r="N44" s="37" t="n">
        <x:v>3685</x:v>
      </x:c>
      <x:c r="O44" s="13" t="str">
        <x:v>recheck-css-reserve/home-desktop-03.json</x:v>
      </x:c>
    </x:row>
    <x:row r="45" ht="28" customHeight="1">
      <x:c r="A45" s="14" t="str">
        <x:v>Каталог услуг</x:v>
      </x:c>
      <x:c r="B45" s="14" t="str">
        <x:v>Смартфон</x:v>
      </x:c>
      <x:c r="C45" s="14" t="str">
        <x:v>После</x:v>
      </x:c>
      <x:c r="D45" s="29" t="d">
        <x:v>2026-10-16T15:17:19.324Z</x:v>
      </x:c>
      <x:c r="E45" s="30" t="n">
        <x:v>4696.039900000001</x:v>
      </x:c>
      <x:c r="F45" s="31" t="n">
        <x:v>0.004330143901759635</x:v>
      </x:c>
      <x:c r="G45" s="30" t="n">
        <x:v>4191.280100000001</x:v>
      </x:c>
      <x:c r="H45" s="30" t="n">
        <x:v>157</x:v>
      </x:c>
      <x:c r="I45" s="32" t="n">
        <x:v>65</x:v>
      </x:c>
      <x:c r="J45" s="32" t="n">
        <x:v>1653292</x:v>
      </x:c>
      <x:c r="K45" s="36" t="n">
        <x:v>72</x:v>
      </x:c>
      <x:c r="L45" s="34" t="str">
        <x:v>/uslugi/</x:v>
      </x:c>
      <x:c r="M45" s="14" t="str">
        <x:v>Последняя версия</x:v>
      </x:c>
      <x:c r="N45" s="38" t="n">
        <x:v>3624.5</x:v>
      </x:c>
      <x:c r="O45" s="14" t="str">
        <x:v>recheck-css-reserve/catalog-mobile-01.json</x:v>
      </x:c>
    </x:row>
    <x:row r="46" ht="28" customHeight="1">
      <x:c r="A46" s="13" t="str">
        <x:v>Каталог услуг</x:v>
      </x:c>
      <x:c r="B46" s="13" t="str">
        <x:v>Смартфон</x:v>
      </x:c>
      <x:c r="C46" s="13" t="str">
        <x:v>После</x:v>
      </x:c>
      <x:c r="D46" s="25" t="d">
        <x:v>2026-10-16T15:17:46.493Z</x:v>
      </x:c>
      <x:c r="E46" s="26" t="n">
        <x:v>4140.343380000001</x:v>
      </x:c>
      <x:c r="F46" s="27" t="n">
        <x:v>0.0043293412056985055</x:v>
      </x:c>
      <x:c r="G46" s="26" t="n">
        <x:v>3692.322020000001</x:v>
      </x:c>
      <x:c r="H46" s="26" t="n">
        <x:v>133.5</x:v>
      </x:c>
      <x:c r="I46" s="28" t="n">
        <x:v>71</x:v>
      </x:c>
      <x:c r="J46" s="28" t="n">
        <x:v>1653379</x:v>
      </x:c>
      <x:c r="K46" s="35" t="n">
        <x:v>72</x:v>
      </x:c>
      <x:c r="L46" s="33" t="str">
        <x:v>/uslugi/</x:v>
      </x:c>
      <x:c r="M46" s="13" t="str">
        <x:v>Последняя версия</x:v>
      </x:c>
      <x:c r="N46" s="37" t="n">
        <x:v>3628.5</x:v>
      </x:c>
      <x:c r="O46" s="13" t="str">
        <x:v>recheck-css-reserve/catalog-mobile-02.json</x:v>
      </x:c>
    </x:row>
    <x:row r="47" ht="28" customHeight="1">
      <x:c r="A47" s="14" t="str">
        <x:v>Каталог услуг</x:v>
      </x:c>
      <x:c r="B47" s="14" t="str">
        <x:v>Смартфон</x:v>
      </x:c>
      <x:c r="C47" s="14" t="str">
        <x:v>После</x:v>
      </x:c>
      <x:c r="D47" s="29" t="d">
        <x:v>2026-10-16T15:18:11.920Z</x:v>
      </x:c>
      <x:c r="E47" s="30" t="n">
        <x:v>3972.2322999999997</x:v>
      </x:c>
      <x:c r="F47" s="31" t="n">
        <x:v>0.004330143901759635</x:v>
      </x:c>
      <x:c r="G47" s="30" t="n">
        <x:v>3521.2081999999996</x:v>
      </x:c>
      <x:c r="H47" s="30" t="n">
        <x:v>154.5</x:v>
      </x:c>
      <x:c r="I47" s="32" t="n">
        <x:v>72</x:v>
      </x:c>
      <x:c r="J47" s="32" t="n">
        <x:v>1654787</x:v>
      </x:c>
      <x:c r="K47" s="36" t="n">
        <x:v>78</x:v>
      </x:c>
      <x:c r="L47" s="34" t="str">
        <x:v>/uslugi/</x:v>
      </x:c>
      <x:c r="M47" s="14" t="str">
        <x:v>Последняя версия</x:v>
      </x:c>
      <x:c r="N47" s="38" t="n">
        <x:v>3657.5</x:v>
      </x:c>
      <x:c r="O47" s="14" t="str">
        <x:v>recheck-css-reserve/catalog-mobile-03.json</x:v>
      </x:c>
    </x:row>
    <x:row r="48" ht="28" customHeight="1">
      <x:c r="A48" s="13" t="str">
        <x:v>Аппаратная косметология</x:v>
      </x:c>
      <x:c r="B48" s="13" t="str">
        <x:v>Смартфон</x:v>
      </x:c>
      <x:c r="C48" s="13" t="str">
        <x:v>После</x:v>
      </x:c>
      <x:c r="D48" s="25" t="d">
        <x:v>2026-10-16T15:18:38.090Z</x:v>
      </x:c>
      <x:c r="E48" s="26" t="n">
        <x:v>4206.1258</x:v>
      </x:c>
      <x:c r="F48" s="27" t="n">
        <x:v>0.004330143901759635</x:v>
      </x:c>
      <x:c r="G48" s="26" t="n">
        <x:v>3740.8097000000002</x:v>
      </x:c>
      <x:c r="H48" s="26" t="n">
        <x:v>157.5</x:v>
      </x:c>
      <x:c r="I48" s="28" t="n">
        <x:v>69</x:v>
      </x:c>
      <x:c r="J48" s="28" t="n">
        <x:v>1245357</x:v>
      </x:c>
      <x:c r="K48" s="35" t="n">
        <x:v>68</x:v>
      </x:c>
      <x:c r="L48" s="33" t="str">
        <x:v>/apparatnaya-kosmetologiya/</x:v>
      </x:c>
      <x:c r="M48" s="13" t="str">
        <x:v>Последняя версия</x:v>
      </x:c>
      <x:c r="N48" s="37" t="n">
        <x:v>3601</x:v>
      </x:c>
      <x:c r="O48" s="13" t="str">
        <x:v>recheck-css-reserve/category-mobile-01.json</x:v>
      </x:c>
    </x:row>
    <x:row r="49" ht="28" customHeight="1">
      <x:c r="A49" s="14" t="str">
        <x:v>Аппаратная косметология</x:v>
      </x:c>
      <x:c r="B49" s="14" t="str">
        <x:v>Смартфон</x:v>
      </x:c>
      <x:c r="C49" s="14" t="str">
        <x:v>После</x:v>
      </x:c>
      <x:c r="D49" s="29" t="d">
        <x:v>2026-10-16T15:19:03.790Z</x:v>
      </x:c>
      <x:c r="E49" s="30" t="n">
        <x:v>4385.60876</x:v>
      </x:c>
      <x:c r="F49" s="31" t="n">
        <x:v>0.004330143901759635</x:v>
      </x:c>
      <x:c r="G49" s="30" t="n">
        <x:v>3553.87448</x:v>
      </x:c>
      <x:c r="H49" s="30" t="n">
        <x:v>145</x:v>
      </x:c>
      <x:c r="I49" s="32" t="n">
        <x:v>69</x:v>
      </x:c>
      <x:c r="J49" s="32" t="n">
        <x:v>1245561</x:v>
      </x:c>
      <x:c r="K49" s="36" t="n">
        <x:v>68</x:v>
      </x:c>
      <x:c r="L49" s="34" t="str">
        <x:v>/apparatnaya-kosmetologiya/</x:v>
      </x:c>
      <x:c r="M49" s="14" t="str">
        <x:v>Последняя версия</x:v>
      </x:c>
      <x:c r="N49" s="38" t="n">
        <x:v>3684.5</x:v>
      </x:c>
      <x:c r="O49" s="14" t="str">
        <x:v>recheck-css-reserve/category-mobile-02.json</x:v>
      </x:c>
    </x:row>
    <x:row r="50" ht="28" customHeight="1">
      <x:c r="A50" s="13" t="str">
        <x:v>Аппаратная косметология</x:v>
      </x:c>
      <x:c r="B50" s="13" t="str">
        <x:v>Смартфон</x:v>
      </x:c>
      <x:c r="C50" s="13" t="str">
        <x:v>После</x:v>
      </x:c>
      <x:c r="D50" s="25" t="d">
        <x:v>2026-10-16T15:19:29.512Z</x:v>
      </x:c>
      <x:c r="E50" s="26" t="n">
        <x:v>4075.0924999999997</x:v>
      </x:c>
      <x:c r="F50" s="27" t="n">
        <x:v>0.0043293412056985055</x:v>
      </x:c>
      <x:c r="G50" s="26" t="n">
        <x:v>3625.432</x:v>
      </x:c>
      <x:c r="H50" s="26" t="n">
        <x:v>159.5</x:v>
      </x:c>
      <x:c r="I50" s="28" t="n">
        <x:v>70</x:v>
      </x:c>
      <x:c r="J50" s="28" t="n">
        <x:v>1245547</x:v>
      </x:c>
      <x:c r="K50" s="35" t="n">
        <x:v>68</x:v>
      </x:c>
      <x:c r="L50" s="33" t="str">
        <x:v>/apparatnaya-kosmetologiya/</x:v>
      </x:c>
      <x:c r="M50" s="13" t="str">
        <x:v>Последняя версия</x:v>
      </x:c>
      <x:c r="N50" s="37" t="n">
        <x:v>3490</x:v>
      </x:c>
      <x:c r="O50" s="13" t="str">
        <x:v>recheck-css-reserve/category-mobile-03.json</x:v>
      </x:c>
    </x:row>
    <x:row r="51" ht="38" customHeight="1">
      <x:c r="A51" s="14" t="str">
        <x:v>Morpheus 8</x:v>
      </x:c>
      <x:c r="B51" s="14" t="str">
        <x:v>Смартфон</x:v>
      </x:c>
      <x:c r="C51" s="14" t="str">
        <x:v>После</x:v>
      </x:c>
      <x:c r="D51" s="29" t="d">
        <x:v>2026-10-16T15:19:56.596Z</x:v>
      </x:c>
      <x:c r="E51" s="30" t="n">
        <x:v>4061.4175000000005</x:v>
      </x:c>
      <x:c r="F51" s="31" t="n">
        <x:v>0.0043293412056985055</x:v>
      </x:c>
      <x:c r="G51" s="30" t="n">
        <x:v>3612.733</x:v>
      </x:c>
      <x:c r="H51" s="30" t="n">
        <x:v>147</x:v>
      </x:c>
      <x:c r="I51" s="32" t="n">
        <x:v>71</x:v>
      </x:c>
      <x:c r="J51" s="32" t="n">
        <x:v>1252448</x:v>
      </x:c>
      <x:c r="K51" s="36" t="n">
        <x:v>72</x:v>
      </x:c>
      <x:c r="L51" s="34" t="str">
        <x:v>/apparatnaya-kosmetologiya/igolchatyy-rf-lifting-na-morpheus-8/</x:v>
      </x:c>
      <x:c r="M51" s="14" t="str">
        <x:v>Последняя версия</x:v>
      </x:c>
      <x:c r="N51" s="38" t="n">
        <x:v>3107</x:v>
      </x:c>
      <x:c r="O51" s="14" t="str">
        <x:v>recheck-css-reserve/service-mobile-01.json</x:v>
      </x:c>
    </x:row>
    <x:row r="52" ht="38" customHeight="1">
      <x:c r="A52" s="13" t="str">
        <x:v>Morpheus 8</x:v>
      </x:c>
      <x:c r="B52" s="13" t="str">
        <x:v>Смартфон</x:v>
      </x:c>
      <x:c r="C52" s="13" t="str">
        <x:v>После</x:v>
      </x:c>
      <x:c r="D52" s="25" t="d">
        <x:v>2026-10-16T15:20:22.969Z</x:v>
      </x:c>
      <x:c r="E52" s="26" t="n">
        <x:v>4835.1244400000005</x:v>
      </x:c>
      <x:c r="F52" s="27" t="n">
        <x:v>0.0043293412056985055</x:v>
      </x:c>
      <x:c r="G52" s="26" t="n">
        <x:v>4345.44076</x:v>
      </x:c>
      <x:c r="H52" s="26" t="n">
        <x:v>218.5</x:v>
      </x:c>
      <x:c r="I52" s="28" t="n">
        <x:v>62</x:v>
      </x:c>
      <x:c r="J52" s="28" t="n">
        <x:v>1251662</x:v>
      </x:c>
      <x:c r="K52" s="35" t="n">
        <x:v>68</x:v>
      </x:c>
      <x:c r="L52" s="33" t="str">
        <x:v>/apparatnaya-kosmetologiya/igolchatyy-rf-lifting-na-morpheus-8/</x:v>
      </x:c>
      <x:c r="M52" s="13" t="str">
        <x:v>Последняя версия</x:v>
      </x:c>
      <x:c r="N52" s="37" t="n">
        <x:v>3653</x:v>
      </x:c>
      <x:c r="O52" s="13" t="str">
        <x:v>recheck-css-reserve/service-mobile-02.json</x:v>
      </x:c>
    </x:row>
    <x:row r="53" ht="38" customHeight="1">
      <x:c r="A53" s="14" t="str">
        <x:v>Morpheus 8</x:v>
      </x:c>
      <x:c r="B53" s="14" t="str">
        <x:v>Смартфон</x:v>
      </x:c>
      <x:c r="C53" s="14" t="str">
        <x:v>После</x:v>
      </x:c>
      <x:c r="D53" s="29" t="d">
        <x:v>2026-10-16T15:20:53.185Z</x:v>
      </x:c>
      <x:c r="E53" s="30" t="n">
        <x:v>4107.945199999999</x:v>
      </x:c>
      <x:c r="F53" s="31" t="n">
        <x:v>0.0043293412056985055</x:v>
      </x:c>
      <x:c r="G53" s="30" t="n">
        <x:v>3654.4937999999993</x:v>
      </x:c>
      <x:c r="H53" s="30" t="n">
        <x:v>146</x:v>
      </x:c>
      <x:c r="I53" s="32" t="n">
        <x:v>70</x:v>
      </x:c>
      <x:c r="J53" s="32" t="n">
        <x:v>1251767</x:v>
      </x:c>
      <x:c r="K53" s="36" t="n">
        <x:v>68</x:v>
      </x:c>
      <x:c r="L53" s="34" t="str">
        <x:v>/apparatnaya-kosmetologiya/igolchatyy-rf-lifting-na-morpheus-8/</x:v>
      </x:c>
      <x:c r="M53" s="14" t="str">
        <x:v>Последняя версия</x:v>
      </x:c>
      <x:c r="N53" s="38" t="n">
        <x:v>3562.5</x:v>
      </x:c>
      <x:c r="O53" s="14" t="str">
        <x:v>recheck-css-reserve/service-mobile-03.json</x:v>
      </x:c>
    </x:row>
    <x:row r="54" ht="38" customHeight="1">
      <x:c r="A54" s="13" t="str">
        <x:v>Morpheus 8</x:v>
      </x:c>
      <x:c r="B54" s="13" t="str">
        <x:v>Компьютер</x:v>
      </x:c>
      <x:c r="C54" s="13" t="str">
        <x:v>После</x:v>
      </x:c>
      <x:c r="D54" s="25" t="d">
        <x:v>2026-10-16T15:21:20.163Z</x:v>
      </x:c>
      <x:c r="E54" s="26" t="n">
        <x:v>2403.6735700000004</x:v>
      </x:c>
      <x:c r="F54" s="27" t="n">
        <x:v>0.007565310275853485</x:v>
      </x:c>
      <x:c r="G54" s="26" t="n">
        <x:v>2403.6735700000004</x:v>
      </x:c>
      <x:c r="H54" s="26" t="n">
        <x:v>0</x:v>
      </x:c>
      <x:c r="I54" s="28" t="n">
        <x:v>70</x:v>
      </x:c>
      <x:c r="J54" s="28" t="n">
        <x:v>1749974</x:v>
      </x:c>
      <x:c r="K54" s="35" t="n">
        <x:v>72</x:v>
      </x:c>
      <x:c r="L54" s="33" t="str">
        <x:v>/apparatnaya-kosmetologiya/igolchatyy-rf-lifting-na-morpheus-8/</x:v>
      </x:c>
      <x:c r="M54" s="13" t="str">
        <x:v>Последняя версия</x:v>
      </x:c>
      <x:c r="N54" s="37" t="n">
        <x:v>3636.5</x:v>
      </x:c>
      <x:c r="O54" s="13" t="str">
        <x:v>recheck-css-reserve/service-desktop-01.json</x:v>
      </x:c>
    </x:row>
    <x:row r="55" ht="38" customHeight="1">
      <x:c r="A55" s="14" t="str">
        <x:v>Morpheus 8</x:v>
      </x:c>
      <x:c r="B55" s="14" t="str">
        <x:v>Компьютер</x:v>
      </x:c>
      <x:c r="C55" s="14" t="str">
        <x:v>После</x:v>
      </x:c>
      <x:c r="D55" s="29" t="d">
        <x:v>2026-10-16T15:21:49.663Z</x:v>
      </x:c>
      <x:c r="E55" s="30" t="n">
        <x:v>2487.3071999999997</x:v>
      </x:c>
      <x:c r="F55" s="31" t="n">
        <x:v>0.007565310275853485</x:v>
      </x:c>
      <x:c r="G55" s="30" t="n">
        <x:v>2487.3071999999997</x:v>
      </x:c>
      <x:c r="H55" s="30" t="n">
        <x:v>0</x:v>
      </x:c>
      <x:c r="I55" s="32" t="n">
        <x:v>70</x:v>
      </x:c>
      <x:c r="J55" s="32" t="n">
        <x:v>1749929</x:v>
      </x:c>
      <x:c r="K55" s="36" t="n">
        <x:v>72</x:v>
      </x:c>
      <x:c r="L55" s="34" t="str">
        <x:v>/apparatnaya-kosmetologiya/igolchatyy-rf-lifting-na-morpheus-8/</x:v>
      </x:c>
      <x:c r="M55" s="14" t="str">
        <x:v>Последняя версия</x:v>
      </x:c>
      <x:c r="N55" s="38" t="n">
        <x:v>3317</x:v>
      </x:c>
      <x:c r="O55" s="14" t="str">
        <x:v>recheck-css-reserve/service-desktop-02.json</x:v>
      </x:c>
    </x:row>
    <x:row r="56" ht="38" customHeight="1">
      <x:c r="A56" s="13" t="str">
        <x:v>Morpheus 8</x:v>
      </x:c>
      <x:c r="B56" s="13" t="str">
        <x:v>Компьютер</x:v>
      </x:c>
      <x:c r="C56" s="13" t="str">
        <x:v>После</x:v>
      </x:c>
      <x:c r="D56" s="25" t="d">
        <x:v>2026-10-16T15:22:17.087Z</x:v>
      </x:c>
      <x:c r="E56" s="26" t="n">
        <x:v>2482.1875</x:v>
      </x:c>
      <x:c r="F56" s="27" t="n">
        <x:v>0.007565310275853485</x:v>
      </x:c>
      <x:c r="G56" s="26" t="n">
        <x:v>2482.1875</x:v>
      </x:c>
      <x:c r="H56" s="26" t="n">
        <x:v>0</x:v>
      </x:c>
      <x:c r="I56" s="28" t="n">
        <x:v>70</x:v>
      </x:c>
      <x:c r="J56" s="28" t="n">
        <x:v>1750186</x:v>
      </x:c>
      <x:c r="K56" s="35" t="n">
        <x:v>72</x:v>
      </x:c>
      <x:c r="L56" s="33" t="str">
        <x:v>/apparatnaya-kosmetologiya/igolchatyy-rf-lifting-na-morpheus-8/</x:v>
      </x:c>
      <x:c r="M56" s="13" t="str">
        <x:v>Последняя версия</x:v>
      </x:c>
      <x:c r="N56" s="37" t="n">
        <x:v>3654.5</x:v>
      </x:c>
      <x:c r="O56" s="13" t="str">
        <x:v>recheck-css-reserve/service-desktop-03.json</x:v>
      </x:c>
    </x:row>
    <x:row r="57" ht="28" customHeight="1">
      <x:c r="A57" s="14" t="str">
        <x:v>Лечение розацеа</x:v>
      </x:c>
      <x:c r="B57" s="14" t="str">
        <x:v>Смартфон</x:v>
      </x:c>
      <x:c r="C57" s="14" t="str">
        <x:v>После</x:v>
      </x:c>
      <x:c r="D57" s="29" t="d">
        <x:v>2026-10-16T15:22:44.151Z</x:v>
      </x:c>
      <x:c r="E57" s="30" t="n">
        <x:v>3858.6756000000014</x:v>
      </x:c>
      <x:c r="F57" s="31" t="n">
        <x:v>0.004330143901759635</x:v>
      </x:c>
      <x:c r="G57" s="30" t="n">
        <x:v>3423.961900000001</x:v>
      </x:c>
      <x:c r="H57" s="30" t="n">
        <x:v>171</x:v>
      </x:c>
      <x:c r="I57" s="32" t="n">
        <x:v>72</x:v>
      </x:c>
      <x:c r="J57" s="32" t="n">
        <x:v>1243305</x:v>
      </x:c>
      <x:c r="K57" s="36" t="n">
        <x:v>67</x:v>
      </x:c>
      <x:c r="L57" s="34" t="str">
        <x:v>/ubrat-rozatsea/</x:v>
      </x:c>
      <x:c r="M57" s="14" t="str">
        <x:v>Последняя версия</x:v>
      </x:c>
      <x:c r="N57" s="38" t="n">
        <x:v>3549</x:v>
      </x:c>
      <x:c r="O57" s="14" t="str">
        <x:v>recheck-css-reserve/problem-mobile-01.json</x:v>
      </x:c>
    </x:row>
    <x:row r="58" ht="28" customHeight="1">
      <x:c r="A58" s="13" t="str">
        <x:v>Лечение розацеа</x:v>
      </x:c>
      <x:c r="B58" s="13" t="str">
        <x:v>Смартфон</x:v>
      </x:c>
      <x:c r="C58" s="13" t="str">
        <x:v>После</x:v>
      </x:c>
      <x:c r="D58" s="25" t="d">
        <x:v>2026-10-16T15:23:10.564Z</x:v>
      </x:c>
      <x:c r="E58" s="26" t="n">
        <x:v>3905.9755999999993</x:v>
      </x:c>
      <x:c r="F58" s="27" t="n">
        <x:v>0.004330143901759635</x:v>
      </x:c>
      <x:c r="G58" s="26" t="n">
        <x:v>3476.2368999999994</x:v>
      </x:c>
      <x:c r="H58" s="26" t="n">
        <x:v>202.5</x:v>
      </x:c>
      <x:c r="I58" s="28" t="n">
        <x:v>71</x:v>
      </x:c>
      <x:c r="J58" s="28" t="n">
        <x:v>1243461</x:v>
      </x:c>
      <x:c r="K58" s="35" t="n">
        <x:v>67</x:v>
      </x:c>
      <x:c r="L58" s="33" t="str">
        <x:v>/ubrat-rozatsea/</x:v>
      </x:c>
      <x:c r="M58" s="13" t="str">
        <x:v>Последняя версия</x:v>
      </x:c>
      <x:c r="N58" s="37" t="n">
        <x:v>3546</x:v>
      </x:c>
      <x:c r="O58" s="13" t="str">
        <x:v>recheck-css-reserve/problem-mobile-02.json</x:v>
      </x:c>
    </x:row>
    <x:row r="59" ht="28" customHeight="1">
      <x:c r="A59" s="14" t="str">
        <x:v>Лечение розацеа</x:v>
      </x:c>
      <x:c r="B59" s="14" t="str">
        <x:v>Смартфон</x:v>
      </x:c>
      <x:c r="C59" s="14" t="str">
        <x:v>После</x:v>
      </x:c>
      <x:c r="D59" s="29" t="d">
        <x:v>2026-10-16T15:23:37.351Z</x:v>
      </x:c>
      <x:c r="E59" s="30" t="n">
        <x:v>3987.6151999999993</x:v>
      </x:c>
      <x:c r="F59" s="31" t="n">
        <x:v>0.004330143901759635</x:v>
      </x:c>
      <x:c r="G59" s="30" t="n">
        <x:v>3532.7062999999994</x:v>
      </x:c>
      <x:c r="H59" s="30" t="n">
        <x:v>186</x:v>
      </x:c>
      <x:c r="I59" s="32" t="n">
        <x:v>70</x:v>
      </x:c>
      <x:c r="J59" s="32" t="n">
        <x:v>1243773</x:v>
      </x:c>
      <x:c r="K59" s="36" t="n">
        <x:v>67</x:v>
      </x:c>
      <x:c r="L59" s="34" t="str">
        <x:v>/ubrat-rozatsea/</x:v>
      </x:c>
      <x:c r="M59" s="14" t="str">
        <x:v>Последняя версия</x:v>
      </x:c>
      <x:c r="N59" s="38" t="n">
        <x:v>3155</x:v>
      </x:c>
      <x:c r="O59" s="14" t="str">
        <x:v>recheck-css-reserve/problem-mobile-03.json</x:v>
      </x:c>
    </x:row>
    <x:row r="60" ht="28" customHeight="1">
      <x:c r="A60" s="13" t="str">
        <x:v>Прайс</x:v>
      </x:c>
      <x:c r="B60" s="13" t="str">
        <x:v>Смартфон</x:v>
      </x:c>
      <x:c r="C60" s="13" t="str">
        <x:v>После</x:v>
      </x:c>
      <x:c r="D60" s="25" t="d">
        <x:v>2026-10-16T15:12:36.900Z</x:v>
      </x:c>
      <x:c r="E60" s="26" t="n">
        <x:v>4107.40824</x:v>
      </x:c>
      <x:c r="F60" s="27" t="n">
        <x:v>0.04212454482116484</x:v>
      </x:c>
      <x:c r="G60" s="26" t="n">
        <x:v>3670.21096</x:v>
      </x:c>
      <x:c r="H60" s="26" t="n">
        <x:v>161.5</x:v>
      </x:c>
      <x:c r="I60" s="28" t="n">
        <x:v>71</x:v>
      </x:c>
      <x:c r="J60" s="28" t="n">
        <x:v>1201830</x:v>
      </x:c>
      <x:c r="K60" s="35" t="n">
        <x:v>63</x:v>
      </x:c>
      <x:c r="L60" s="33" t="str">
        <x:v>/ceny-prajs-list/</x:v>
      </x:c>
      <x:c r="M60" s="13" t="str">
        <x:v>Последняя версия</x:v>
      </x:c>
      <x:c r="N60" s="37" t="n">
        <x:v>3648.5</x:v>
      </x:c>
      <x:c r="O60" s="13" t="str">
        <x:v>recheck-css-reserve/prices-mobile-01.json</x:v>
      </x:c>
    </x:row>
    <x:row r="61" ht="28" customHeight="1">
      <x:c r="A61" s="14" t="str">
        <x:v>Прайс</x:v>
      </x:c>
      <x:c r="B61" s="14" t="str">
        <x:v>Смартфон</x:v>
      </x:c>
      <x:c r="C61" s="14" t="str">
        <x:v>После</x:v>
      </x:c>
      <x:c r="D61" s="29" t="d">
        <x:v>2026-10-16T15:13:02.322Z</x:v>
      </x:c>
      <x:c r="E61" s="30" t="n">
        <x:v>4172.2436</x:v>
      </x:c>
      <x:c r="F61" s="31" t="n">
        <x:v>0.0421158831393936</x:v>
      </x:c>
      <x:c r="G61" s="30" t="n">
        <x:v>3728.7339</x:v>
      </x:c>
      <x:c r="H61" s="30" t="n">
        <x:v>154.50000000000182</x:v>
      </x:c>
      <x:c r="I61" s="32" t="n">
        <x:v>70</x:v>
      </x:c>
      <x:c r="J61" s="32" t="n">
        <x:v>1201850</x:v>
      </x:c>
      <x:c r="K61" s="36" t="n">
        <x:v>63</x:v>
      </x:c>
      <x:c r="L61" s="34" t="str">
        <x:v>/ceny-prajs-list/</x:v>
      </x:c>
      <x:c r="M61" s="14" t="str">
        <x:v>Последняя версия</x:v>
      </x:c>
      <x:c r="N61" s="38" t="n">
        <x:v>3376</x:v>
      </x:c>
      <x:c r="O61" s="14" t="str">
        <x:v>recheck-css-reserve/prices-mobile-02.json</x:v>
      </x:c>
    </x:row>
    <x:row r="62" ht="28" customHeight="1">
      <x:c r="A62" s="13" t="str">
        <x:v>Прайс</x:v>
      </x:c>
      <x:c r="B62" s="13" t="str">
        <x:v>Смартфон</x:v>
      </x:c>
      <x:c r="C62" s="13" t="str">
        <x:v>После</x:v>
      </x:c>
      <x:c r="D62" s="25" t="d">
        <x:v>2026-10-16T15:13:28.116Z</x:v>
      </x:c>
      <x:c r="E62" s="26" t="n">
        <x:v>3951.2136</x:v>
      </x:c>
      <x:c r="F62" s="27" t="n">
        <x:v>0.042118798287812044</x:v>
      </x:c>
      <x:c r="G62" s="26" t="n">
        <x:v>3503.9369</x:v>
      </x:c>
      <x:c r="H62" s="26" t="n">
        <x:v>157.5</x:v>
      </x:c>
      <x:c r="I62" s="28" t="n">
        <x:v>73</x:v>
      </x:c>
      <x:c r="J62" s="28" t="n">
        <x:v>1202019</x:v>
      </x:c>
      <x:c r="K62" s="35" t="n">
        <x:v>63</x:v>
      </x:c>
      <x:c r="L62" s="33" t="str">
        <x:v>/ceny-prajs-list/</x:v>
      </x:c>
      <x:c r="M62" s="13" t="str">
        <x:v>Последняя версия</x:v>
      </x:c>
      <x:c r="N62" s="37" t="n">
        <x:v>3618.5</x:v>
      </x:c>
      <x:c r="O62" s="13" t="str">
        <x:v>recheck-css-reserve/prices-mobile-03.json</x:v>
      </x:c>
    </x:row>
    <x:row r="63" ht="28" customHeight="1">
      <x:c r="A63" s="14" t="str">
        <x:v>Контакты</x:v>
      </x:c>
      <x:c r="B63" s="14" t="str">
        <x:v>Смартфон</x:v>
      </x:c>
      <x:c r="C63" s="14" t="str">
        <x:v>После</x:v>
      </x:c>
      <x:c r="D63" s="29" t="d">
        <x:v>2026-10-16T15:42:22.393Z</x:v>
      </x:c>
      <x:c r="E63" s="30" t="n">
        <x:v>19190.474800000004</x:v>
      </x:c>
      <x:c r="F63" s="31" t="n">
        <x:v>0.004330143901759635</x:v>
      </x:c>
      <x:c r="G63" s="30" t="n">
        <x:v>3740.7727</x:v>
      </x:c>
      <x:c r="H63" s="30" t="n">
        <x:v>402</x:v>
      </x:c>
      <x:c r="I63" s="32" t="n">
        <x:v>50</x:v>
      </x:c>
      <x:c r="J63" s="32" t="n">
        <x:v>2108707</x:v>
      </x:c>
      <x:c r="K63" s="36" t="n">
        <x:v>81</x:v>
      </x:c>
      <x:c r="L63" s="34" t="str">
        <x:v>/kontakty/</x:v>
      </x:c>
      <x:c r="M63" s="14" t="str">
        <x:v>Повтор итоговой</x:v>
      </x:c>
      <x:c r="N63" s="38" t="n">
        <x:v>3453</x:v>
      </x:c>
      <x:c r="O63" s="14" t="str">
        <x:v>recheck-late-final/contacts-mobile-01.json</x:v>
      </x:c>
    </x:row>
    <x:row r="64" ht="28" customHeight="1">
      <x:c r="A64" s="13" t="str">
        <x:v>Контакты</x:v>
      </x:c>
      <x:c r="B64" s="13" t="str">
        <x:v>Смартфон</x:v>
      </x:c>
      <x:c r="C64" s="13" t="str">
        <x:v>После</x:v>
      </x:c>
      <x:c r="D64" s="25" t="d">
        <x:v>2026-10-16T15:42:50.194Z</x:v>
      </x:c>
      <x:c r="E64" s="26" t="n">
        <x:v>18782.553100000005</x:v>
      </x:c>
      <x:c r="F64" s="27" t="n">
        <x:v>0.0043293412056985055</x:v>
      </x:c>
      <x:c r="G64" s="26" t="n">
        <x:v>3990.6065999999996</x:v>
      </x:c>
      <x:c r="H64" s="26" t="n">
        <x:v>418.9999999999991</x:v>
      </x:c>
      <x:c r="I64" s="28" t="n">
        <x:v>48</x:v>
      </x:c>
      <x:c r="J64" s="28" t="n">
        <x:v>2108655</x:v>
      </x:c>
      <x:c r="K64" s="35" t="n">
        <x:v>81</x:v>
      </x:c>
      <x:c r="L64" s="33" t="str">
        <x:v>/kontakty/</x:v>
      </x:c>
      <x:c r="M64" s="13" t="str">
        <x:v>Повтор итоговой</x:v>
      </x:c>
      <x:c r="N64" s="37" t="n">
        <x:v>3465.5</x:v>
      </x:c>
      <x:c r="O64" s="13" t="str">
        <x:v>recheck-late-final/contacts-mobile-02.json</x:v>
      </x:c>
    </x:row>
    <x:row r="65" ht="28" customHeight="1">
      <x:c r="A65" s="14" t="str">
        <x:v>Контакты</x:v>
      </x:c>
      <x:c r="B65" s="14" t="str">
        <x:v>Смартфон</x:v>
      </x:c>
      <x:c r="C65" s="14" t="str">
        <x:v>После</x:v>
      </x:c>
      <x:c r="D65" s="29" t="d">
        <x:v>2026-10-16T15:43:19.406Z</x:v>
      </x:c>
      <x:c r="E65" s="30" t="n">
        <x:v>18540.02871</x:v>
      </x:c>
      <x:c r="F65" s="31" t="n">
        <x:v>0.0043293412056985055</x:v>
      </x:c>
      <x:c r="G65" s="30" t="n">
        <x:v>3669.9578100000003</x:v>
      </x:c>
      <x:c r="H65" s="30" t="n">
        <x:v>459</x:v>
      </x:c>
      <x:c r="I65" s="32" t="n">
        <x:v>48</x:v>
      </x:c>
      <x:c r="J65" s="32" t="n">
        <x:v>2108084</x:v>
      </x:c>
      <x:c r="K65" s="36" t="n">
        <x:v>81</x:v>
      </x:c>
      <x:c r="L65" s="34" t="str">
        <x:v>/kontakty/</x:v>
      </x:c>
      <x:c r="M65" s="14" t="str">
        <x:v>Повтор итоговой</x:v>
      </x:c>
      <x:c r="N65" s="38" t="n">
        <x:v>3164</x:v>
      </x:c>
      <x:c r="O65" s="14" t="str">
        <x:v>recheck-late-final/contacts-mobile-03.json</x:v>
      </x:c>
    </x:row>
    <x:row r="66" ht="28" customHeight="1">
      <x:c r="A66" s="13" t="str">
        <x:v>О клинике</x:v>
      </x:c>
      <x:c r="B66" s="13" t="str">
        <x:v>Смартфон</x:v>
      </x:c>
      <x:c r="C66" s="13" t="str">
        <x:v>После</x:v>
      </x:c>
      <x:c r="D66" s="25" t="d">
        <x:v>2026-10-16T15:25:31.579Z</x:v>
      </x:c>
      <x:c r="E66" s="26" t="n">
        <x:v>5151.579000000001</x:v>
      </x:c>
      <x:c r="F66" s="27" t="n">
        <x:v>0.004330143901759635</x:v>
      </x:c>
      <x:c r="G66" s="26" t="n">
        <x:v>4198.9890000000005</x:v>
      </x:c>
      <x:c r="H66" s="26" t="n">
        <x:v>167.5</x:v>
      </x:c>
      <x:c r="I66" s="28" t="n">
        <x:v>63</x:v>
      </x:c>
      <x:c r="J66" s="28" t="n">
        <x:v>2002704</x:v>
      </x:c>
      <x:c r="K66" s="35" t="n">
        <x:v>79</x:v>
      </x:c>
      <x:c r="L66" s="33" t="str">
        <x:v>/o-nas/</x:v>
      </x:c>
      <x:c r="M66" s="13" t="str">
        <x:v>Последняя версия</x:v>
      </x:c>
      <x:c r="N66" s="37" t="n">
        <x:v>3612.5</x:v>
      </x:c>
      <x:c r="O66" s="13" t="str">
        <x:v>recheck-css-reserve/about-mobile-01.json</x:v>
      </x:c>
    </x:row>
    <x:row r="67" ht="28" customHeight="1">
      <x:c r="A67" s="14" t="str">
        <x:v>О клинике</x:v>
      </x:c>
      <x:c r="B67" s="14" t="str">
        <x:v>Смартфон</x:v>
      </x:c>
      <x:c r="C67" s="14" t="str">
        <x:v>После</x:v>
      </x:c>
      <x:c r="D67" s="29" t="d">
        <x:v>2026-10-16T15:25:57.230Z</x:v>
      </x:c>
      <x:c r="E67" s="30" t="n">
        <x:v>4323.616599999999</x:v>
      </x:c>
      <x:c r="F67" s="31" t="n">
        <x:v>0.0043293412056985055</x:v>
      </x:c>
      <x:c r="G67" s="30" t="n">
        <x:v>3483.2437999999997</x:v>
      </x:c>
      <x:c r="H67" s="30" t="n">
        <x:v>166.5</x:v>
      </x:c>
      <x:c r="I67" s="32" t="n">
        <x:v>69</x:v>
      </x:c>
      <x:c r="J67" s="32" t="n">
        <x:v>2002990</x:v>
      </x:c>
      <x:c r="K67" s="36" t="n">
        <x:v>79</x:v>
      </x:c>
      <x:c r="L67" s="34" t="str">
        <x:v>/o-nas/</x:v>
      </x:c>
      <x:c r="M67" s="14" t="str">
        <x:v>Последняя версия</x:v>
      </x:c>
      <x:c r="N67" s="38" t="n">
        <x:v>3652.5</x:v>
      </x:c>
      <x:c r="O67" s="14" t="str">
        <x:v>recheck-css-reserve/about-mobile-02.json</x:v>
      </x:c>
    </x:row>
    <x:row r="68" ht="28" customHeight="1">
      <x:c r="A68" s="13" t="str">
        <x:v>О клинике</x:v>
      </x:c>
      <x:c r="B68" s="13" t="str">
        <x:v>Смартфон</x:v>
      </x:c>
      <x:c r="C68" s="13" t="str">
        <x:v>После</x:v>
      </x:c>
      <x:c r="D68" s="25" t="d">
        <x:v>2026-10-16T15:26:22.662Z</x:v>
      </x:c>
      <x:c r="E68" s="26" t="n">
        <x:v>4667.322000000001</x:v>
      </x:c>
      <x:c r="F68" s="27" t="n">
        <x:v>0.004330143901759635</x:v>
      </x:c>
      <x:c r="G68" s="26" t="n">
        <x:v>3402.6528000000003</x:v>
      </x:c>
      <x:c r="H68" s="26" t="n">
        <x:v>176</x:v>
      </x:c>
      <x:c r="I68" s="28" t="n">
        <x:v>67</x:v>
      </x:c>
      <x:c r="J68" s="28" t="n">
        <x:v>2002903</x:v>
      </x:c>
      <x:c r="K68" s="35" t="n">
        <x:v>79</x:v>
      </x:c>
      <x:c r="L68" s="33" t="str">
        <x:v>/o-nas/</x:v>
      </x:c>
      <x:c r="M68" s="13" t="str">
        <x:v>Последняя версия</x:v>
      </x:c>
      <x:c r="N68" s="37" t="n">
        <x:v>3370.5</x:v>
      </x:c>
      <x:c r="O68" s="13" t="str">
        <x:v>recheck-css-reserve/about-mobile-03.json</x:v>
      </x:c>
    </x:row>
    <x:row r="69" ht="28" customHeight="1">
      <x:c r="A69" s="14" t="str">
        <x:v>Профиль Михайловой</x:v>
      </x:c>
      <x:c r="B69" s="14" t="str">
        <x:v>Смартфон</x:v>
      </x:c>
      <x:c r="C69" s="14" t="str">
        <x:v>После</x:v>
      </x:c>
      <x:c r="D69" s="29" t="d">
        <x:v>2026-10-16T15:26:49.210Z</x:v>
      </x:c>
      <x:c r="E69" s="30" t="n">
        <x:v>3975.6104000000005</x:v>
      </x:c>
      <x:c r="F69" s="31" t="n">
        <x:v>0.004330143901759635</x:v>
      </x:c>
      <x:c r="G69" s="30" t="n">
        <x:v>3524.9091000000003</x:v>
      </x:c>
      <x:c r="H69" s="30" t="n">
        <x:v>162.44065000000228</x:v>
      </x:c>
      <x:c r="I69" s="32" t="n">
        <x:v>71</x:v>
      </x:c>
      <x:c r="J69" s="32" t="n">
        <x:v>1219517</x:v>
      </x:c>
      <x:c r="K69" s="36" t="n">
        <x:v>65</x:v>
      </x:c>
      <x:c r="L69" s="34" t="str">
        <x:v>/o-nas/specialisty/mikhaylova-anastasiya-petrovna/</x:v>
      </x:c>
      <x:c r="M69" s="14" t="str">
        <x:v>Последняя версия</x:v>
      </x:c>
      <x:c r="N69" s="38" t="n">
        <x:v>3629.5</x:v>
      </x:c>
      <x:c r="O69" s="14" t="str">
        <x:v>recheck-css-reserve/doctor-mobile-01.json</x:v>
      </x:c>
    </x:row>
    <x:row r="70" ht="28" customHeight="1">
      <x:c r="A70" s="13" t="str">
        <x:v>Профиль Михайловой</x:v>
      </x:c>
      <x:c r="B70" s="13" t="str">
        <x:v>Смартфон</x:v>
      </x:c>
      <x:c r="C70" s="13" t="str">
        <x:v>После</x:v>
      </x:c>
      <x:c r="D70" s="25" t="d">
        <x:v>2026-10-16T15:27:13.984Z</x:v>
      </x:c>
      <x:c r="E70" s="26" t="n">
        <x:v>4292.804200000001</x:v>
      </x:c>
      <x:c r="F70" s="27" t="n">
        <x:v>0.0043293412056985055</x:v>
      </x:c>
      <x:c r="G70" s="26" t="n">
        <x:v>3801.5123000000012</x:v>
      </x:c>
      <x:c r="H70" s="26" t="n">
        <x:v>151</x:v>
      </x:c>
      <x:c r="I70" s="28" t="n">
        <x:v>69</x:v>
      </x:c>
      <x:c r="J70" s="28" t="n">
        <x:v>1219672</x:v>
      </x:c>
      <x:c r="K70" s="35" t="n">
        <x:v>65</x:v>
      </x:c>
      <x:c r="L70" s="33" t="str">
        <x:v>/o-nas/specialisty/mikhaylova-anastasiya-petrovna/</x:v>
      </x:c>
      <x:c r="M70" s="13" t="str">
        <x:v>Последняя версия</x:v>
      </x:c>
      <x:c r="N70" s="37" t="n">
        <x:v>3430.5</x:v>
      </x:c>
      <x:c r="O70" s="13" t="str">
        <x:v>recheck-css-reserve/doctor-mobile-02.json</x:v>
      </x:c>
    </x:row>
    <x:row r="71" ht="28" customHeight="1">
      <x:c r="A71" s="14" t="str">
        <x:v>Профиль Михайловой</x:v>
      </x:c>
      <x:c r="B71" s="14" t="str">
        <x:v>Смартфон</x:v>
      </x:c>
      <x:c r="C71" s="14" t="str">
        <x:v>После</x:v>
      </x:c>
      <x:c r="D71" s="29" t="d">
        <x:v>2026-10-16T15:27:38.826Z</x:v>
      </x:c>
      <x:c r="E71" s="30" t="n">
        <x:v>4309.6335</x:v>
      </x:c>
      <x:c r="F71" s="31" t="n">
        <x:v>0.0043293412056985055</x:v>
      </x:c>
      <x:c r="G71" s="30" t="n">
        <x:v>3466.2705</x:v>
      </x:c>
      <x:c r="H71" s="30" t="n">
        <x:v>138.5</x:v>
      </x:c>
      <x:c r="I71" s="32" t="n">
        <x:v>70</x:v>
      </x:c>
      <x:c r="J71" s="32" t="n">
        <x:v>1219789</x:v>
      </x:c>
      <x:c r="K71" s="36" t="n">
        <x:v>65</x:v>
      </x:c>
      <x:c r="L71" s="34" t="str">
        <x:v>/o-nas/specialisty/mikhaylova-anastasiya-petrovna/</x:v>
      </x:c>
      <x:c r="M71" s="14" t="str">
        <x:v>Последняя версия</x:v>
      </x:c>
      <x:c r="N71" s="38" t="n">
        <x:v>3624</x:v>
      </x:c>
      <x:c r="O71" s="14" t="str">
        <x:v>recheck-css-reserve/doctor-mobile-03.json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ebbfa8d6e57548f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1" hidden="0" customWidth="1"/>
    <x:col min="4" max="4" width="23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3" hidden="0" customWidth="1"/>
    <x:col min="10" max="10" width="17" hidden="0" customWidth="1"/>
    <x:col min="11" max="11" width="12" hidden="0" customWidth="1"/>
    <x:col min="12" max="12" width="60" hidden="0" customWidth="1"/>
    <x:col min="13" max="13" width="23" hidden="0" customWidth="1"/>
    <x:col min="14" max="14" width="17" hidden="0" customWidth="1"/>
    <x:col min="15" max="15" width="55" hidden="0" customWidth="1"/>
    <x:col min="16" max="16" width="67" hidden="0" customWidth="1"/>
  </x:cols>
  <x:sheetData>
    <x:row r="1" ht="36" customHeight="1">
      <x:c r="A1" s="4" t="str">
        <x:v>Первичные серии и исключения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5" t="str">
        <x:v>Клиника «Кожа». kozhaclinic.ru. 16 октября 2026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8" customHeight="1">
      <x:c r="A3" s="7" t="str">
        <x:v>Эти измерения сохранены для проверки. Они не участвуют в медианах вкладки «Сравнение».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2" customHeight="1">
      <x:c r="A5" s="12" t="str">
        <x:v>Страница</x:v>
      </x:c>
      <x:c r="B5" s="12" t="str">
        <x:v>Устройство</x:v>
      </x:c>
      <x:c r="C5" s="12" t="str">
        <x:v>Этап</x:v>
      </x:c>
      <x:c r="D5" s="12" t="str">
        <x:v>Время UTC</x:v>
      </x:c>
      <x:c r="E5" s="12" t="str">
        <x:v>LCP, мс</x:v>
      </x:c>
      <x:c r="F5" s="12" t="str">
        <x:v>CLS</x:v>
      </x:c>
      <x:c r="G5" s="12" t="str">
        <x:v>FCP, мс</x:v>
      </x:c>
      <x:c r="H5" s="12" t="str">
        <x:v>TBT, мс</x:v>
      </x:c>
      <x:c r="I5" s="12" t="str">
        <x:v>Lighthouse</x:v>
      </x:c>
      <x:c r="J5" s="12" t="str">
        <x:v>Байты</x:v>
      </x:c>
      <x:c r="K5" s="12" t="str">
        <x:v>Запросы</x:v>
      </x:c>
      <x:c r="L5" s="12" t="str">
        <x:v>Адрес</x:v>
      </x:c>
      <x:c r="M5" s="12" t="str">
        <x:v>Серия</x:v>
      </x:c>
      <x:c r="N5" s="12" t="str">
        <x:v>CPU benchmark</x:v>
      </x:c>
      <x:c r="O5" s="12" t="str">
        <x:v>ID прогона</x:v>
      </x:c>
      <x:c r="P5" s="12" t="str">
        <x:v>Почему не в основной таблице</x:v>
      </x:c>
    </x:row>
    <x:row r="6" ht="54" customHeight="1">
      <x:c r="A6" s="13" t="str">
        <x:v>Главная</x:v>
      </x:c>
      <x:c r="B6" s="13" t="str">
        <x:v>Смартфон</x:v>
      </x:c>
      <x:c r="C6" s="13" t="str">
        <x:v>До</x:v>
      </x:c>
      <x:c r="D6" s="15" t="d">
        <x:v>2026-10-16T11:30:17.036Z</x:v>
      </x:c>
      <x:c r="E6" s="17" t="n">
        <x:v>5045.957740000001</x:v>
      </x:c>
      <x:c r="F6" s="19" t="n">
        <x:v>0.1603888213851762</x:v>
      </x:c>
      <x:c r="G6" s="17" t="n">
        <x:v>4692.3599</x:v>
      </x:c>
      <x:c r="H6" s="17" t="n">
        <x:v>284</x:v>
      </x:c>
      <x:c r="I6" s="21" t="n">
        <x:v>50</x:v>
      </x:c>
      <x:c r="J6" s="21" t="n">
        <x:v>4608551</x:v>
      </x:c>
      <x:c r="K6" s="35" t="n">
        <x:v>160</x:v>
      </x:c>
      <x:c r="L6" s="33" t="str">
        <x:v>/</x:v>
      </x:c>
      <x:c r="M6" s="33" t="str">
        <x:v>Первоначальная</x:v>
      </x:c>
      <x:c r="N6" s="73" t="n">
        <x:v>2553</x:v>
      </x:c>
      <x:c r="O6" s="33" t="str">
        <x:v>before/home-mobile-01.json</x:v>
      </x:c>
      <x:c r="P6" s="33" t="str">
        <x:v>Заменена полной контрольной серией по заранее принятому правилу</x:v>
      </x:c>
    </x:row>
    <x:row r="7" ht="54" customHeight="1">
      <x:c r="A7" s="14" t="str">
        <x:v>Главная</x:v>
      </x:c>
      <x:c r="B7" s="14" t="str">
        <x:v>Смартфон</x:v>
      </x:c>
      <x:c r="C7" s="14" t="str">
        <x:v>До</x:v>
      </x:c>
      <x:c r="D7" s="16" t="d">
        <x:v>2026-10-16T11:30:56.508Z</x:v>
      </x:c>
      <x:c r="E7" s="18" t="n">
        <x:v>4798.0779999999995</x:v>
      </x:c>
      <x:c r="F7" s="20" t="n">
        <x:v>0.1603888213851762</x:v>
      </x:c>
      <x:c r="G7" s="18" t="n">
        <x:v>4422.2702</x:v>
      </x:c>
      <x:c r="H7" s="18" t="n">
        <x:v>320.5</x:v>
      </x:c>
      <x:c r="I7" s="22" t="n">
        <x:v>50</x:v>
      </x:c>
      <x:c r="J7" s="22" t="n">
        <x:v>4607608</x:v>
      </x:c>
      <x:c r="K7" s="36" t="n">
        <x:v>157</x:v>
      </x:c>
      <x:c r="L7" s="34" t="str">
        <x:v>/</x:v>
      </x:c>
      <x:c r="M7" s="34" t="str">
        <x:v>Первоначальная</x:v>
      </x:c>
      <x:c r="N7" s="74" t="n">
        <x:v>3037.5</x:v>
      </x:c>
      <x:c r="O7" s="34" t="str">
        <x:v>before/home-mobile-02.json</x:v>
      </x:c>
      <x:c r="P7" s="34" t="str">
        <x:v>Заменена полной контрольной серией по заранее принятому правилу</x:v>
      </x:c>
    </x:row>
    <x:row r="8" ht="54" customHeight="1">
      <x:c r="A8" s="13" t="str">
        <x:v>Главная</x:v>
      </x:c>
      <x:c r="B8" s="13" t="str">
        <x:v>Смартфон</x:v>
      </x:c>
      <x:c r="C8" s="13" t="str">
        <x:v>До</x:v>
      </x:c>
      <x:c r="D8" s="15" t="d">
        <x:v>2026-10-16T11:31:29.910Z</x:v>
      </x:c>
      <x:c r="E8" s="17" t="n">
        <x:v>4911.669999999998</x:v>
      </x:c>
      <x:c r="F8" s="19" t="n">
        <x:v>0.1603888213851762</x:v>
      </x:c>
      <x:c r="G8" s="17" t="n">
        <x:v>4519.502999999999</x:v>
      </x:c>
      <x:c r="H8" s="17" t="n">
        <x:v>261</x:v>
      </x:c>
      <x:c r="I8" s="21" t="n">
        <x:v>52</x:v>
      </x:c>
      <x:c r="J8" s="21" t="n">
        <x:v>4607629</x:v>
      </x:c>
      <x:c r="K8" s="35" t="n">
        <x:v>157</x:v>
      </x:c>
      <x:c r="L8" s="33" t="str">
        <x:v>/</x:v>
      </x:c>
      <x:c r="M8" s="33" t="str">
        <x:v>Первоначальная</x:v>
      </x:c>
      <x:c r="N8" s="73" t="n">
        <x:v>3089.5</x:v>
      </x:c>
      <x:c r="O8" s="33" t="str">
        <x:v>before/home-mobile-03.json</x:v>
      </x:c>
      <x:c r="P8" s="33" t="str">
        <x:v>Заменена полной контрольной серией по заранее принятому правилу</x:v>
      </x:c>
    </x:row>
    <x:row r="9" ht="54" customHeight="1">
      <x:c r="A9" s="14" t="str">
        <x:v>Главная</x:v>
      </x:c>
      <x:c r="B9" s="14" t="str">
        <x:v>Смартфон</x:v>
      </x:c>
      <x:c r="C9" s="14" t="str">
        <x:v>После</x:v>
      </x:c>
      <x:c r="D9" s="16" t="d">
        <x:v>2026-10-16T13:51:05.788Z</x:v>
      </x:c>
      <x:c r="E9" s="18" t="n">
        <x:v>3976.6952349999992</x:v>
      </x:c>
      <x:c r="F9" s="20" t="n">
        <x:v>0.004330143901759635</x:v>
      </x:c>
      <x:c r="G9" s="18" t="n">
        <x:v>3355.2513699999995</x:v>
      </x:c>
      <x:c r="H9" s="18" t="n">
        <x:v>254.5</x:v>
      </x:c>
      <x:c r="I9" s="22" t="n">
        <x:v>67</x:v>
      </x:c>
      <x:c r="J9" s="22" t="n">
        <x:v>1791770</x:v>
      </x:c>
      <x:c r="K9" s="36" t="n">
        <x:v>79</x:v>
      </x:c>
      <x:c r="L9" s="34" t="str">
        <x:v>/</x:v>
      </x:c>
      <x:c r="M9" s="34" t="str">
        <x:v>Первый вариант</x:v>
      </x:c>
      <x:c r="N9" s="74" t="n">
        <x:v>3231</x:v>
      </x:c>
      <x:c r="O9" s="34" t="str">
        <x:v>after/home-mobile-01.json</x:v>
      </x:c>
      <x:c r="P9" s="34" t="str">
        <x:v>Предыдущий вариант: не входит в итоговое сравнение после доработки шапки</x:v>
      </x:c>
    </x:row>
    <x:row r="10" ht="54" customHeight="1">
      <x:c r="A10" s="13" t="str">
        <x:v>Главная</x:v>
      </x:c>
      <x:c r="B10" s="13" t="str">
        <x:v>Смартфон</x:v>
      </x:c>
      <x:c r="C10" s="13" t="str">
        <x:v>После</x:v>
      </x:c>
      <x:c r="D10" s="15" t="d">
        <x:v>2026-10-16T13:51:36.171Z</x:v>
      </x:c>
      <x:c r="E10" s="17" t="n">
        <x:v>4008.208200000001</x:v>
      </x:c>
      <x:c r="F10" s="19" t="n">
        <x:v>0.0043293412056985055</x:v>
      </x:c>
      <x:c r="G10" s="17" t="n">
        <x:v>3552.010300000001</x:v>
      </x:c>
      <x:c r="H10" s="17" t="n">
        <x:v>221.5</x:v>
      </x:c>
      <x:c r="I10" s="21" t="n">
        <x:v>67</x:v>
      </x:c>
      <x:c r="J10" s="21" t="n">
        <x:v>1791709</x:v>
      </x:c>
      <x:c r="K10" s="35" t="n">
        <x:v>79</x:v>
      </x:c>
      <x:c r="L10" s="33" t="str">
        <x:v>/</x:v>
      </x:c>
      <x:c r="M10" s="33" t="str">
        <x:v>Первый вариант</x:v>
      </x:c>
      <x:c r="N10" s="73" t="n">
        <x:v>3305</x:v>
      </x:c>
      <x:c r="O10" s="33" t="str">
        <x:v>after/home-mobile-02.json</x:v>
      </x:c>
      <x:c r="P10" s="33" t="str">
        <x:v>Предыдущий вариант: не входит в итоговое сравнение после доработки шапки</x:v>
      </x:c>
    </x:row>
    <x:row r="11" ht="54" customHeight="1">
      <x:c r="A11" s="14" t="str">
        <x:v>Главная</x:v>
      </x:c>
      <x:c r="B11" s="14" t="str">
        <x:v>Смартфон</x:v>
      </x:c>
      <x:c r="C11" s="14" t="str">
        <x:v>После</x:v>
      </x:c>
      <x:c r="D11" s="16" t="d">
        <x:v>2026-10-16T13:52:06.458Z</x:v>
      </x:c>
      <x:c r="E11" s="18" t="n">
        <x:v>4429.876919999999</x:v>
      </x:c>
      <x:c r="F11" s="20" t="n">
        <x:v>0.0043293412056985055</x:v>
      </x:c>
      <x:c r="G11" s="18" t="n">
        <x:v>3992.027179999999</x:v>
      </x:c>
      <x:c r="H11" s="18" t="n">
        <x:v>251</x:v>
      </x:c>
      <x:c r="I11" s="22" t="n">
        <x:v>62</x:v>
      </x:c>
      <x:c r="J11" s="22" t="n">
        <x:v>1791794</x:v>
      </x:c>
      <x:c r="K11" s="36" t="n">
        <x:v>79</x:v>
      </x:c>
      <x:c r="L11" s="34" t="str">
        <x:v>/</x:v>
      </x:c>
      <x:c r="M11" s="34" t="str">
        <x:v>Первый вариант</x:v>
      </x:c>
      <x:c r="N11" s="74" t="n">
        <x:v>3375.5</x:v>
      </x:c>
      <x:c r="O11" s="34" t="str">
        <x:v>after/home-mobile-03.json</x:v>
      </x:c>
      <x:c r="P11" s="34" t="str">
        <x:v>Предыдущий вариант: не входит в итоговое сравнение после доработки шапки</x:v>
      </x:c>
    </x:row>
    <x:row r="12" ht="54" customHeight="1">
      <x:c r="A12" s="13" t="str">
        <x:v>Главная</x:v>
      </x:c>
      <x:c r="B12" s="13" t="str">
        <x:v>Смартфон</x:v>
      </x:c>
      <x:c r="C12" s="13" t="str">
        <x:v>После</x:v>
      </x:c>
      <x:c r="D12" s="15" t="d">
        <x:v>2026-10-16T15:14:24.002Z</x:v>
      </x:c>
      <x:c r="E12" s="17" t="n">
        <x:v>3865.191679999999</x:v>
      </x:c>
      <x:c r="F12" s="19" t="n">
        <x:v>0.004330143901759635</x:v>
      </x:c>
      <x:c r="G12" s="17" t="n">
        <x:v>3428.1712199999993</x:v>
      </x:c>
      <x:c r="H12" s="17" t="n">
        <x:v>168</x:v>
      </x:c>
      <x:c r="I12" s="21" t="n">
        <x:v>70</x:v>
      </x:c>
      <x:c r="J12" s="21" t="n">
        <x:v>1791554</x:v>
      </x:c>
      <x:c r="K12" s="35" t="n">
        <x:v>79</x:v>
      </x:c>
      <x:c r="L12" s="33" t="str">
        <x:v>/</x:v>
      </x:c>
      <x:c r="M12" s="33" t="str">
        <x:v>Последняя версия</x:v>
      </x:c>
      <x:c r="N12" s="73" t="n">
        <x:v>3642</x:v>
      </x:c>
      <x:c r="O12" s="33" t="str">
        <x:v>recheck-css-reserve/home-mobile-01.json</x:v>
      </x:c>
      <x:c r="P12" s="33" t="str">
        <x:v>Та же итоговая версия: заменена полной поздней перепроверкой CPU/LCP</x:v>
      </x:c>
    </x:row>
    <x:row r="13" ht="54" customHeight="1">
      <x:c r="A13" s="14" t="str">
        <x:v>Главная</x:v>
      </x:c>
      <x:c r="B13" s="14" t="str">
        <x:v>Смартфон</x:v>
      </x:c>
      <x:c r="C13" s="14" t="str">
        <x:v>После</x:v>
      </x:c>
      <x:c r="D13" s="16" t="d">
        <x:v>2026-10-16T15:14:52.233Z</x:v>
      </x:c>
      <x:c r="E13" s="18" t="n">
        <x:v>3939.1825200000007</x:v>
      </x:c>
      <x:c r="F13" s="20" t="n">
        <x:v>0.004330143901759635</x:v>
      </x:c>
      <x:c r="G13" s="18" t="n">
        <x:v>3492.7135800000005</x:v>
      </x:c>
      <x:c r="H13" s="18" t="n">
        <x:v>182</x:v>
      </x:c>
      <x:c r="I13" s="22" t="n">
        <x:v>69</x:v>
      </x:c>
      <x:c r="J13" s="22" t="n">
        <x:v>1791534</x:v>
      </x:c>
      <x:c r="K13" s="36" t="n">
        <x:v>79</x:v>
      </x:c>
      <x:c r="L13" s="34" t="str">
        <x:v>/</x:v>
      </x:c>
      <x:c r="M13" s="34" t="str">
        <x:v>Последняя версия</x:v>
      </x:c>
      <x:c r="N13" s="74" t="n">
        <x:v>3539</x:v>
      </x:c>
      <x:c r="O13" s="34" t="str">
        <x:v>recheck-css-reserve/home-mobile-02.json</x:v>
      </x:c>
      <x:c r="P13" s="34" t="str">
        <x:v>Та же итоговая версия: заменена полной поздней перепроверкой CPU/LCP</x:v>
      </x:c>
    </x:row>
    <x:row r="14" ht="54" customHeight="1">
      <x:c r="A14" s="13" t="str">
        <x:v>Главная</x:v>
      </x:c>
      <x:c r="B14" s="13" t="str">
        <x:v>Смартфон</x:v>
      </x:c>
      <x:c r="C14" s="13" t="str">
        <x:v>После</x:v>
      </x:c>
      <x:c r="D14" s="15" t="d">
        <x:v>2026-10-16T15:15:22.332Z</x:v>
      </x:c>
      <x:c r="E14" s="17" t="n">
        <x:v>4004.4720000000007</x:v>
      </x:c>
      <x:c r="F14" s="19" t="n">
        <x:v>0.004330143901759635</x:v>
      </x:c>
      <x:c r="G14" s="17" t="n">
        <x:v>3550.5380000000005</x:v>
      </x:c>
      <x:c r="H14" s="17" t="n">
        <x:v>199.68925000000036</x:v>
      </x:c>
      <x:c r="I14" s="21" t="n">
        <x:v>68</x:v>
      </x:c>
      <x:c r="J14" s="21" t="n">
        <x:v>1791625</x:v>
      </x:c>
      <x:c r="K14" s="35" t="n">
        <x:v>79</x:v>
      </x:c>
      <x:c r="L14" s="33" t="str">
        <x:v>/</x:v>
      </x:c>
      <x:c r="M14" s="33" t="str">
        <x:v>Последняя версия</x:v>
      </x:c>
      <x:c r="N14" s="73" t="n">
        <x:v>3552</x:v>
      </x:c>
      <x:c r="O14" s="33" t="str">
        <x:v>recheck-css-reserve/home-mobile-03.json</x:v>
      </x:c>
      <x:c r="P14" s="33" t="str">
        <x:v>Та же итоговая версия: заменена полной поздней перепроверкой CPU/LCP</x:v>
      </x:c>
    </x:row>
    <x:row r="15" ht="54" customHeight="1">
      <x:c r="A15" s="14" t="str">
        <x:v>Главная</x:v>
      </x:c>
      <x:c r="B15" s="14" t="str">
        <x:v>Компьютер</x:v>
      </x:c>
      <x:c r="C15" s="14" t="str">
        <x:v>После</x:v>
      </x:c>
      <x:c r="D15" s="16" t="d">
        <x:v>2026-10-16T13:52:42.485Z</x:v>
      </x:c>
      <x:c r="E15" s="18" t="n">
        <x:v>3977.76156</x:v>
      </x:c>
      <x:c r="F15" s="20" t="n">
        <x:v>0.007576663523930013</x:v>
      </x:c>
      <x:c r="G15" s="18" t="n">
        <x:v>3977.76156</x:v>
      </x:c>
      <x:c r="H15" s="18" t="n">
        <x:v>0</x:v>
      </x:c>
      <x:c r="I15" s="22" t="n">
        <x:v>59</x:v>
      </x:c>
      <x:c r="J15" s="22" t="n">
        <x:v>2981667</x:v>
      </x:c>
      <x:c r="K15" s="36" t="n">
        <x:v>85</x:v>
      </x:c>
      <x:c r="L15" s="34" t="str">
        <x:v>/</x:v>
      </x:c>
      <x:c r="M15" s="34" t="str">
        <x:v>Первый вариант</x:v>
      </x:c>
      <x:c r="N15" s="74" t="n">
        <x:v>3200.5</x:v>
      </x:c>
      <x:c r="O15" s="34" t="str">
        <x:v>after/home-desktop-01.json</x:v>
      </x:c>
      <x:c r="P15" s="34" t="str">
        <x:v>Предыдущий вариант: не входит в итоговое сравнение после доработки шапки</x:v>
      </x:c>
    </x:row>
    <x:row r="16" ht="54" customHeight="1">
      <x:c r="A16" s="13" t="str">
        <x:v>Главная</x:v>
      </x:c>
      <x:c r="B16" s="13" t="str">
        <x:v>Компьютер</x:v>
      </x:c>
      <x:c r="C16" s="13" t="str">
        <x:v>После</x:v>
      </x:c>
      <x:c r="D16" s="15" t="d">
        <x:v>2026-10-16T13:53:18.407Z</x:v>
      </x:c>
      <x:c r="E16" s="17" t="n">
        <x:v>2418.743794562852</x:v>
      </x:c>
      <x:c r="F16" s="19" t="n">
        <x:v>0.007576663523930013</x:v>
      </x:c>
      <x:c r="G16" s="17" t="n">
        <x:v>2418.743794562852</x:v>
      </x:c>
      <x:c r="H16" s="17" t="n">
        <x:v>0</x:v>
      </x:c>
      <x:c r="I16" s="21" t="n">
        <x:v>69</x:v>
      </x:c>
      <x:c r="J16" s="21" t="n">
        <x:v>2982496</x:v>
      </x:c>
      <x:c r="K16" s="35" t="n">
        <x:v>89</x:v>
      </x:c>
      <x:c r="L16" s="33" t="str">
        <x:v>/</x:v>
      </x:c>
      <x:c r="M16" s="33" t="str">
        <x:v>Первый вариант</x:v>
      </x:c>
      <x:c r="N16" s="73" t="n">
        <x:v>3161</x:v>
      </x:c>
      <x:c r="O16" s="33" t="str">
        <x:v>after/home-desktop-02.json</x:v>
      </x:c>
      <x:c r="P16" s="33" t="str">
        <x:v>Предыдущий вариант: не входит в итоговое сравнение после доработки шапки</x:v>
      </x:c>
    </x:row>
    <x:row r="17" ht="54" customHeight="1">
      <x:c r="A17" s="14" t="str">
        <x:v>Главная</x:v>
      </x:c>
      <x:c r="B17" s="14" t="str">
        <x:v>Компьютер</x:v>
      </x:c>
      <x:c r="C17" s="14" t="str">
        <x:v>После</x:v>
      </x:c>
      <x:c r="D17" s="16" t="d">
        <x:v>2026-10-16T13:53:50.966Z</x:v>
      </x:c>
      <x:c r="E17" s="18" t="n">
        <x:v>2506.0616400000004</x:v>
      </x:c>
      <x:c r="F17" s="20" t="n">
        <x:v>0.007576663523930013</x:v>
      </x:c>
      <x:c r="G17" s="18" t="n">
        <x:v>2506.0616400000004</x:v>
      </x:c>
      <x:c r="H17" s="18" t="n">
        <x:v>0</x:v>
      </x:c>
      <x:c r="I17" s="22" t="n">
        <x:v>68</x:v>
      </x:c>
      <x:c r="J17" s="22" t="n">
        <x:v>2981638</x:v>
      </x:c>
      <x:c r="K17" s="36" t="n">
        <x:v>85</x:v>
      </x:c>
      <x:c r="L17" s="34" t="str">
        <x:v>/</x:v>
      </x:c>
      <x:c r="M17" s="34" t="str">
        <x:v>Первый вариант</x:v>
      </x:c>
      <x:c r="N17" s="74" t="n">
        <x:v>3034.5</x:v>
      </x:c>
      <x:c r="O17" s="34" t="str">
        <x:v>after/home-desktop-03.json</x:v>
      </x:c>
      <x:c r="P17" s="34" t="str">
        <x:v>Предыдущий вариант: не входит в итоговое сравнение после доработки шапки</x:v>
      </x:c>
    </x:row>
    <x:row r="18" ht="54" customHeight="1">
      <x:c r="A18" s="13" t="str">
        <x:v>Каталог услуг</x:v>
      </x:c>
      <x:c r="B18" s="13" t="str">
        <x:v>Смартфон</x:v>
      </x:c>
      <x:c r="C18" s="13" t="str">
        <x:v>До</x:v>
      </x:c>
      <x:c r="D18" s="15" t="d">
        <x:v>2026-10-16T11:33:53.232Z</x:v>
      </x:c>
      <x:c r="E18" s="17" t="n">
        <x:v>4143.70414</x:v>
      </x:c>
      <x:c r="F18" s="19" t="n">
        <x:v>0.1603888213851762</x:v>
      </x:c>
      <x:c r="G18" s="17" t="n">
        <x:v>3780.6136799999995</x:v>
      </x:c>
      <x:c r="H18" s="17" t="n">
        <x:v>214.5</x:v>
      </x:c>
      <x:c r="I18" s="21" t="n">
        <x:v>62</x:v>
      </x:c>
      <x:c r="J18" s="21" t="n">
        <x:v>2170706</x:v>
      </x:c>
      <x:c r="K18" s="35" t="n">
        <x:v>69</x:v>
      </x:c>
      <x:c r="L18" s="33" t="str">
        <x:v>/uslugi/</x:v>
      </x:c>
      <x:c r="M18" s="33" t="str">
        <x:v>Первоначальная</x:v>
      </x:c>
      <x:c r="N18" s="73" t="n">
        <x:v>3613</x:v>
      </x:c>
      <x:c r="O18" s="33" t="str">
        <x:v>before/catalog-mobile-01.json</x:v>
      </x:c>
      <x:c r="P18" s="33" t="str">
        <x:v>Заменена полной контрольной серией по заранее принятому правилу</x:v>
      </x:c>
    </x:row>
    <x:row r="19" ht="54" customHeight="1">
      <x:c r="A19" s="14" t="str">
        <x:v>Каталог услуг</x:v>
      </x:c>
      <x:c r="B19" s="14" t="str">
        <x:v>Смартфон</x:v>
      </x:c>
      <x:c r="C19" s="14" t="str">
        <x:v>До</x:v>
      </x:c>
      <x:c r="D19" s="16" t="d">
        <x:v>2026-10-16T11:34:17.945Z</x:v>
      </x:c>
      <x:c r="E19" s="18" t="n">
        <x:v>7361.867899999999</x:v>
      </x:c>
      <x:c r="F19" s="20" t="n">
        <x:v>0.1603888213851762</x:v>
      </x:c>
      <x:c r="G19" s="18" t="n">
        <x:v>4865.6258</x:v>
      </x:c>
      <x:c r="H19" s="18" t="n">
        <x:v>138.5</x:v>
      </x:c>
      <x:c r="I19" s="22" t="n">
        <x:v>49</x:v>
      </x:c>
      <x:c r="J19" s="22" t="n">
        <x:v>2170663</x:v>
      </x:c>
      <x:c r="K19" s="36" t="n">
        <x:v>70</x:v>
      </x:c>
      <x:c r="L19" s="34" t="str">
        <x:v>/uslugi/</x:v>
      </x:c>
      <x:c r="M19" s="34" t="str">
        <x:v>Первоначальная</x:v>
      </x:c>
      <x:c r="N19" s="74" t="n">
        <x:v>3561</x:v>
      </x:c>
      <x:c r="O19" s="34" t="str">
        <x:v>before/catalog-mobile-02.json</x:v>
      </x:c>
      <x:c r="P19" s="34" t="str">
        <x:v>Заменена полной контрольной серией по заранее принятому правилу</x:v>
      </x:c>
    </x:row>
    <x:row r="20" ht="54" customHeight="1">
      <x:c r="A20" s="13" t="str">
        <x:v>Каталог услуг</x:v>
      </x:c>
      <x:c r="B20" s="13" t="str">
        <x:v>Смартфон</x:v>
      </x:c>
      <x:c r="C20" s="13" t="str">
        <x:v>До</x:v>
      </x:c>
      <x:c r="D20" s="15" t="d">
        <x:v>2026-10-16T11:34:48.916Z</x:v>
      </x:c>
      <x:c r="E20" s="17" t="n">
        <x:v>4328.812459999999</x:v>
      </x:c>
      <x:c r="F20" s="19" t="n">
        <x:v>0.1603888213851762</x:v>
      </x:c>
      <x:c r="G20" s="17" t="n">
        <x:v>3969.0895199999995</x:v>
      </x:c>
      <x:c r="H20" s="17" t="n">
        <x:v>256</x:v>
      </x:c>
      <x:c r="I20" s="21" t="n">
        <x:v>59</x:v>
      </x:c>
      <x:c r="J20" s="21" t="n">
        <x:v>2171347</x:v>
      </x:c>
      <x:c r="K20" s="35" t="n">
        <x:v>73</x:v>
      </x:c>
      <x:c r="L20" s="33" t="str">
        <x:v>/uslugi/</x:v>
      </x:c>
      <x:c r="M20" s="33" t="str">
        <x:v>Первоначальная</x:v>
      </x:c>
      <x:c r="N20" s="73" t="n">
        <x:v>3636.5</x:v>
      </x:c>
      <x:c r="O20" s="33" t="str">
        <x:v>before/catalog-mobile-03.json</x:v>
      </x:c>
      <x:c r="P20" s="33" t="str">
        <x:v>Заменена полной контрольной серией по заранее принятому правилу</x:v>
      </x:c>
    </x:row>
    <x:row r="21" ht="54" customHeight="1">
      <x:c r="A21" s="14" t="str">
        <x:v>Каталог услуг</x:v>
      </x:c>
      <x:c r="B21" s="14" t="str">
        <x:v>Смартфон</x:v>
      </x:c>
      <x:c r="C21" s="14" t="str">
        <x:v>После</x:v>
      </x:c>
      <x:c r="D21" s="16" t="d">
        <x:v>2026-10-16T13:54:23.875Z</x:v>
      </x:c>
      <x:c r="E21" s="18" t="n">
        <x:v>3945.9615999999996</x:v>
      </x:c>
      <x:c r="F21" s="20" t="n">
        <x:v>0.004330143901759635</x:v>
      </x:c>
      <x:c r="G21" s="18" t="n">
        <x:v>3501.0914</x:v>
      </x:c>
      <x:c r="H21" s="18" t="n">
        <x:v>271.5</x:v>
      </x:c>
      <x:c r="I21" s="22" t="n">
        <x:v>69</x:v>
      </x:c>
      <x:c r="J21" s="22" t="n">
        <x:v>1653637</x:v>
      </x:c>
      <x:c r="K21" s="36" t="n">
        <x:v>72</x:v>
      </x:c>
      <x:c r="L21" s="34" t="str">
        <x:v>/uslugi/</x:v>
      </x:c>
      <x:c r="M21" s="34" t="str">
        <x:v>Первый вариант</x:v>
      </x:c>
      <x:c r="N21" s="74" t="n">
        <x:v>3133</x:v>
      </x:c>
      <x:c r="O21" s="34" t="str">
        <x:v>after/catalog-mobile-01.json</x:v>
      </x:c>
      <x:c r="P21" s="34" t="str">
        <x:v>Предыдущий вариант: не входит в итоговое сравнение после доработки шапки</x:v>
      </x:c>
    </x:row>
    <x:row r="22" ht="54" customHeight="1">
      <x:c r="A22" s="13" t="str">
        <x:v>Каталог услуг</x:v>
      </x:c>
      <x:c r="B22" s="13" t="str">
        <x:v>Смартфон</x:v>
      </x:c>
      <x:c r="C22" s="13" t="str">
        <x:v>После</x:v>
      </x:c>
      <x:c r="D22" s="15" t="d">
        <x:v>2026-10-16T13:54:50.900Z</x:v>
      </x:c>
      <x:c r="E22" s="17" t="n">
        <x:v>3893.9709999999995</x:v>
      </x:c>
      <x:c r="F22" s="19" t="n">
        <x:v>0.0043293412056985055</x:v>
      </x:c>
      <x:c r="G22" s="17" t="n">
        <x:v>3455.9275</x:v>
      </x:c>
      <x:c r="H22" s="17" t="n">
        <x:v>270.5</x:v>
      </x:c>
      <x:c r="I22" s="21" t="n">
        <x:v>70</x:v>
      </x:c>
      <x:c r="J22" s="21" t="n">
        <x:v>1655612</x:v>
      </x:c>
      <x:c r="K22" s="35" t="n">
        <x:v>80</x:v>
      </x:c>
      <x:c r="L22" s="33" t="str">
        <x:v>/uslugi/</x:v>
      </x:c>
      <x:c r="M22" s="33" t="str">
        <x:v>Первый вариант</x:v>
      </x:c>
      <x:c r="N22" s="73" t="n">
        <x:v>3188.5</x:v>
      </x:c>
      <x:c r="O22" s="33" t="str">
        <x:v>after/catalog-mobile-02.json</x:v>
      </x:c>
      <x:c r="P22" s="33" t="str">
        <x:v>Предыдущий вариант: не входит в итоговое сравнение после доработки шапки</x:v>
      </x:c>
    </x:row>
    <x:row r="23" ht="54" customHeight="1">
      <x:c r="A23" s="14" t="str">
        <x:v>Каталог услуг</x:v>
      </x:c>
      <x:c r="B23" s="14" t="str">
        <x:v>Смартфон</x:v>
      </x:c>
      <x:c r="C23" s="14" t="str">
        <x:v>После</x:v>
      </x:c>
      <x:c r="D23" s="16" t="d">
        <x:v>2026-10-16T13:55:18.597Z</x:v>
      </x:c>
      <x:c r="E23" s="18" t="n">
        <x:v>3750.1545800000004</x:v>
      </x:c>
      <x:c r="F23" s="20" t="n">
        <x:v>0.0043293412056985055</x:v>
      </x:c>
      <x:c r="G23" s="18" t="n">
        <x:v>3326.40707</x:v>
      </x:c>
      <x:c r="H23" s="18" t="n">
        <x:v>253</x:v>
      </x:c>
      <x:c r="I23" s="22" t="n">
        <x:v>72</x:v>
      </x:c>
      <x:c r="J23" s="22" t="n">
        <x:v>1653537</x:v>
      </x:c>
      <x:c r="K23" s="36" t="n">
        <x:v>72</x:v>
      </x:c>
      <x:c r="L23" s="34" t="str">
        <x:v>/uslugi/</x:v>
      </x:c>
      <x:c r="M23" s="34" t="str">
        <x:v>Первый вариант</x:v>
      </x:c>
      <x:c r="N23" s="74" t="n">
        <x:v>3086.5</x:v>
      </x:c>
      <x:c r="O23" s="34" t="str">
        <x:v>after/catalog-mobile-03.json</x:v>
      </x:c>
      <x:c r="P23" s="34" t="str">
        <x:v>Предыдущий вариант: не входит в итоговое сравнение после доработки шапки</x:v>
      </x:c>
    </x:row>
    <x:row r="24" ht="54" customHeight="1">
      <x:c r="A24" s="13" t="str">
        <x:v>Каталог услуг</x:v>
      </x:c>
      <x:c r="B24" s="13" t="str">
        <x:v>Смартфон</x:v>
      </x:c>
      <x:c r="C24" s="13" t="str">
        <x:v>После</x:v>
      </x:c>
      <x:c r="D24" s="15" t="d">
        <x:v>2026-10-16T14:55:31.058Z</x:v>
      </x:c>
      <x:c r="E24" s="17" t="n">
        <x:v>3901.9453999999996</x:v>
      </x:c>
      <x:c r="F24" s="19" t="n">
        <x:v>0.004330143901759635</x:v>
      </x:c>
      <x:c r="G24" s="17" t="n">
        <x:v>3459.7030999999997</x:v>
      </x:c>
      <x:c r="H24" s="17" t="n">
        <x:v>167</x:v>
      </x:c>
      <x:c r="I24" s="21" t="n">
        <x:v>73</x:v>
      </x:c>
      <x:c r="J24" s="21" t="n">
        <x:v>1653630</x:v>
      </x:c>
      <x:c r="K24" s="35" t="n">
        <x:v>72</x:v>
      </x:c>
      <x:c r="L24" s="33" t="str">
        <x:v>/uslugi/</x:v>
      </x:c>
      <x:c r="M24" s="33" t="str">
        <x:v>Контроль первого варианта</x:v>
      </x:c>
      <x:c r="N24" s="73" t="n">
        <x:v>3379.5</x:v>
      </x:c>
      <x:c r="O24" s="33" t="str">
        <x:v>recheck-final-control/catalog-mobile-01.json</x:v>
      </x:c>
      <x:c r="P24" s="33" t="str">
        <x:v>Предыдущий вариант: не входит в итоговое сравнение после доработки шапки</x:v>
      </x:c>
    </x:row>
    <x:row r="25" ht="54" customHeight="1">
      <x:c r="A25" s="14" t="str">
        <x:v>Каталог услуг</x:v>
      </x:c>
      <x:c r="B25" s="14" t="str">
        <x:v>Смартфон</x:v>
      </x:c>
      <x:c r="C25" s="14" t="str">
        <x:v>После</x:v>
      </x:c>
      <x:c r="D25" s="16" t="d">
        <x:v>2026-10-16T14:55:56.112Z</x:v>
      </x:c>
      <x:c r="E25" s="18" t="n">
        <x:v>3932.192</x:v>
      </x:c>
      <x:c r="F25" s="20" t="n">
        <x:v>0.0043293412056985055</x:v>
      </x:c>
      <x:c r="G25" s="18" t="n">
        <x:v>3487.293</x:v>
      </x:c>
      <x:c r="H25" s="18" t="n">
        <x:v>138.0000000000009</x:v>
      </x:c>
      <x:c r="I25" s="22" t="n">
        <x:v>73</x:v>
      </x:c>
      <x:c r="J25" s="22" t="n">
        <x:v>1654017</x:v>
      </x:c>
      <x:c r="K25" s="36" t="n">
        <x:v>73</x:v>
      </x:c>
      <x:c r="L25" s="34" t="str">
        <x:v>/uslugi/</x:v>
      </x:c>
      <x:c r="M25" s="34" t="str">
        <x:v>Контроль первого варианта</x:v>
      </x:c>
      <x:c r="N25" s="74" t="n">
        <x:v>3617.5</x:v>
      </x:c>
      <x:c r="O25" s="34" t="str">
        <x:v>recheck-final-control/catalog-mobile-02.json</x:v>
      </x:c>
      <x:c r="P25" s="34" t="str">
        <x:v>Предыдущий вариант: не входит в итоговое сравнение после доработки шапки</x:v>
      </x:c>
    </x:row>
    <x:row r="26" ht="54" customHeight="1">
      <x:c r="A26" s="13" t="str">
        <x:v>Каталог услуг</x:v>
      </x:c>
      <x:c r="B26" s="13" t="str">
        <x:v>Смартфон</x:v>
      </x:c>
      <x:c r="C26" s="13" t="str">
        <x:v>После</x:v>
      </x:c>
      <x:c r="D26" s="15" t="d">
        <x:v>2026-10-16T14:56:21.194Z</x:v>
      </x:c>
      <x:c r="E26" s="17" t="n">
        <x:v>4132.547280000001</x:v>
      </x:c>
      <x:c r="F26" s="19" t="n">
        <x:v>0.004330143901759635</x:v>
      </x:c>
      <x:c r="G26" s="17" t="n">
        <x:v>3662.478870000001</x:v>
      </x:c>
      <x:c r="H26" s="17" t="n">
        <x:v>141</x:v>
      </x:c>
      <x:c r="I26" s="21" t="n">
        <x:v>71</x:v>
      </x:c>
      <x:c r="J26" s="21" t="n">
        <x:v>1653477</x:v>
      </x:c>
      <x:c r="K26" s="35" t="n">
        <x:v>72</x:v>
      </x:c>
      <x:c r="L26" s="33" t="str">
        <x:v>/uslugi/</x:v>
      </x:c>
      <x:c r="M26" s="33" t="str">
        <x:v>Контроль первого варианта</x:v>
      </x:c>
      <x:c r="N26" s="73" t="n">
        <x:v>3549</x:v>
      </x:c>
      <x:c r="O26" s="33" t="str">
        <x:v>recheck-final-control/catalog-mobile-03.json</x:v>
      </x:c>
      <x:c r="P26" s="33" t="str">
        <x:v>Предыдущий вариант: не входит в итоговое сравнение после доработки шапки</x:v>
      </x:c>
    </x:row>
    <x:row r="27" ht="54" customHeight="1">
      <x:c r="A27" s="14" t="str">
        <x:v>Аппаратная косметология</x:v>
      </x:c>
      <x:c r="B27" s="14" t="str">
        <x:v>Смартфон</x:v>
      </x:c>
      <x:c r="C27" s="14" t="str">
        <x:v>После</x:v>
      </x:c>
      <x:c r="D27" s="16" t="d">
        <x:v>2026-10-16T13:44:48.686Z</x:v>
      </x:c>
      <x:c r="E27" s="18" t="n">
        <x:v>4020.086300000001</x:v>
      </x:c>
      <x:c r="F27" s="20" t="n">
        <x:v>0.0043293412056985055</x:v>
      </x:c>
      <x:c r="G27" s="18" t="n">
        <x:v>3578.8007000000007</x:v>
      </x:c>
      <x:c r="H27" s="18" t="n">
        <x:v>234.5</x:v>
      </x:c>
      <x:c r="I27" s="22" t="n">
        <x:v>68</x:v>
      </x:c>
      <x:c r="J27" s="22" t="n">
        <x:v>1245399</x:v>
      </x:c>
      <x:c r="K27" s="36" t="n">
        <x:v>68</x:v>
      </x:c>
      <x:c r="L27" s="34" t="str">
        <x:v>/apparatnaya-kosmetologiya/</x:v>
      </x:c>
      <x:c r="M27" s="34" t="str">
        <x:v>Первый вариант</x:v>
      </x:c>
      <x:c r="N27" s="74" t="n">
        <x:v>3177.5</x:v>
      </x:c>
      <x:c r="O27" s="34" t="str">
        <x:v>after/category-mobile-01.json</x:v>
      </x:c>
      <x:c r="P27" s="34" t="str">
        <x:v>Предыдущий вариант: не входит в итоговое сравнение после доработки шапки</x:v>
      </x:c>
    </x:row>
    <x:row r="28" ht="54" customHeight="1">
      <x:c r="A28" s="13" t="str">
        <x:v>Аппаратная косметология</x:v>
      </x:c>
      <x:c r="B28" s="13" t="str">
        <x:v>Смартфон</x:v>
      </x:c>
      <x:c r="C28" s="13" t="str">
        <x:v>После</x:v>
      </x:c>
      <x:c r="D28" s="15" t="d">
        <x:v>2026-10-16T13:45:15.851Z</x:v>
      </x:c>
      <x:c r="E28" s="17" t="n">
        <x:v>4125.857400000001</x:v>
      </x:c>
      <x:c r="F28" s="19" t="n">
        <x:v>0.004330143901759635</x:v>
      </x:c>
      <x:c r="G28" s="17" t="n">
        <x:v>3675.0786000000003</x:v>
      </x:c>
      <x:c r="H28" s="17" t="n">
        <x:v>221.5</x:v>
      </x:c>
      <x:c r="I28" s="21" t="n">
        <x:v>68</x:v>
      </x:c>
      <x:c r="J28" s="21" t="n">
        <x:v>1245572</x:v>
      </x:c>
      <x:c r="K28" s="35" t="n">
        <x:v>68</x:v>
      </x:c>
      <x:c r="L28" s="33" t="str">
        <x:v>/apparatnaya-kosmetologiya/</x:v>
      </x:c>
      <x:c r="M28" s="33" t="str">
        <x:v>Первый вариант</x:v>
      </x:c>
      <x:c r="N28" s="73" t="n">
        <x:v>3018.5</x:v>
      </x:c>
      <x:c r="O28" s="33" t="str">
        <x:v>after/category-mobile-02.json</x:v>
      </x:c>
      <x:c r="P28" s="33" t="str">
        <x:v>Предыдущий вариант: не входит в итоговое сравнение после доработки шапки</x:v>
      </x:c>
    </x:row>
    <x:row r="29" ht="54" customHeight="1">
      <x:c r="A29" s="14" t="str">
        <x:v>Аппаратная косметология</x:v>
      </x:c>
      <x:c r="B29" s="14" t="str">
        <x:v>Смартфон</x:v>
      </x:c>
      <x:c r="C29" s="14" t="str">
        <x:v>После</x:v>
      </x:c>
      <x:c r="D29" s="16" t="d">
        <x:v>2026-10-16T13:45:42.549Z</x:v>
      </x:c>
      <x:c r="E29" s="18" t="n">
        <x:v>4367.47565</x:v>
      </x:c>
      <x:c r="F29" s="20" t="n">
        <x:v>0.004330143901759635</x:v>
      </x:c>
      <x:c r="G29" s="18" t="n">
        <x:v>3536.29395</x:v>
      </x:c>
      <x:c r="H29" s="18" t="n">
        <x:v>790.7217250000003</x:v>
      </x:c>
      <x:c r="I29" s="22" t="n">
        <x:v>52</x:v>
      </x:c>
      <x:c r="J29" s="22" t="n">
        <x:v>1245592</x:v>
      </x:c>
      <x:c r="K29" s="36" t="n">
        <x:v>68</x:v>
      </x:c>
      <x:c r="L29" s="34" t="str">
        <x:v>/apparatnaya-kosmetologiya/</x:v>
      </x:c>
      <x:c r="M29" s="34" t="str">
        <x:v>Первый вариант</x:v>
      </x:c>
      <x:c r="N29" s="74" t="n">
        <x:v>3369.5</x:v>
      </x:c>
      <x:c r="O29" s="34" t="str">
        <x:v>after/category-mobile-03.json</x:v>
      </x:c>
      <x:c r="P29" s="34" t="str">
        <x:v>Предыдущий вариант: не входит в итоговое сравнение после доработки шапки</x:v>
      </x:c>
    </x:row>
    <x:row r="30" ht="54" customHeight="1">
      <x:c r="A30" s="13" t="str">
        <x:v>Morpheus 8</x:v>
      </x:c>
      <x:c r="B30" s="13" t="str">
        <x:v>Смартфон</x:v>
      </x:c>
      <x:c r="C30" s="13" t="str">
        <x:v>После</x:v>
      </x:c>
      <x:c r="D30" s="15" t="d">
        <x:v>2026-10-16T13:46:10.634Z</x:v>
      </x:c>
      <x:c r="E30" s="17" t="n">
        <x:v>4003.1667400000006</x:v>
      </x:c>
      <x:c r="F30" s="19" t="n">
        <x:v>0.004330143901759635</x:v>
      </x:c>
      <x:c r="G30" s="17" t="n">
        <x:v>3563.0422100000005</x:v>
      </x:c>
      <x:c r="H30" s="17" t="n">
        <x:v>243.5</x:v>
      </x:c>
      <x:c r="I30" s="21" t="n">
        <x:v>68</x:v>
      </x:c>
      <x:c r="J30" s="21" t="n">
        <x:v>1251744</x:v>
      </x:c>
      <x:c r="K30" s="35" t="n">
        <x:v>68</x:v>
      </x:c>
      <x:c r="L30" s="33" t="str">
        <x:v>/apparatnaya-kosmetologiya/igolchatyy-rf-lifting-na-morpheus-8/</x:v>
      </x:c>
      <x:c r="M30" s="33" t="str">
        <x:v>Первый вариант</x:v>
      </x:c>
      <x:c r="N30" s="73" t="n">
        <x:v>3114</x:v>
      </x:c>
      <x:c r="O30" s="33" t="str">
        <x:v>after/service-mobile-01.json</x:v>
      </x:c>
      <x:c r="P30" s="33" t="str">
        <x:v>Предыдущий вариант: не входит в итоговое сравнение после доработки шапки</x:v>
      </x:c>
    </x:row>
    <x:row r="31" ht="54" customHeight="1">
      <x:c r="A31" s="14" t="str">
        <x:v>Morpheus 8</x:v>
      </x:c>
      <x:c r="B31" s="14" t="str">
        <x:v>Смартфон</x:v>
      </x:c>
      <x:c r="C31" s="14" t="str">
        <x:v>После</x:v>
      </x:c>
      <x:c r="D31" s="16" t="d">
        <x:v>2026-10-16T13:46:38.608Z</x:v>
      </x:c>
      <x:c r="E31" s="18" t="n">
        <x:v>4351.34886</x:v>
      </x:c>
      <x:c r="F31" s="20" t="n">
        <x:v>0.0043293412056985055</x:v>
      </x:c>
      <x:c r="G31" s="18" t="n">
        <x:v>3535.02778</x:v>
      </x:c>
      <x:c r="H31" s="18" t="n">
        <x:v>237.9999999999991</x:v>
      </x:c>
      <x:c r="I31" s="22" t="n">
        <x:v>66</x:v>
      </x:c>
      <x:c r="J31" s="22" t="n">
        <x:v>1251699</x:v>
      </x:c>
      <x:c r="K31" s="36" t="n">
        <x:v>68</x:v>
      </x:c>
      <x:c r="L31" s="34" t="str">
        <x:v>/apparatnaya-kosmetologiya/igolchatyy-rf-lifting-na-morpheus-8/</x:v>
      </x:c>
      <x:c r="M31" s="34" t="str">
        <x:v>Первый вариант</x:v>
      </x:c>
      <x:c r="N31" s="74" t="n">
        <x:v>3131.5</x:v>
      </x:c>
      <x:c r="O31" s="34" t="str">
        <x:v>after/service-mobile-02.json</x:v>
      </x:c>
      <x:c r="P31" s="34" t="str">
        <x:v>Предыдущий вариант: не входит в итоговое сравнение после доработки шапки</x:v>
      </x:c>
    </x:row>
    <x:row r="32" ht="54" customHeight="1">
      <x:c r="A32" s="13" t="str">
        <x:v>Morpheus 8</x:v>
      </x:c>
      <x:c r="B32" s="13" t="str">
        <x:v>Смартфон</x:v>
      </x:c>
      <x:c r="C32" s="13" t="str">
        <x:v>После</x:v>
      </x:c>
      <x:c r="D32" s="15" t="d">
        <x:v>2026-10-16T13:47:06.447Z</x:v>
      </x:c>
      <x:c r="E32" s="17" t="n">
        <x:v>4367.87675</x:v>
      </x:c>
      <x:c r="F32" s="19" t="n">
        <x:v>0.0043293412056985055</x:v>
      </x:c>
      <x:c r="G32" s="17" t="n">
        <x:v>3537.4032500000003</x:v>
      </x:c>
      <x:c r="H32" s="17" t="n">
        <x:v>213.5</x:v>
      </x:c>
      <x:c r="I32" s="21" t="n">
        <x:v>67</x:v>
      </x:c>
      <x:c r="J32" s="21" t="n">
        <x:v>1251716</x:v>
      </x:c>
      <x:c r="K32" s="35" t="n">
        <x:v>68</x:v>
      </x:c>
      <x:c r="L32" s="33" t="str">
        <x:v>/apparatnaya-kosmetologiya/igolchatyy-rf-lifting-na-morpheus-8/</x:v>
      </x:c>
      <x:c r="M32" s="33" t="str">
        <x:v>Первый вариант</x:v>
      </x:c>
      <x:c r="N32" s="73" t="n">
        <x:v>3272.5</x:v>
      </x:c>
      <x:c r="O32" s="33" t="str">
        <x:v>after/service-mobile-03.json</x:v>
      </x:c>
      <x:c r="P32" s="33" t="str">
        <x:v>Предыдущий вариант: не входит в итоговое сравнение после доработки шапки</x:v>
      </x:c>
    </x:row>
    <x:row r="33" ht="54" customHeight="1">
      <x:c r="A33" s="14" t="str">
        <x:v>Morpheus 8</x:v>
      </x:c>
      <x:c r="B33" s="14" t="str">
        <x:v>Компьютер</x:v>
      </x:c>
      <x:c r="C33" s="14" t="str">
        <x:v>После</x:v>
      </x:c>
      <x:c r="D33" s="16" t="d">
        <x:v>2026-10-16T13:55:50.404Z</x:v>
      </x:c>
      <x:c r="E33" s="18" t="n">
        <x:v>2494.3075000000003</x:v>
      </x:c>
      <x:c r="F33" s="20" t="n">
        <x:v>0.007565310275853485</x:v>
      </x:c>
      <x:c r="G33" s="18" t="n">
        <x:v>2494.3075000000003</x:v>
      </x:c>
      <x:c r="H33" s="18" t="n">
        <x:v>0</x:v>
      </x:c>
      <x:c r="I33" s="22" t="n">
        <x:v>70</x:v>
      </x:c>
      <x:c r="J33" s="22" t="n">
        <x:v>892718</x:v>
      </x:c>
      <x:c r="K33" s="36" t="n">
        <x:v>58</x:v>
      </x:c>
      <x:c r="L33" s="34" t="str">
        <x:v>/apparatnaya-kosmetologiya/igolchatyy-rf-lifting-na-morpheus-8/</x:v>
      </x:c>
      <x:c r="M33" s="34" t="str">
        <x:v>Первый вариант</x:v>
      </x:c>
      <x:c r="N33" s="74" t="n">
        <x:v>3188.5</x:v>
      </x:c>
      <x:c r="O33" s="34" t="str">
        <x:v>after/service-desktop-01.json</x:v>
      </x:c>
      <x:c r="P33" s="34" t="str">
        <x:v>Предыдущий вариант: не входит в итоговое сравнение после доработки шапки</x:v>
      </x:c>
    </x:row>
    <x:row r="34" ht="54" customHeight="1">
      <x:c r="A34" s="13" t="str">
        <x:v>Morpheus 8</x:v>
      </x:c>
      <x:c r="B34" s="13" t="str">
        <x:v>Компьютер</x:v>
      </x:c>
      <x:c r="C34" s="13" t="str">
        <x:v>После</x:v>
      </x:c>
      <x:c r="D34" s="15" t="d">
        <x:v>2026-10-16T13:56:15.321Z</x:v>
      </x:c>
      <x:c r="E34" s="17" t="n">
        <x:v>3265.0550000000007</x:v>
      </x:c>
      <x:c r="F34" s="19" t="n">
        <x:v>0.007565310275853485</x:v>
      </x:c>
      <x:c r="G34" s="17" t="n">
        <x:v>3265.0550000000007</x:v>
      </x:c>
      <x:c r="H34" s="17" t="n">
        <x:v>0</x:v>
      </x:c>
      <x:c r="I34" s="21" t="n">
        <x:v>63</x:v>
      </x:c>
      <x:c r="J34" s="21" t="n">
        <x:v>1749910</x:v>
      </x:c>
      <x:c r="K34" s="35" t="n">
        <x:v>72</x:v>
      </x:c>
      <x:c r="L34" s="33" t="str">
        <x:v>/apparatnaya-kosmetologiya/igolchatyy-rf-lifting-na-morpheus-8/</x:v>
      </x:c>
      <x:c r="M34" s="33" t="str">
        <x:v>Первый вариант</x:v>
      </x:c>
      <x:c r="N34" s="73" t="n">
        <x:v>3056.5</x:v>
      </x:c>
      <x:c r="O34" s="33" t="str">
        <x:v>after/service-desktop-02.json</x:v>
      </x:c>
      <x:c r="P34" s="33" t="str">
        <x:v>Предыдущий вариант: не входит в итоговое сравнение после доработки шапки</x:v>
      </x:c>
    </x:row>
    <x:row r="35" ht="54" customHeight="1">
      <x:c r="A35" s="14" t="str">
        <x:v>Morpheus 8</x:v>
      </x:c>
      <x:c r="B35" s="14" t="str">
        <x:v>Компьютер</x:v>
      </x:c>
      <x:c r="C35" s="14" t="str">
        <x:v>После</x:v>
      </x:c>
      <x:c r="D35" s="16" t="d">
        <x:v>2026-10-16T13:56:44.204Z</x:v>
      </x:c>
      <x:c r="E35" s="18" t="n">
        <x:v>5836.2182999999995</x:v>
      </x:c>
      <x:c r="F35" s="20" t="n">
        <x:v>0.007565310275853485</x:v>
      </x:c>
      <x:c r="G35" s="18" t="n">
        <x:v>5836.2182999999995</x:v>
      </x:c>
      <x:c r="H35" s="18" t="n">
        <x:v>0</x:v>
      </x:c>
      <x:c r="I35" s="22" t="n">
        <x:v>56</x:v>
      </x:c>
      <x:c r="J35" s="22" t="n">
        <x:v>1750302</x:v>
      </x:c>
      <x:c r="K35" s="36" t="n">
        <x:v>72</x:v>
      </x:c>
      <x:c r="L35" s="34" t="str">
        <x:v>/apparatnaya-kosmetologiya/igolchatyy-rf-lifting-na-morpheus-8/</x:v>
      </x:c>
      <x:c r="M35" s="34" t="str">
        <x:v>Первый вариант</x:v>
      </x:c>
      <x:c r="N35" s="74" t="n">
        <x:v>3085</x:v>
      </x:c>
      <x:c r="O35" s="34" t="str">
        <x:v>after/service-desktop-03.json</x:v>
      </x:c>
      <x:c r="P35" s="34" t="str">
        <x:v>Предыдущий вариант: не входит в итоговое сравнение после доработки шапки</x:v>
      </x:c>
    </x:row>
    <x:row r="36" ht="54" customHeight="1">
      <x:c r="A36" s="13" t="str">
        <x:v>Лечение розацеа</x:v>
      </x:c>
      <x:c r="B36" s="13" t="str">
        <x:v>Смартфон</x:v>
      </x:c>
      <x:c r="C36" s="13" t="str">
        <x:v>После</x:v>
      </x:c>
      <x:c r="D36" s="15" t="d">
        <x:v>2026-10-16T13:47:34.839Z</x:v>
      </x:c>
      <x:c r="E36" s="17" t="n">
        <x:v>4196.8612</x:v>
      </x:c>
      <x:c r="F36" s="19" t="n">
        <x:v>0.0043293412056985055</x:v>
      </x:c>
      <x:c r="G36" s="17" t="n">
        <x:v>3750.1318000000006</x:v>
      </x:c>
      <x:c r="H36" s="17" t="n">
        <x:v>197</x:v>
      </x:c>
      <x:c r="I36" s="21" t="n">
        <x:v>68</x:v>
      </x:c>
      <x:c r="J36" s="21" t="n">
        <x:v>1243391</x:v>
      </x:c>
      <x:c r="K36" s="35" t="n">
        <x:v>67</x:v>
      </x:c>
      <x:c r="L36" s="33" t="str">
        <x:v>/ubrat-rozatsea/</x:v>
      </x:c>
      <x:c r="M36" s="33" t="str">
        <x:v>Первый вариант</x:v>
      </x:c>
      <x:c r="N36" s="73" t="n">
        <x:v>3043</x:v>
      </x:c>
      <x:c r="O36" s="33" t="str">
        <x:v>after/problem-mobile-01.json</x:v>
      </x:c>
      <x:c r="P36" s="33" t="str">
        <x:v>Предыдущий вариант: не входит в итоговое сравнение после доработки шапки</x:v>
      </x:c>
    </x:row>
    <x:row r="37" ht="54" customHeight="1">
      <x:c r="A37" s="14" t="str">
        <x:v>Лечение розацеа</x:v>
      </x:c>
      <x:c r="B37" s="14" t="str">
        <x:v>Смартфон</x:v>
      </x:c>
      <x:c r="C37" s="14" t="str">
        <x:v>После</x:v>
      </x:c>
      <x:c r="D37" s="16" t="d">
        <x:v>2026-10-16T13:48:02.519Z</x:v>
      </x:c>
      <x:c r="E37" s="18" t="n">
        <x:v>3957.6039999999994</x:v>
      </x:c>
      <x:c r="F37" s="20" t="n">
        <x:v>0.004330143901759635</x:v>
      </x:c>
      <x:c r="G37" s="18" t="n">
        <x:v>3510.4034999999994</x:v>
      </x:c>
      <x:c r="H37" s="18" t="n">
        <x:v>269</x:v>
      </x:c>
      <x:c r="I37" s="22" t="n">
        <x:v>68</x:v>
      </x:c>
      <x:c r="J37" s="22" t="n">
        <x:v>1243530</x:v>
      </x:c>
      <x:c r="K37" s="36" t="n">
        <x:v>67</x:v>
      </x:c>
      <x:c r="L37" s="34" t="str">
        <x:v>/ubrat-rozatsea/</x:v>
      </x:c>
      <x:c r="M37" s="34" t="str">
        <x:v>Первый вариант</x:v>
      </x:c>
      <x:c r="N37" s="74" t="n">
        <x:v>3208</x:v>
      </x:c>
      <x:c r="O37" s="34" t="str">
        <x:v>after/problem-mobile-02.json</x:v>
      </x:c>
      <x:c r="P37" s="34" t="str">
        <x:v>Предыдущий вариант: не входит в итоговое сравнение после доработки шапки</x:v>
      </x:c>
    </x:row>
    <x:row r="38" ht="54" customHeight="1">
      <x:c r="A38" s="13" t="str">
        <x:v>Лечение розацеа</x:v>
      </x:c>
      <x:c r="B38" s="13" t="str">
        <x:v>Смартфон</x:v>
      </x:c>
      <x:c r="C38" s="13" t="str">
        <x:v>После</x:v>
      </x:c>
      <x:c r="D38" s="15" t="d">
        <x:v>2026-10-16T13:48:29.508Z</x:v>
      </x:c>
      <x:c r="E38" s="17" t="n">
        <x:v>4072.8319199999996</x:v>
      </x:c>
      <x:c r="F38" s="19" t="n">
        <x:v>0.004330143901759635</x:v>
      </x:c>
      <x:c r="G38" s="17" t="n">
        <x:v>3639.5144299999997</x:v>
      </x:c>
      <x:c r="H38" s="17" t="n">
        <x:v>253.5</x:v>
      </x:c>
      <x:c r="I38" s="21" t="n">
        <x:v>68</x:v>
      </x:c>
      <x:c r="J38" s="21" t="n">
        <x:v>1243494</x:v>
      </x:c>
      <x:c r="K38" s="35" t="n">
        <x:v>67</x:v>
      </x:c>
      <x:c r="L38" s="33" t="str">
        <x:v>/ubrat-rozatsea/</x:v>
      </x:c>
      <x:c r="M38" s="33" t="str">
        <x:v>Первый вариант</x:v>
      </x:c>
      <x:c r="N38" s="73" t="n">
        <x:v>3261</x:v>
      </x:c>
      <x:c r="O38" s="33" t="str">
        <x:v>after/problem-mobile-03.json</x:v>
      </x:c>
      <x:c r="P38" s="33" t="str">
        <x:v>Предыдущий вариант: не входит в итоговое сравнение после доработки шапки</x:v>
      </x:c>
    </x:row>
    <x:row r="39" ht="54" customHeight="1">
      <x:c r="A39" s="14" t="str">
        <x:v>Прайс</x:v>
      </x:c>
      <x:c r="B39" s="14" t="str">
        <x:v>Смартфон</x:v>
      </x:c>
      <x:c r="C39" s="14" t="str">
        <x:v>До</x:v>
      </x:c>
      <x:c r="D39" s="16" t="d">
        <x:v>2026-10-16T11:40:38.762Z</x:v>
      </x:c>
      <x:c r="E39" s="18" t="n">
        <x:v>5712.229400000001</x:v>
      </x:c>
      <x:c r="F39" s="20" t="n">
        <x:v>0.19919947157658266</x:v>
      </x:c>
      <x:c r="G39" s="18" t="n">
        <x:v>5712.229400000001</x:v>
      </x:c>
      <x:c r="H39" s="18" t="n">
        <x:v>177.9999999999991</x:v>
      </x:c>
      <x:c r="I39" s="22" t="n">
        <x:v>48</x:v>
      </x:c>
      <x:c r="J39" s="22" t="n">
        <x:v>1450095</x:v>
      </x:c>
      <x:c r="K39" s="36" t="n">
        <x:v>61</x:v>
      </x:c>
      <x:c r="L39" s="34" t="str">
        <x:v>/ceny-prajs-list/</x:v>
      </x:c>
      <x:c r="M39" s="34" t="str">
        <x:v>Первоначальная</x:v>
      </x:c>
      <x:c r="N39" s="74" t="n">
        <x:v>3546.5</x:v>
      </x:c>
      <x:c r="O39" s="34" t="str">
        <x:v>before/prices-mobile-01.json</x:v>
      </x:c>
      <x:c r="P39" s="34" t="str">
        <x:v>Заменена полной контрольной серией по заранее принятому правилу</x:v>
      </x:c>
    </x:row>
    <x:row r="40" ht="54" customHeight="1">
      <x:c r="A40" s="13" t="str">
        <x:v>Прайс</x:v>
      </x:c>
      <x:c r="B40" s="13" t="str">
        <x:v>Смартфон</x:v>
      </x:c>
      <x:c r="C40" s="13" t="str">
        <x:v>До</x:v>
      </x:c>
      <x:c r="D40" s="15" t="d">
        <x:v>2026-10-16T11:41:12.105Z</x:v>
      </x:c>
      <x:c r="E40" s="17" t="n">
        <x:v>4064.070800000001</x:v>
      </x:c>
      <x:c r="F40" s="19" t="n">
        <x:v>0.19920938321558523</x:v>
      </x:c>
      <x:c r="G40" s="17" t="n">
        <x:v>4064.070800000001</x:v>
      </x:c>
      <x:c r="H40" s="17" t="n">
        <x:v>148.5</x:v>
      </x:c>
      <x:c r="I40" s="21" t="n">
        <x:v>61</x:v>
      </x:c>
      <x:c r="J40" s="21" t="n">
        <x:v>1448803</x:v>
      </x:c>
      <x:c r="K40" s="35" t="n">
        <x:v>59</x:v>
      </x:c>
      <x:c r="L40" s="33" t="str">
        <x:v>/ceny-prajs-list/</x:v>
      </x:c>
      <x:c r="M40" s="33" t="str">
        <x:v>Первоначальная</x:v>
      </x:c>
      <x:c r="N40" s="73" t="n">
        <x:v>3610</x:v>
      </x:c>
      <x:c r="O40" s="33" t="str">
        <x:v>before/prices-mobile-02.json</x:v>
      </x:c>
      <x:c r="P40" s="33" t="str">
        <x:v>Заменена полной контрольной серией по заранее принятому правилу</x:v>
      </x:c>
    </x:row>
    <x:row r="41" ht="54" customHeight="1">
      <x:c r="A41" s="14" t="str">
        <x:v>Прайс</x:v>
      </x:c>
      <x:c r="B41" s="14" t="str">
        <x:v>Смартфон</x:v>
      </x:c>
      <x:c r="C41" s="14" t="str">
        <x:v>До</x:v>
      </x:c>
      <x:c r="D41" s="16" t="d">
        <x:v>2026-10-16T11:41:37.668Z</x:v>
      </x:c>
      <x:c r="E41" s="18" t="n">
        <x:v>4084.8797999999997</x:v>
      </x:c>
      <x:c r="F41" s="20" t="n">
        <x:v>0.19919810090138895</x:v>
      </x:c>
      <x:c r="G41" s="18" t="n">
        <x:v>4084.8797999999997</x:v>
      </x:c>
      <x:c r="H41" s="18" t="n">
        <x:v>182.4999999999991</x:v>
      </x:c>
      <x:c r="I41" s="22" t="n">
        <x:v>60</x:v>
      </x:c>
      <x:c r="J41" s="22" t="n">
        <x:v>1450149</x:v>
      </x:c>
      <x:c r="K41" s="36" t="n">
        <x:v>61</x:v>
      </x:c>
      <x:c r="L41" s="34" t="str">
        <x:v>/ceny-prajs-list/</x:v>
      </x:c>
      <x:c r="M41" s="34" t="str">
        <x:v>Первоначальная</x:v>
      </x:c>
      <x:c r="N41" s="74" t="n">
        <x:v>3649.5</x:v>
      </x:c>
      <x:c r="O41" s="34" t="str">
        <x:v>before/prices-mobile-03.json</x:v>
      </x:c>
      <x:c r="P41" s="34" t="str">
        <x:v>Заменена полной контрольной серией по заранее принятому правилу</x:v>
      </x:c>
    </x:row>
    <x:row r="42" ht="54" customHeight="1">
      <x:c r="A42" s="13" t="str">
        <x:v>Прайс</x:v>
      </x:c>
      <x:c r="B42" s="13" t="str">
        <x:v>Смартфон</x:v>
      </x:c>
      <x:c r="C42" s="13" t="str">
        <x:v>После</x:v>
      </x:c>
      <x:c r="D42" s="15" t="d">
        <x:v>2026-10-16T13:57:20.547Z</x:v>
      </x:c>
      <x:c r="E42" s="17" t="n">
        <x:v>4218.0396</x:v>
      </x:c>
      <x:c r="F42" s="19" t="n">
        <x:v>0.042135522540873604</x:v>
      </x:c>
      <x:c r="G42" s="17" t="n">
        <x:v>3769.5569</x:v>
      </x:c>
      <x:c r="H42" s="17" t="n">
        <x:v>230</x:v>
      </x:c>
      <x:c r="I42" s="21" t="n">
        <x:v>68</x:v>
      </x:c>
      <x:c r="J42" s="21" t="n">
        <x:v>1202242</x:v>
      </x:c>
      <x:c r="K42" s="35" t="n">
        <x:v>63</x:v>
      </x:c>
      <x:c r="L42" s="33" t="str">
        <x:v>/ceny-prajs-list/</x:v>
      </x:c>
      <x:c r="M42" s="33" t="str">
        <x:v>Первый вариант</x:v>
      </x:c>
      <x:c r="N42" s="73" t="n">
        <x:v>3288.5</x:v>
      </x:c>
      <x:c r="O42" s="33" t="str">
        <x:v>after/prices-mobile-01.json</x:v>
      </x:c>
      <x:c r="P42" s="33" t="str">
        <x:v>Предыдущий вариант: не входит в итоговое сравнение после доработки шапки</x:v>
      </x:c>
    </x:row>
    <x:row r="43" ht="54" customHeight="1">
      <x:c r="A43" s="14" t="str">
        <x:v>Прайс</x:v>
      </x:c>
      <x:c r="B43" s="14" t="str">
        <x:v>Смартфон</x:v>
      </x:c>
      <x:c r="C43" s="14" t="str">
        <x:v>После</x:v>
      </x:c>
      <x:c r="D43" s="16" t="d">
        <x:v>2026-10-16T13:57:46.888Z</x:v>
      </x:c>
      <x:c r="E43" s="18" t="n">
        <x:v>4240.870400000001</x:v>
      </x:c>
      <x:c r="F43" s="20" t="n">
        <x:v>0.04210385389680341</x:v>
      </x:c>
      <x:c r="G43" s="18" t="n">
        <x:v>3790.0276000000003</x:v>
      </x:c>
      <x:c r="H43" s="18" t="n">
        <x:v>308</x:v>
      </x:c>
      <x:c r="I43" s="22" t="n">
        <x:v>65</x:v>
      </x:c>
      <x:c r="J43" s="22" t="n">
        <x:v>1202303</x:v>
      </x:c>
      <x:c r="K43" s="36" t="n">
        <x:v>63</x:v>
      </x:c>
      <x:c r="L43" s="34" t="str">
        <x:v>/ceny-prajs-list/</x:v>
      </x:c>
      <x:c r="M43" s="34" t="str">
        <x:v>Первый вариант</x:v>
      </x:c>
      <x:c r="N43" s="74" t="n">
        <x:v>3192</x:v>
      </x:c>
      <x:c r="O43" s="34" t="str">
        <x:v>after/prices-mobile-02.json</x:v>
      </x:c>
      <x:c r="P43" s="34" t="str">
        <x:v>Предыдущий вариант: не входит в итоговое сравнение после доработки шапки</x:v>
      </x:c>
    </x:row>
    <x:row r="44" ht="54" customHeight="1">
      <x:c r="A44" s="13" t="str">
        <x:v>Прайс</x:v>
      </x:c>
      <x:c r="B44" s="13" t="str">
        <x:v>Смартфон</x:v>
      </x:c>
      <x:c r="C44" s="13" t="str">
        <x:v>После</x:v>
      </x:c>
      <x:c r="D44" s="15" t="d">
        <x:v>2026-10-16T13:58:13.014Z</x:v>
      </x:c>
      <x:c r="E44" s="17" t="n">
        <x:v>3765.1319599999993</x:v>
      </x:c>
      <x:c r="F44" s="19" t="n">
        <x:v>0.042129772200089705</x:v>
      </x:c>
      <x:c r="G44" s="17" t="n">
        <x:v>3339.7535899999993</x:v>
      </x:c>
      <x:c r="H44" s="17" t="n">
        <x:v>262.5</x:v>
      </x:c>
      <x:c r="I44" s="21" t="n">
        <x:v>71</x:v>
      </x:c>
      <x:c r="J44" s="21" t="n">
        <x:v>1202227</x:v>
      </x:c>
      <x:c r="K44" s="35" t="n">
        <x:v>63</x:v>
      </x:c>
      <x:c r="L44" s="33" t="str">
        <x:v>/ceny-prajs-list/</x:v>
      </x:c>
      <x:c r="M44" s="33" t="str">
        <x:v>Первый вариант</x:v>
      </x:c>
      <x:c r="N44" s="73" t="n">
        <x:v>3168.5</x:v>
      </x:c>
      <x:c r="O44" s="33" t="str">
        <x:v>after/prices-mobile-03.json</x:v>
      </x:c>
      <x:c r="P44" s="33" t="str">
        <x:v>Предыдущий вариант: не входит в итоговое сравнение после доработки шапки</x:v>
      </x:c>
    </x:row>
    <x:row r="45" ht="54" customHeight="1">
      <x:c r="A45" s="14" t="str">
        <x:v>Прайс</x:v>
      </x:c>
      <x:c r="B45" s="14" t="str">
        <x:v>Смартфон</x:v>
      </x:c>
      <x:c r="C45" s="14" t="str">
        <x:v>После</x:v>
      </x:c>
      <x:c r="D45" s="16" t="d">
        <x:v>2026-10-16T14:56:46.425Z</x:v>
      </x:c>
      <x:c r="E45" s="18" t="n">
        <x:v>3993.0532000000003</x:v>
      </x:c>
      <x:c r="F45" s="20" t="n">
        <x:v>0.04212625771722384</x:v>
      </x:c>
      <x:c r="G45" s="18" t="n">
        <x:v>3572.15205</x:v>
      </x:c>
      <x:c r="H45" s="18" t="n">
        <x:v>173</x:v>
      </x:c>
      <x:c r="I45" s="22" t="n">
        <x:v>72</x:v>
      </x:c>
      <x:c r="J45" s="22" t="n">
        <x:v>1202272</x:v>
      </x:c>
      <x:c r="K45" s="36" t="n">
        <x:v>63</x:v>
      </x:c>
      <x:c r="L45" s="34" t="str">
        <x:v>/ceny-prajs-list/</x:v>
      </x:c>
      <x:c r="M45" s="34" t="str">
        <x:v>Контроль первого варианта</x:v>
      </x:c>
      <x:c r="N45" s="74" t="n">
        <x:v>3518</x:v>
      </x:c>
      <x:c r="O45" s="34" t="str">
        <x:v>recheck-final-control/prices-mobile-01.json</x:v>
      </x:c>
      <x:c r="P45" s="34" t="str">
        <x:v>Предыдущий вариант: не входит в итоговое сравнение после доработки шапки</x:v>
      </x:c>
    </x:row>
    <x:row r="46" ht="54" customHeight="1">
      <x:c r="A46" s="13" t="str">
        <x:v>Прайс</x:v>
      </x:c>
      <x:c r="B46" s="13" t="str">
        <x:v>Смартфон</x:v>
      </x:c>
      <x:c r="C46" s="13" t="str">
        <x:v>После</x:v>
      </x:c>
      <x:c r="D46" s="15" t="d">
        <x:v>2026-10-16T14:57:12.551Z</x:v>
      </x:c>
      <x:c r="E46" s="17" t="n">
        <x:v>4075.2200000000003</x:v>
      </x:c>
      <x:c r="F46" s="19" t="n">
        <x:v>0.06513555576317354</x:v>
      </x:c>
      <x:c r="G46" s="17" t="n">
        <x:v>3644.9335</x:v>
      </x:c>
      <x:c r="H46" s="17" t="n">
        <x:v>179</x:v>
      </x:c>
      <x:c r="I46" s="21" t="n">
        <x:v>70</x:v>
      </x:c>
      <x:c r="J46" s="21" t="n">
        <x:v>1202238</x:v>
      </x:c>
      <x:c r="K46" s="35" t="n">
        <x:v>63</x:v>
      </x:c>
      <x:c r="L46" s="33" t="str">
        <x:v>/ceny-prajs-list/</x:v>
      </x:c>
      <x:c r="M46" s="33" t="str">
        <x:v>Контроль первого варианта</x:v>
      </x:c>
      <x:c r="N46" s="73" t="n">
        <x:v>3521.5</x:v>
      </x:c>
      <x:c r="O46" s="33" t="str">
        <x:v>recheck-final-control/prices-mobile-02.json</x:v>
      </x:c>
      <x:c r="P46" s="33" t="str">
        <x:v>Предыдущий вариант: не входит в итоговое сравнение после доработки шапки</x:v>
      </x:c>
    </x:row>
    <x:row r="47" ht="54" customHeight="1">
      <x:c r="A47" s="14" t="str">
        <x:v>Прайс</x:v>
      </x:c>
      <x:c r="B47" s="14" t="str">
        <x:v>Смартфон</x:v>
      </x:c>
      <x:c r="C47" s="14" t="str">
        <x:v>После</x:v>
      </x:c>
      <x:c r="D47" s="16" t="d">
        <x:v>2026-10-16T14:57:37.739Z</x:v>
      </x:c>
      <x:c r="E47" s="18" t="n">
        <x:v>4103.7166799999995</x:v>
      </x:c>
      <x:c r="F47" s="20" t="n">
        <x:v>0.04210995519314753</x:v>
      </x:c>
      <x:c r="G47" s="18" t="n">
        <x:v>3665.6647199999998</x:v>
      </x:c>
      <x:c r="H47" s="18" t="n">
        <x:v>181</x:v>
      </x:c>
      <x:c r="I47" s="22" t="n">
        <x:v>71</x:v>
      </x:c>
      <x:c r="J47" s="22" t="n">
        <x:v>1202241</x:v>
      </x:c>
      <x:c r="K47" s="36" t="n">
        <x:v>63</x:v>
      </x:c>
      <x:c r="L47" s="34" t="str">
        <x:v>/ceny-prajs-list/</x:v>
      </x:c>
      <x:c r="M47" s="34" t="str">
        <x:v>Контроль первого варианта</x:v>
      </x:c>
      <x:c r="N47" s="74" t="n">
        <x:v>3616.5</x:v>
      </x:c>
      <x:c r="O47" s="34" t="str">
        <x:v>recheck-final-control/prices-mobile-03.json</x:v>
      </x:c>
      <x:c r="P47" s="34" t="str">
        <x:v>Предыдущий вариант: не входит в итоговое сравнение после доработки шапки</x:v>
      </x:c>
    </x:row>
    <x:row r="48" ht="54" customHeight="1">
      <x:c r="A48" s="13" t="str">
        <x:v>Контакты</x:v>
      </x:c>
      <x:c r="B48" s="13" t="str">
        <x:v>Смартфон</x:v>
      </x:c>
      <x:c r="C48" s="13" t="str">
        <x:v>До</x:v>
      </x:c>
      <x:c r="D48" s="15" t="d">
        <x:v>2026-10-16T11:42:02.884Z</x:v>
      </x:c>
      <x:c r="E48" s="17" t="n">
        <x:v>16959.94658</x:v>
      </x:c>
      <x:c r="F48" s="19" t="n">
        <x:v>0.1570758080637327</x:v>
      </x:c>
      <x:c r="G48" s="17" t="n">
        <x:v>4418.609280000001</x:v>
      </x:c>
      <x:c r="H48" s="17" t="n">
        <x:v>484</x:v>
      </x:c>
      <x:c r="I48" s="21" t="n">
        <x:v>38</x:v>
      </x:c>
      <x:c r="J48" s="21" t="n">
        <x:v>2118973</x:v>
      </x:c>
      <x:c r="K48" s="35" t="n">
        <x:v>78</x:v>
      </x:c>
      <x:c r="L48" s="33" t="str">
        <x:v>/kontakty/</x:v>
      </x:c>
      <x:c r="M48" s="33" t="str">
        <x:v>Первоначальная</x:v>
      </x:c>
      <x:c r="N48" s="73" t="n">
        <x:v>3509</x:v>
      </x:c>
      <x:c r="O48" s="33" t="str">
        <x:v>before/contacts-mobile-01.json</x:v>
      </x:c>
      <x:c r="P48" s="33" t="str">
        <x:v>Ошибка 504 внешнего API карты; исходный замер исключён</x:v>
      </x:c>
    </x:row>
    <x:row r="49" ht="54" customHeight="1">
      <x:c r="A49" s="14" t="str">
        <x:v>Контакты</x:v>
      </x:c>
      <x:c r="B49" s="14" t="str">
        <x:v>Смартфон</x:v>
      </x:c>
      <x:c r="C49" s="14" t="str">
        <x:v>До</x:v>
      </x:c>
      <x:c r="D49" s="16" t="d">
        <x:v>2026-10-16T11:42:33.482Z</x:v>
      </x:c>
      <x:c r="E49" s="18" t="n">
        <x:v>15542.240920000002</x:v>
      </x:c>
      <x:c r="F49" s="20" t="n">
        <x:v>0.1570758080637327</x:v>
      </x:c>
      <x:c r="G49" s="18" t="n">
        <x:v>3980.3587600000005</x:v>
      </x:c>
      <x:c r="H49" s="18" t="n">
        <x:v>426.5</x:v>
      </x:c>
      <x:c r="I49" s="22" t="n">
        <x:v>42</x:v>
      </x:c>
      <x:c r="J49" s="22" t="n">
        <x:v>2118559</x:v>
      </x:c>
      <x:c r="K49" s="36" t="n">
        <x:v>78</x:v>
      </x:c>
      <x:c r="L49" s="34" t="str">
        <x:v>/kontakty/</x:v>
      </x:c>
      <x:c r="M49" s="34" t="str">
        <x:v>Первоначальная</x:v>
      </x:c>
      <x:c r="N49" s="74" t="n">
        <x:v>3604</x:v>
      </x:c>
      <x:c r="O49" s="34" t="str">
        <x:v>before/contacts-mobile-02.json</x:v>
      </x:c>
      <x:c r="P49" s="34" t="str">
        <x:v>Ошибка 504 внешнего API карты; исходный замер исключён</x:v>
      </x:c>
    </x:row>
    <x:row r="50" ht="54" customHeight="1">
      <x:c r="A50" s="13" t="str">
        <x:v>Контакты</x:v>
      </x:c>
      <x:c r="B50" s="13" t="str">
        <x:v>Смартфон</x:v>
      </x:c>
      <x:c r="C50" s="13" t="str">
        <x:v>До</x:v>
      </x:c>
      <x:c r="D50" s="15" t="d">
        <x:v>2026-10-16T11:42:59.784Z</x:v>
      </x:c>
      <x:c r="E50" s="17" t="n">
        <x:v>16849.9712</x:v>
      </x:c>
      <x:c r="F50" s="19" t="n">
        <x:v>0.1570758080637327</x:v>
      </x:c>
      <x:c r="G50" s="17" t="n">
        <x:v>4051.3737</x:v>
      </x:c>
      <x:c r="H50" s="17" t="n">
        <x:v>556</x:v>
      </x:c>
      <x:c r="I50" s="21" t="n">
        <x:v>39</x:v>
      </x:c>
      <x:c r="J50" s="21" t="n">
        <x:v>2118923</x:v>
      </x:c>
      <x:c r="K50" s="35" t="n">
        <x:v>78</x:v>
      </x:c>
      <x:c r="L50" s="33" t="str">
        <x:v>/kontakty/</x:v>
      </x:c>
      <x:c r="M50" s="33" t="str">
        <x:v>Первоначальная</x:v>
      </x:c>
      <x:c r="N50" s="73" t="n">
        <x:v>3596.5</x:v>
      </x:c>
      <x:c r="O50" s="33" t="str">
        <x:v>before/contacts-mobile-03.json</x:v>
      </x:c>
      <x:c r="P50" s="33" t="str">
        <x:v>Ошибка 504 внешнего API карты; исходный замер исключён</x:v>
      </x:c>
    </x:row>
    <x:row r="51" ht="54" customHeight="1">
      <x:c r="A51" s="14" t="str">
        <x:v>Контакты</x:v>
      </x:c>
      <x:c r="B51" s="14" t="str">
        <x:v>Смартфон</x:v>
      </x:c>
      <x:c r="C51" s="14" t="str">
        <x:v>До</x:v>
      </x:c>
      <x:c r="D51" s="16" t="d">
        <x:v>2026-10-16T14:48:31.750Z</x:v>
      </x:c>
      <x:c r="E51" s="18" t="n">
        <x:v>17072.408849999993</x:v>
      </x:c>
      <x:c r="F51" s="20" t="n">
        <x:v>0.1570758080637327</x:v>
      </x:c>
      <x:c r="G51" s="18" t="n">
        <x:v>4115.9234</x:v>
      </x:c>
      <x:c r="H51" s="18" t="n">
        <x:v>412.9999999999991</x:v>
      </x:c>
      <x:c r="I51" s="22" t="n">
        <x:v>42</x:v>
      </x:c>
      <x:c r="J51" s="22" t="n">
        <x:v>2118460</x:v>
      </x:c>
      <x:c r="K51" s="36" t="n">
        <x:v>78</x:v>
      </x:c>
      <x:c r="L51" s="34" t="str">
        <x:v>/kontakty/</x:v>
      </x:c>
      <x:c r="M51" s="34" t="str">
        <x:v>Контроль исходной</x:v>
      </x:c>
      <x:c r="N51" s="74" t="n">
        <x:v>3508</x:v>
      </x:c>
      <x:c r="O51" s="34" t="str">
        <x:v>recheck-original-control/contacts-mobile-01.json</x:v>
      </x:c>
      <x:c r="P51" s="34" t="str">
        <x:v>Заменена более поздним парным контролем исходной и итоговой версии</x:v>
      </x:c>
    </x:row>
    <x:row r="52" ht="54" customHeight="1">
      <x:c r="A52" s="13" t="str">
        <x:v>Контакты</x:v>
      </x:c>
      <x:c r="B52" s="13" t="str">
        <x:v>Смартфон</x:v>
      </x:c>
      <x:c r="C52" s="13" t="str">
        <x:v>До</x:v>
      </x:c>
      <x:c r="D52" s="15" t="d">
        <x:v>2026-10-16T14:49:00.791Z</x:v>
      </x:c>
      <x:c r="E52" s="17" t="n">
        <x:v>16999.100744999996</x:v>
      </x:c>
      <x:c r="F52" s="19" t="n">
        <x:v>0.1570758080637327</x:v>
      </x:c>
      <x:c r="G52" s="17" t="n">
        <x:v>4187.29146</x:v>
      </x:c>
      <x:c r="H52" s="17" t="n">
        <x:v>455</x:v>
      </x:c>
      <x:c r="I52" s="21" t="n">
        <x:v>41</x:v>
      </x:c>
      <x:c r="J52" s="21" t="n">
        <x:v>2118063</x:v>
      </x:c>
      <x:c r="K52" s="35" t="n">
        <x:v>77</x:v>
      </x:c>
      <x:c r="L52" s="33" t="str">
        <x:v>/kontakty/</x:v>
      </x:c>
      <x:c r="M52" s="33" t="str">
        <x:v>Контроль исходной</x:v>
      </x:c>
      <x:c r="N52" s="73" t="n">
        <x:v>3657</x:v>
      </x:c>
      <x:c r="O52" s="33" t="str">
        <x:v>recheck-original-control/contacts-mobile-02.json</x:v>
      </x:c>
      <x:c r="P52" s="33" t="str">
        <x:v>Заменена более поздним парным контролем исходной и итоговой версии</x:v>
      </x:c>
    </x:row>
    <x:row r="53" ht="54" customHeight="1">
      <x:c r="A53" s="14" t="str">
        <x:v>Контакты</x:v>
      </x:c>
      <x:c r="B53" s="14" t="str">
        <x:v>Смартфон</x:v>
      </x:c>
      <x:c r="C53" s="14" t="str">
        <x:v>До</x:v>
      </x:c>
      <x:c r="D53" s="16" t="d">
        <x:v>2026-10-16T14:49:29.128Z</x:v>
      </x:c>
      <x:c r="E53" s="18" t="n">
        <x:v>16928.149180000004</x:v>
      </x:c>
      <x:c r="F53" s="20" t="n">
        <x:v>0.1570758080637327</x:v>
      </x:c>
      <x:c r="G53" s="18" t="n">
        <x:v>4181.86838</x:v>
      </x:c>
      <x:c r="H53" s="18" t="n">
        <x:v>454</x:v>
      </x:c>
      <x:c r="I53" s="22" t="n">
        <x:v>41</x:v>
      </x:c>
      <x:c r="J53" s="22" t="n">
        <x:v>2118960</x:v>
      </x:c>
      <x:c r="K53" s="36" t="n">
        <x:v>78</x:v>
      </x:c>
      <x:c r="L53" s="34" t="str">
        <x:v>/kontakty/</x:v>
      </x:c>
      <x:c r="M53" s="34" t="str">
        <x:v>Контроль исходной</x:v>
      </x:c>
      <x:c r="N53" s="74" t="n">
        <x:v>3592</x:v>
      </x:c>
      <x:c r="O53" s="34" t="str">
        <x:v>recheck-original-control/contacts-mobile-03.json</x:v>
      </x:c>
      <x:c r="P53" s="34" t="str">
        <x:v>Заменена более поздним парным контролем исходной и итоговой версии</x:v>
      </x:c>
    </x:row>
    <x:row r="54" ht="54" customHeight="1">
      <x:c r="A54" s="13" t="str">
        <x:v>Контакты</x:v>
      </x:c>
      <x:c r="B54" s="13" t="str">
        <x:v>Смартфон</x:v>
      </x:c>
      <x:c r="C54" s="13" t="str">
        <x:v>После</x:v>
      </x:c>
      <x:c r="D54" s="15" t="d">
        <x:v>2026-10-16T13:58:40.868Z</x:v>
      </x:c>
      <x:c r="E54" s="17" t="n">
        <x:v>18906.096540000006</x:v>
      </x:c>
      <x:c r="F54" s="19" t="n">
        <x:v>0.0043293412056985055</x:v>
      </x:c>
      <x:c r="G54" s="17" t="n">
        <x:v>4566.21452</x:v>
      </x:c>
      <x:c r="H54" s="17" t="n">
        <x:v>580</x:v>
      </x:c>
      <x:c r="I54" s="21" t="n">
        <x:v>42</x:v>
      </x:c>
      <x:c r="J54" s="21" t="n">
        <x:v>2108420</x:v>
      </x:c>
      <x:c r="K54" s="35" t="n">
        <x:v>81</x:v>
      </x:c>
      <x:c r="L54" s="33" t="str">
        <x:v>/kontakty/</x:v>
      </x:c>
      <x:c r="M54" s="33" t="str">
        <x:v>Первый вариант</x:v>
      </x:c>
      <x:c r="N54" s="73" t="n">
        <x:v>3202</x:v>
      </x:c>
      <x:c r="O54" s="33" t="str">
        <x:v>after/contacts-mobile-01.json</x:v>
      </x:c>
      <x:c r="P54" s="33" t="str">
        <x:v>Предыдущий вариант: не входит в итоговое сравнение после доработки шапки</x:v>
      </x:c>
    </x:row>
    <x:row r="55" ht="54" customHeight="1">
      <x:c r="A55" s="14" t="str">
        <x:v>Контакты</x:v>
      </x:c>
      <x:c r="B55" s="14" t="str">
        <x:v>Смартфон</x:v>
      </x:c>
      <x:c r="C55" s="14" t="str">
        <x:v>После</x:v>
      </x:c>
      <x:c r="D55" s="16" t="d">
        <x:v>2026-10-16T13:59:12.878Z</x:v>
      </x:c>
      <x:c r="E55" s="18" t="n">
        <x:v>17744.7435</x:v>
      </x:c>
      <x:c r="F55" s="20" t="n">
        <x:v>0.0043293412056985055</x:v>
      </x:c>
      <x:c r="G55" s="18" t="n">
        <x:v>3662.331899999999</x:v>
      </x:c>
      <x:c r="H55" s="18" t="n">
        <x:v>495</x:v>
      </x:c>
      <x:c r="I55" s="22" t="n">
        <x:v>47</x:v>
      </x:c>
      <x:c r="J55" s="22" t="n">
        <x:v>2109247</x:v>
      </x:c>
      <x:c r="K55" s="36" t="n">
        <x:v>87</x:v>
      </x:c>
      <x:c r="L55" s="34" t="str">
        <x:v>/kontakty/</x:v>
      </x:c>
      <x:c r="M55" s="34" t="str">
        <x:v>Первый вариант</x:v>
      </x:c>
      <x:c r="N55" s="74" t="n">
        <x:v>3368.5</x:v>
      </x:c>
      <x:c r="O55" s="34" t="str">
        <x:v>after/contacts-mobile-02.json</x:v>
      </x:c>
      <x:c r="P55" s="34" t="str">
        <x:v>Предыдущий вариант: не входит в итоговое сравнение после доработки шапки</x:v>
      </x:c>
    </x:row>
    <x:row r="56" ht="54" customHeight="1">
      <x:c r="A56" s="13" t="str">
        <x:v>Контакты</x:v>
      </x:c>
      <x:c r="B56" s="13" t="str">
        <x:v>Смартфон</x:v>
      </x:c>
      <x:c r="C56" s="13" t="str">
        <x:v>После</x:v>
      </x:c>
      <x:c r="D56" s="15" t="d">
        <x:v>2026-10-16T13:59:41.802Z</x:v>
      </x:c>
      <x:c r="E56" s="17" t="n">
        <x:v>17574.042699999998</x:v>
      </x:c>
      <x:c r="F56" s="19" t="n">
        <x:v>0.0043293412056985055</x:v>
      </x:c>
      <x:c r="G56" s="17" t="n">
        <x:v>3699.7952</x:v>
      </x:c>
      <x:c r="H56" s="17" t="n">
        <x:v>527</x:v>
      </x:c>
      <x:c r="I56" s="21" t="n">
        <x:v>46</x:v>
      </x:c>
      <x:c r="J56" s="21" t="n">
        <x:v>2108531</x:v>
      </x:c>
      <x:c r="K56" s="35" t="n">
        <x:v>81</x:v>
      </x:c>
      <x:c r="L56" s="33" t="str">
        <x:v>/kontakty/</x:v>
      </x:c>
      <x:c r="M56" s="33" t="str">
        <x:v>Первый вариант</x:v>
      </x:c>
      <x:c r="N56" s="73" t="n">
        <x:v>3349</x:v>
      </x:c>
      <x:c r="O56" s="33" t="str">
        <x:v>after/contacts-mobile-03.json</x:v>
      </x:c>
      <x:c r="P56" s="33" t="str">
        <x:v>Предыдущий вариант: не входит в итоговое сравнение после доработки шапки</x:v>
      </x:c>
    </x:row>
    <x:row r="57" ht="54" customHeight="1">
      <x:c r="A57" s="14" t="str">
        <x:v>Контакты</x:v>
      </x:c>
      <x:c r="B57" s="14" t="str">
        <x:v>Смартфон</x:v>
      </x:c>
      <x:c r="C57" s="14" t="str">
        <x:v>После</x:v>
      </x:c>
      <x:c r="D57" s="16" t="d">
        <x:v>2026-10-16T14:58:02.538Z</x:v>
      </x:c>
      <x:c r="E57" s="18" t="n">
        <x:v>17606.558900000004</x:v>
      </x:c>
      <x:c r="F57" s="20" t="n">
        <x:v>0.0043293412056985055</x:v>
      </x:c>
      <x:c r="G57" s="18" t="n">
        <x:v>3734.8306999999995</x:v>
      </x:c>
      <x:c r="H57" s="18" t="n">
        <x:v>432</x:v>
      </x:c>
      <x:c r="I57" s="22" t="n">
        <x:v>49</x:v>
      </x:c>
      <x:c r="J57" s="22" t="n">
        <x:v>2108424</x:v>
      </x:c>
      <x:c r="K57" s="36" t="n">
        <x:v>81</x:v>
      </x:c>
      <x:c r="L57" s="34" t="str">
        <x:v>/kontakty/</x:v>
      </x:c>
      <x:c r="M57" s="34" t="str">
        <x:v>Контроль первого варианта</x:v>
      </x:c>
      <x:c r="N57" s="74" t="n">
        <x:v>3638.5</x:v>
      </x:c>
      <x:c r="O57" s="34" t="str">
        <x:v>recheck-final-control/contacts-mobile-01.json</x:v>
      </x:c>
      <x:c r="P57" s="34" t="str">
        <x:v>Предыдущий вариант: не входит в итоговое сравнение после доработки шапки</x:v>
      </x:c>
    </x:row>
    <x:row r="58" ht="54" customHeight="1">
      <x:c r="A58" s="13" t="str">
        <x:v>Контакты</x:v>
      </x:c>
      <x:c r="B58" s="13" t="str">
        <x:v>Смартфон</x:v>
      </x:c>
      <x:c r="C58" s="13" t="str">
        <x:v>После</x:v>
      </x:c>
      <x:c r="D58" s="15" t="d">
        <x:v>2026-10-16T14:58:30.661Z</x:v>
      </x:c>
      <x:c r="E58" s="17" t="n">
        <x:v>17998.232</x:v>
      </x:c>
      <x:c r="F58" s="19" t="n">
        <x:v>0.0043293412056985055</x:v>
      </x:c>
      <x:c r="G58" s="17" t="n">
        <x:v>3707.0318999999995</x:v>
      </x:c>
      <x:c r="H58" s="17" t="n">
        <x:v>416</x:v>
      </x:c>
      <x:c r="I58" s="21" t="n">
        <x:v>49</x:v>
      </x:c>
      <x:c r="J58" s="21" t="n">
        <x:v>2108617</x:v>
      </x:c>
      <x:c r="K58" s="35" t="n">
        <x:v>81</x:v>
      </x:c>
      <x:c r="L58" s="33" t="str">
        <x:v>/kontakty/</x:v>
      </x:c>
      <x:c r="M58" s="33" t="str">
        <x:v>Контроль первого варианта</x:v>
      </x:c>
      <x:c r="N58" s="73" t="n">
        <x:v>3507</x:v>
      </x:c>
      <x:c r="O58" s="33" t="str">
        <x:v>recheck-final-control/contacts-mobile-02.json</x:v>
      </x:c>
      <x:c r="P58" s="33" t="str">
        <x:v>Предыдущий вариант: не входит в итоговое сравнение после доработки шапки</x:v>
      </x:c>
    </x:row>
    <x:row r="59" ht="54" customHeight="1">
      <x:c r="A59" s="14" t="str">
        <x:v>Контакты</x:v>
      </x:c>
      <x:c r="B59" s="14" t="str">
        <x:v>Смартфон</x:v>
      </x:c>
      <x:c r="C59" s="14" t="str">
        <x:v>После</x:v>
      </x:c>
      <x:c r="D59" s="16" t="d">
        <x:v>2026-10-16T14:58:59.140Z</x:v>
      </x:c>
      <x:c r="E59" s="18" t="n">
        <x:v>16659.507399999995</x:v>
      </x:c>
      <x:c r="F59" s="20" t="n">
        <x:v>0.0043293412056985055</x:v>
      </x:c>
      <x:c r="G59" s="18" t="n">
        <x:v>3746.678900000001</x:v>
      </x:c>
      <x:c r="H59" s="18" t="n">
        <x:v>296.5</x:v>
      </x:c>
      <x:c r="I59" s="22" t="n">
        <x:v>53</x:v>
      </x:c>
      <x:c r="J59" s="22" t="n">
        <x:v>2108736</x:v>
      </x:c>
      <x:c r="K59" s="36" t="n">
        <x:v>81</x:v>
      </x:c>
      <x:c r="L59" s="34" t="str">
        <x:v>/kontakty/</x:v>
      </x:c>
      <x:c r="M59" s="34" t="str">
        <x:v>Контроль первого варианта</x:v>
      </x:c>
      <x:c r="N59" s="74" t="n">
        <x:v>3649.5</x:v>
      </x:c>
      <x:c r="O59" s="34" t="str">
        <x:v>recheck-final-control/contacts-mobile-03.json</x:v>
      </x:c>
      <x:c r="P59" s="34" t="str">
        <x:v>Предыдущий вариант: не входит в итоговое сравнение после доработки шапки</x:v>
      </x:c>
    </x:row>
    <x:row r="60" ht="54" customHeight="1">
      <x:c r="A60" s="13" t="str">
        <x:v>Контакты</x:v>
      </x:c>
      <x:c r="B60" s="13" t="str">
        <x:v>Смартфон</x:v>
      </x:c>
      <x:c r="C60" s="13" t="str">
        <x:v>После</x:v>
      </x:c>
      <x:c r="D60" s="15" t="d">
        <x:v>2026-10-16T15:24:03.034Z</x:v>
      </x:c>
      <x:c r="E60" s="17" t="n">
        <x:v>19219.65995</x:v>
      </x:c>
      <x:c r="F60" s="19" t="n">
        <x:v>0.004330143901759635</x:v>
      </x:c>
      <x:c r="G60" s="17" t="n">
        <x:v>3752.8731000000007</x:v>
      </x:c>
      <x:c r="H60" s="17" t="n">
        <x:v>420</x:v>
      </x:c>
      <x:c r="I60" s="21" t="n">
        <x:v>49</x:v>
      </x:c>
      <x:c r="J60" s="21" t="n">
        <x:v>2108132</x:v>
      </x:c>
      <x:c r="K60" s="35" t="n">
        <x:v>81</x:v>
      </x:c>
      <x:c r="L60" s="33" t="str">
        <x:v>/kontakty/</x:v>
      </x:c>
      <x:c r="M60" s="33" t="str">
        <x:v>Последняя версия</x:v>
      </x:c>
      <x:c r="N60" s="73" t="n">
        <x:v>3549</x:v>
      </x:c>
      <x:c r="O60" s="33" t="str">
        <x:v>recheck-css-reserve/contacts-mobile-01.json</x:v>
      </x:c>
      <x:c r="P60" s="33" t="str">
        <x:v>Та же итоговая версия: заменена полной поздней перепроверкой CPU/LCP</x:v>
      </x:c>
    </x:row>
    <x:row r="61" ht="54" customHeight="1">
      <x:c r="A61" s="14" t="str">
        <x:v>Контакты</x:v>
      </x:c>
      <x:c r="B61" s="14" t="str">
        <x:v>Смартфон</x:v>
      </x:c>
      <x:c r="C61" s="14" t="str">
        <x:v>После</x:v>
      </x:c>
      <x:c r="D61" s="16" t="d">
        <x:v>2026-10-16T15:24:33.397Z</x:v>
      </x:c>
      <x:c r="E61" s="18" t="n">
        <x:v>19022.8331</x:v>
      </x:c>
      <x:c r="F61" s="20" t="n">
        <x:v>0.004330143901759635</x:v>
      </x:c>
      <x:c r="G61" s="18" t="n">
        <x:v>3653.0398999999998</x:v>
      </x:c>
      <x:c r="H61" s="18" t="n">
        <x:v>327</x:v>
      </x:c>
      <x:c r="I61" s="22" t="n">
        <x:v>53</x:v>
      </x:c>
      <x:c r="J61" s="22" t="n">
        <x:v>2106830</x:v>
      </x:c>
      <x:c r="K61" s="36" t="n">
        <x:v>77</x:v>
      </x:c>
      <x:c r="L61" s="34" t="str">
        <x:v>/kontakty/</x:v>
      </x:c>
      <x:c r="M61" s="34" t="str">
        <x:v>Последняя версия</x:v>
      </x:c>
      <x:c r="N61" s="74" t="n">
        <x:v>3567.5</x:v>
      </x:c>
      <x:c r="O61" s="34" t="str">
        <x:v>recheck-css-reserve/contacts-mobile-02.json</x:v>
      </x:c>
      <x:c r="P61" s="34" t="str">
        <x:v>Та же итоговая версия: заменена полной поздней перепроверкой CPU/LCP</x:v>
      </x:c>
    </x:row>
    <x:row r="62" ht="54" customHeight="1">
      <x:c r="A62" s="13" t="str">
        <x:v>Контакты</x:v>
      </x:c>
      <x:c r="B62" s="13" t="str">
        <x:v>Смартфон</x:v>
      </x:c>
      <x:c r="C62" s="13" t="str">
        <x:v>После</x:v>
      </x:c>
      <x:c r="D62" s="15" t="d">
        <x:v>2026-10-16T15:25:00.761Z</x:v>
      </x:c>
      <x:c r="E62" s="17" t="n">
        <x:v>18543.289319999996</x:v>
      </x:c>
      <x:c r="F62" s="19" t="n">
        <x:v>0.0043293412056985055</x:v>
      </x:c>
      <x:c r="G62" s="17" t="n">
        <x:v>3593.060229999999</x:v>
      </x:c>
      <x:c r="H62" s="17" t="n">
        <x:v>393</x:v>
      </x:c>
      <x:c r="I62" s="21" t="n">
        <x:v>50</x:v>
      </x:c>
      <x:c r="J62" s="21" t="n">
        <x:v>2109037</x:v>
      </x:c>
      <x:c r="K62" s="35" t="n">
        <x:v>82</x:v>
      </x:c>
      <x:c r="L62" s="33" t="str">
        <x:v>/kontakty/</x:v>
      </x:c>
      <x:c r="M62" s="33" t="str">
        <x:v>Последняя версия</x:v>
      </x:c>
      <x:c r="N62" s="73" t="n">
        <x:v>3581.5</x:v>
      </x:c>
      <x:c r="O62" s="33" t="str">
        <x:v>recheck-css-reserve/contacts-mobile-03.json</x:v>
      </x:c>
      <x:c r="P62" s="33" t="str">
        <x:v>Та же итоговая версия: заменена полной поздней перепроверкой CPU/LCP</x:v>
      </x:c>
    </x:row>
    <x:row r="63" ht="54" customHeight="1">
      <x:c r="A63" s="14" t="str">
        <x:v>О клинике</x:v>
      </x:c>
      <x:c r="B63" s="14" t="str">
        <x:v>Смартфон</x:v>
      </x:c>
      <x:c r="C63" s="14" t="str">
        <x:v>До</x:v>
      </x:c>
      <x:c r="D63" s="16" t="d">
        <x:v>2026-10-16T11:43:26.913Z</x:v>
      </x:c>
      <x:c r="E63" s="18" t="n">
        <x:v>10315.532699999996</x:v>
      </x:c>
      <x:c r="F63" s="20" t="n">
        <x:v>0.2215875243050275</x:v>
      </x:c>
      <x:c r="G63" s="18" t="n">
        <x:v>5395.141699999998</x:v>
      </x:c>
      <x:c r="H63" s="18" t="n">
        <x:v>228.87575000000015</x:v>
      </x:c>
      <x:c r="I63" s="22" t="n">
        <x:v>41</x:v>
      </x:c>
      <x:c r="J63" s="22" t="n">
        <x:v>3078108</x:v>
      </x:c>
      <x:c r="K63" s="36" t="n">
        <x:v>78</x:v>
      </x:c>
      <x:c r="L63" s="34" t="str">
        <x:v>/o-nas/</x:v>
      </x:c>
      <x:c r="M63" s="34" t="str">
        <x:v>Первоначальная</x:v>
      </x:c>
      <x:c r="N63" s="74" t="n">
        <x:v>3722</x:v>
      </x:c>
      <x:c r="O63" s="34" t="str">
        <x:v>before/about-mobile-01.json</x:v>
      </x:c>
      <x:c r="P63" s="34" t="str">
        <x:v>Заменена полной контрольной серией по заранее принятому правилу</x:v>
      </x:c>
    </x:row>
    <x:row r="64" ht="54" customHeight="1">
      <x:c r="A64" s="13" t="str">
        <x:v>О клинике</x:v>
      </x:c>
      <x:c r="B64" s="13" t="str">
        <x:v>Смартфон</x:v>
      </x:c>
      <x:c r="C64" s="13" t="str">
        <x:v>До</x:v>
      </x:c>
      <x:c r="D64" s="15" t="d">
        <x:v>2026-10-16T11:44:04.998Z</x:v>
      </x:c>
      <x:c r="E64" s="17" t="n">
        <x:v>9081.020299999998</x:v>
      </x:c>
      <x:c r="F64" s="19" t="n">
        <x:v>0.2215875243050275</x:v>
      </x:c>
      <x:c r="G64" s="17" t="n">
        <x:v>4228.128599999999</x:v>
      </x:c>
      <x:c r="H64" s="17" t="n">
        <x:v>48.49999999999909</x:v>
      </x:c>
      <x:c r="I64" s="21" t="n">
        <x:v>49</x:v>
      </x:c>
      <x:c r="J64" s="21" t="n">
        <x:v>3070468</x:v>
      </x:c>
      <x:c r="K64" s="35" t="n">
        <x:v>77</x:v>
      </x:c>
      <x:c r="L64" s="33" t="str">
        <x:v>/o-nas/</x:v>
      </x:c>
      <x:c r="M64" s="33" t="str">
        <x:v>Первоначальная</x:v>
      </x:c>
      <x:c r="N64" s="73" t="n">
        <x:v>3700.5</x:v>
      </x:c>
      <x:c r="O64" s="33" t="str">
        <x:v>before/about-mobile-02.json</x:v>
      </x:c>
      <x:c r="P64" s="33" t="str">
        <x:v>Не загрузился внешний fields.js; исходный замер исключён</x:v>
      </x:c>
    </x:row>
    <x:row r="65" ht="54" customHeight="1">
      <x:c r="A65" s="14" t="str">
        <x:v>О клинике</x:v>
      </x:c>
      <x:c r="B65" s="14" t="str">
        <x:v>Смартфон</x:v>
      </x:c>
      <x:c r="C65" s="14" t="str">
        <x:v>До</x:v>
      </x:c>
      <x:c r="D65" s="16" t="d">
        <x:v>2026-10-16T11:44:48.450Z</x:v>
      </x:c>
      <x:c r="E65" s="18" t="n">
        <x:v>8826.898799999999</x:v>
      </x:c>
      <x:c r="F65" s="20" t="n">
        <x:v>0.2215875243050275</x:v>
      </x:c>
      <x:c r="G65" s="18" t="n">
        <x:v>3956.6416</x:v>
      </x:c>
      <x:c r="H65" s="18" t="n">
        <x:v>134</x:v>
      </x:c>
      <x:c r="I65" s="22" t="n">
        <x:v>48</x:v>
      </x:c>
      <x:c r="J65" s="22" t="n">
        <x:v>3079211</x:v>
      </x:c>
      <x:c r="K65" s="36" t="n">
        <x:v>80</x:v>
      </x:c>
      <x:c r="L65" s="34" t="str">
        <x:v>/o-nas/</x:v>
      </x:c>
      <x:c r="M65" s="34" t="str">
        <x:v>Первоначальная</x:v>
      </x:c>
      <x:c r="N65" s="74" t="n">
        <x:v>3572.5</x:v>
      </x:c>
      <x:c r="O65" s="34" t="str">
        <x:v>before/about-mobile-03.json</x:v>
      </x:c>
      <x:c r="P65" s="34" t="str">
        <x:v>Заменена полной контрольной серией по заранее принятому правилу</x:v>
      </x:c>
    </x:row>
    <x:row r="66" ht="54" customHeight="1">
      <x:c r="A66" s="13" t="str">
        <x:v>О клинике</x:v>
      </x:c>
      <x:c r="B66" s="13" t="str">
        <x:v>Смартфон</x:v>
      </x:c>
      <x:c r="C66" s="13" t="str">
        <x:v>После</x:v>
      </x:c>
      <x:c r="D66" s="15" t="d">
        <x:v>2026-10-16T14:00:10.839Z</x:v>
      </x:c>
      <x:c r="E66" s="17" t="n">
        <x:v>4293.9777</x:v>
      </x:c>
      <x:c r="F66" s="19" t="n">
        <x:v>0.0043293412056985055</x:v>
      </x:c>
      <x:c r="G66" s="17" t="n">
        <x:v>3459.4411000000005</x:v>
      </x:c>
      <x:c r="H66" s="17" t="n">
        <x:v>232</x:v>
      </x:c>
      <x:c r="I66" s="21" t="n">
        <x:v>68</x:v>
      </x:c>
      <x:c r="J66" s="21" t="n">
        <x:v>2002893</x:v>
      </x:c>
      <x:c r="K66" s="35" t="n">
        <x:v>79</x:v>
      </x:c>
      <x:c r="L66" s="33" t="str">
        <x:v>/o-nas/</x:v>
      </x:c>
      <x:c r="M66" s="33" t="str">
        <x:v>Первый вариант</x:v>
      </x:c>
      <x:c r="N66" s="73" t="n">
        <x:v>3268.5</x:v>
      </x:c>
      <x:c r="O66" s="33" t="str">
        <x:v>after/about-mobile-01.json</x:v>
      </x:c>
      <x:c r="P66" s="33" t="str">
        <x:v>Предыдущий вариант: не входит в итоговое сравнение после доработки шапки</x:v>
      </x:c>
    </x:row>
    <x:row r="67" ht="54" customHeight="1">
      <x:c r="A67" s="14" t="str">
        <x:v>О клинике</x:v>
      </x:c>
      <x:c r="B67" s="14" t="str">
        <x:v>Смартфон</x:v>
      </x:c>
      <x:c r="C67" s="14" t="str">
        <x:v>После</x:v>
      </x:c>
      <x:c r="D67" s="16" t="d">
        <x:v>2026-10-16T14:00:41.581Z</x:v>
      </x:c>
      <x:c r="E67" s="18" t="n">
        <x:v>4574.353999999999</x:v>
      </x:c>
      <x:c r="F67" s="20" t="n">
        <x:v>0.0043293412056985055</x:v>
      </x:c>
      <x:c r="G67" s="18" t="n">
        <x:v>3352.0915999999997</x:v>
      </x:c>
      <x:c r="H67" s="18" t="n">
        <x:v>245.5</x:v>
      </x:c>
      <x:c r="I67" s="22" t="n">
        <x:v>67</x:v>
      </x:c>
      <x:c r="J67" s="22" t="n">
        <x:v>2003069</x:v>
      </x:c>
      <x:c r="K67" s="36" t="n">
        <x:v>79</x:v>
      </x:c>
      <x:c r="L67" s="34" t="str">
        <x:v>/o-nas/</x:v>
      </x:c>
      <x:c r="M67" s="34" t="str">
        <x:v>Первый вариант</x:v>
      </x:c>
      <x:c r="N67" s="74" t="n">
        <x:v>3241</x:v>
      </x:c>
      <x:c r="O67" s="34" t="str">
        <x:v>after/about-mobile-02.json</x:v>
      </x:c>
      <x:c r="P67" s="34" t="str">
        <x:v>Предыдущий вариант: не входит в итоговое сравнение после доработки шапки</x:v>
      </x:c>
    </x:row>
    <x:row r="68" ht="54" customHeight="1">
      <x:c r="A68" s="13" t="str">
        <x:v>О клинике</x:v>
      </x:c>
      <x:c r="B68" s="13" t="str">
        <x:v>Смартфон</x:v>
      </x:c>
      <x:c r="C68" s="13" t="str">
        <x:v>После</x:v>
      </x:c>
      <x:c r="D68" s="15" t="d">
        <x:v>2026-10-16T14:01:07.493Z</x:v>
      </x:c>
      <x:c r="E68" s="17" t="n">
        <x:v>5550.8971</x:v>
      </x:c>
      <x:c r="F68" s="19" t="n">
        <x:v>0.004330143901759635</x:v>
      </x:c>
      <x:c r="G68" s="17" t="n">
        <x:v>4589.461300000001</x:v>
      </x:c>
      <x:c r="H68" s="17" t="n">
        <x:v>226</x:v>
      </x:c>
      <x:c r="I68" s="21" t="n">
        <x:v>58</x:v>
      </x:c>
      <x:c r="J68" s="21" t="n">
        <x:v>2003097</x:v>
      </x:c>
      <x:c r="K68" s="35" t="n">
        <x:v>79</x:v>
      </x:c>
      <x:c r="L68" s="33" t="str">
        <x:v>/o-nas/</x:v>
      </x:c>
      <x:c r="M68" s="33" t="str">
        <x:v>Первый вариант</x:v>
      </x:c>
      <x:c r="N68" s="73" t="n">
        <x:v>3401</x:v>
      </x:c>
      <x:c r="O68" s="33" t="str">
        <x:v>after/about-mobile-03.json</x:v>
      </x:c>
      <x:c r="P68" s="33" t="str">
        <x:v>Предыдущий вариант: не входит в итоговое сравнение после доработки шапки</x:v>
      </x:c>
    </x:row>
    <x:row r="69" ht="54" customHeight="1">
      <x:c r="A69" s="14" t="str">
        <x:v>О клинике</x:v>
      </x:c>
      <x:c r="B69" s="14" t="str">
        <x:v>Смартфон</x:v>
      </x:c>
      <x:c r="C69" s="14" t="str">
        <x:v>После</x:v>
      </x:c>
      <x:c r="D69" s="16" t="d">
        <x:v>2026-10-16T14:59:28.653Z</x:v>
      </x:c>
      <x:c r="E69" s="18" t="n">
        <x:v>4820.58234</x:v>
      </x:c>
      <x:c r="F69" s="20" t="n">
        <x:v>0.0043293412056985055</x:v>
      </x:c>
      <x:c r="G69" s="18" t="n">
        <x:v>3931.39382</x:v>
      </x:c>
      <x:c r="H69" s="18" t="n">
        <x:v>171</x:v>
      </x:c>
      <x:c r="I69" s="22" t="n">
        <x:v>65</x:v>
      </x:c>
      <x:c r="J69" s="22" t="n">
        <x:v>2003039</x:v>
      </x:c>
      <x:c r="K69" s="36" t="n">
        <x:v>79</x:v>
      </x:c>
      <x:c r="L69" s="34" t="str">
        <x:v>/o-nas/</x:v>
      </x:c>
      <x:c r="M69" s="34" t="str">
        <x:v>Контроль первого варианта</x:v>
      </x:c>
      <x:c r="N69" s="74" t="n">
        <x:v>3623.5</x:v>
      </x:c>
      <x:c r="O69" s="34" t="str">
        <x:v>recheck-final-control/about-mobile-01.json</x:v>
      </x:c>
      <x:c r="P69" s="34" t="str">
        <x:v>Предыдущий вариант: не входит в итоговое сравнение после доработки шапки</x:v>
      </x:c>
    </x:row>
    <x:row r="70" ht="54" customHeight="1">
      <x:c r="A70" s="13" t="str">
        <x:v>О клинике</x:v>
      </x:c>
      <x:c r="B70" s="13" t="str">
        <x:v>Смартфон</x:v>
      </x:c>
      <x:c r="C70" s="13" t="str">
        <x:v>После</x:v>
      </x:c>
      <x:c r="D70" s="15" t="d">
        <x:v>2026-10-16T14:59:55.016Z</x:v>
      </x:c>
      <x:c r="E70" s="17" t="n">
        <x:v>5008.890299999998</x:v>
      </x:c>
      <x:c r="F70" s="19" t="n">
        <x:v>0.0043293412056985055</x:v>
      </x:c>
      <x:c r="G70" s="17" t="n">
        <x:v>4014.1368999999986</x:v>
      </x:c>
      <x:c r="H70" s="17" t="n">
        <x:v>178</x:v>
      </x:c>
      <x:c r="I70" s="21" t="n">
        <x:v>64</x:v>
      </x:c>
      <x:c r="J70" s="21" t="n">
        <x:v>2003027</x:v>
      </x:c>
      <x:c r="K70" s="35" t="n">
        <x:v>79</x:v>
      </x:c>
      <x:c r="L70" s="33" t="str">
        <x:v>/o-nas/</x:v>
      </x:c>
      <x:c r="M70" s="33" t="str">
        <x:v>Контроль первого варианта</x:v>
      </x:c>
      <x:c r="N70" s="73" t="n">
        <x:v>3623.5</x:v>
      </x:c>
      <x:c r="O70" s="33" t="str">
        <x:v>recheck-final-control/about-mobile-02.json</x:v>
      </x:c>
      <x:c r="P70" s="33" t="str">
        <x:v>Предыдущий вариант: не входит в итоговое сравнение после доработки шапки</x:v>
      </x:c>
    </x:row>
    <x:row r="71" ht="54" customHeight="1">
      <x:c r="A71" s="14" t="str">
        <x:v>О клинике</x:v>
      </x:c>
      <x:c r="B71" s="14" t="str">
        <x:v>Смартфон</x:v>
      </x:c>
      <x:c r="C71" s="14" t="str">
        <x:v>После</x:v>
      </x:c>
      <x:c r="D71" s="16" t="d">
        <x:v>2026-10-16T15:00:22.089Z</x:v>
      </x:c>
      <x:c r="E71" s="18" t="n">
        <x:v>4280.3155</x:v>
      </x:c>
      <x:c r="F71" s="20" t="n">
        <x:v>0.0043293412056985055</x:v>
      </x:c>
      <x:c r="G71" s="18" t="n">
        <x:v>3443.6825</x:v>
      </x:c>
      <x:c r="H71" s="18" t="n">
        <x:v>139</x:v>
      </x:c>
      <x:c r="I71" s="22" t="n">
        <x:v>71</x:v>
      </x:c>
      <x:c r="J71" s="22" t="n">
        <x:v>2002890</x:v>
      </x:c>
      <x:c r="K71" s="36" t="n">
        <x:v>79</x:v>
      </x:c>
      <x:c r="L71" s="34" t="str">
        <x:v>/o-nas/</x:v>
      </x:c>
      <x:c r="M71" s="34" t="str">
        <x:v>Контроль первого варианта</x:v>
      </x:c>
      <x:c r="N71" s="74" t="n">
        <x:v>3523.5</x:v>
      </x:c>
      <x:c r="O71" s="34" t="str">
        <x:v>recheck-final-control/about-mobile-03.json</x:v>
      </x:c>
      <x:c r="P71" s="34" t="str">
        <x:v>Предыдущий вариант: не входит в итоговое сравнение после доработки шапки</x:v>
      </x:c>
    </x:row>
    <x:row r="72" ht="54" customHeight="1">
      <x:c r="A72" s="13" t="str">
        <x:v>Профиль Михайловой</x:v>
      </x:c>
      <x:c r="B72" s="13" t="str">
        <x:v>Смартфон</x:v>
      </x:c>
      <x:c r="C72" s="13" t="str">
        <x:v>До</x:v>
      </x:c>
      <x:c r="D72" s="15" t="d">
        <x:v>2026-10-16T11:45:25.317Z</x:v>
      </x:c>
      <x:c r="E72" s="17" t="n">
        <x:v>4345.73483</x:v>
      </x:c>
      <x:c r="F72" s="19" t="n">
        <x:v>0.1603888213851762</x:v>
      </x:c>
      <x:c r="G72" s="17" t="n">
        <x:v>3976.1754600000004</x:v>
      </x:c>
      <x:c r="H72" s="17" t="n">
        <x:v>150</x:v>
      </x:c>
      <x:c r="I72" s="21" t="n">
        <x:v>62</x:v>
      </x:c>
      <x:c r="J72" s="21" t="n">
        <x:v>1230036</x:v>
      </x:c>
      <x:c r="K72" s="35" t="n">
        <x:v>62</x:v>
      </x:c>
      <x:c r="L72" s="33" t="str">
        <x:v>/o-nas/specialisty/mikhaylova-anastasiya-petrovna/</x:v>
      </x:c>
      <x:c r="M72" s="33" t="str">
        <x:v>Первоначальная</x:v>
      </x:c>
      <x:c r="N72" s="73" t="n">
        <x:v>3669.5</x:v>
      </x:c>
      <x:c r="O72" s="33" t="str">
        <x:v>before/doctor-mobile-01.json</x:v>
      </x:c>
      <x:c r="P72" s="33" t="str">
        <x:v>Заменена полной контрольной серией по заранее принятому правилу</x:v>
      </x:c>
    </x:row>
    <x:row r="73" ht="54" customHeight="1">
      <x:c r="A73" s="14" t="str">
        <x:v>Профиль Михайловой</x:v>
      </x:c>
      <x:c r="B73" s="14" t="str">
        <x:v>Смартфон</x:v>
      </x:c>
      <x:c r="C73" s="14" t="str">
        <x:v>До</x:v>
      </x:c>
      <x:c r="D73" s="16" t="d">
        <x:v>2026-10-16T11:45:49.252Z</x:v>
      </x:c>
      <x:c r="E73" s="18" t="n">
        <x:v>4895.77274</x:v>
      </x:c>
      <x:c r="F73" s="20" t="n">
        <x:v>0.1603888213851762</x:v>
      </x:c>
      <x:c r="G73" s="18" t="n">
        <x:v>4452.21846</x:v>
      </x:c>
      <x:c r="H73" s="18" t="n">
        <x:v>134.5</x:v>
      </x:c>
      <x:c r="I73" s="22" t="n">
        <x:v>56</x:v>
      </x:c>
      <x:c r="J73" s="22" t="n">
        <x:v>1229988</x:v>
      </x:c>
      <x:c r="K73" s="36" t="n">
        <x:v>62</x:v>
      </x:c>
      <x:c r="L73" s="34" t="str">
        <x:v>/o-nas/specialisty/mikhaylova-anastasiya-petrovna/</x:v>
      </x:c>
      <x:c r="M73" s="34" t="str">
        <x:v>Первоначальная</x:v>
      </x:c>
      <x:c r="N73" s="74" t="n">
        <x:v>3659</x:v>
      </x:c>
      <x:c r="O73" s="34" t="str">
        <x:v>before/doctor-mobile-02.json</x:v>
      </x:c>
      <x:c r="P73" s="34" t="str">
        <x:v>Заменена полной контрольной серией по заранее принятому правилу</x:v>
      </x:c>
    </x:row>
    <x:row r="74" ht="54" customHeight="1">
      <x:c r="A74" s="13" t="str">
        <x:v>Профиль Михайловой</x:v>
      </x:c>
      <x:c r="B74" s="13" t="str">
        <x:v>Смартфон</x:v>
      </x:c>
      <x:c r="C74" s="13" t="str">
        <x:v>До</x:v>
      </x:c>
      <x:c r="D74" s="15" t="d">
        <x:v>2026-10-16T11:46:22.970Z</x:v>
      </x:c>
      <x:c r="E74" s="17" t="n">
        <x:v>4439.3531</x:v>
      </x:c>
      <x:c r="F74" s="19" t="n">
        <x:v>0.1603888213851762</x:v>
      </x:c>
      <x:c r="G74" s="17" t="n">
        <x:v>4063.7892</x:v>
      </x:c>
      <x:c r="H74" s="17" t="n">
        <x:v>205.5</x:v>
      </x:c>
      <x:c r="I74" s="21" t="n">
        <x:v>60</x:v>
      </x:c>
      <x:c r="J74" s="21" t="n">
        <x:v>1229925</x:v>
      </x:c>
      <x:c r="K74" s="35" t="n">
        <x:v>62</x:v>
      </x:c>
      <x:c r="L74" s="33" t="str">
        <x:v>/o-nas/specialisty/mikhaylova-anastasiya-petrovna/</x:v>
      </x:c>
      <x:c r="M74" s="33" t="str">
        <x:v>Первоначальная</x:v>
      </x:c>
      <x:c r="N74" s="73" t="n">
        <x:v>3475.5</x:v>
      </x:c>
      <x:c r="O74" s="33" t="str">
        <x:v>before/doctor-mobile-03.json</x:v>
      </x:c>
      <x:c r="P74" s="33" t="str">
        <x:v>Заменена полной контрольной серией по заранее принятому правилу</x:v>
      </x:c>
    </x:row>
    <x:row r="75" ht="54" customHeight="1">
      <x:c r="A75" s="14" t="str">
        <x:v>Профиль Михайловой</x:v>
      </x:c>
      <x:c r="B75" s="14" t="str">
        <x:v>Смартфон</x:v>
      </x:c>
      <x:c r="C75" s="14" t="str">
        <x:v>После</x:v>
      </x:c>
      <x:c r="D75" s="16" t="d">
        <x:v>2026-10-16T14:01:40.896Z</x:v>
      </x:c>
      <x:c r="E75" s="18" t="n">
        <x:v>3832.4184</x:v>
      </x:c>
      <x:c r="F75" s="20" t="n">
        <x:v>0.004330143901759635</x:v>
      </x:c>
      <x:c r="G75" s="18" t="n">
        <x:v>3397.0431</x:v>
      </x:c>
      <x:c r="H75" s="18" t="n">
        <x:v>266</x:v>
      </x:c>
      <x:c r="I75" s="22" t="n">
        <x:v>70</x:v>
      </x:c>
      <x:c r="J75" s="22" t="n">
        <x:v>1219791</x:v>
      </x:c>
      <x:c r="K75" s="36" t="n">
        <x:v>65</x:v>
      </x:c>
      <x:c r="L75" s="34" t="str">
        <x:v>/o-nas/specialisty/mikhaylova-anastasiya-petrovna/</x:v>
      </x:c>
      <x:c r="M75" s="34" t="str">
        <x:v>Первый вариант</x:v>
      </x:c>
      <x:c r="N75" s="74" t="n">
        <x:v>3259.5</x:v>
      </x:c>
      <x:c r="O75" s="34" t="str">
        <x:v>after/doctor-mobile-01.json</x:v>
      </x:c>
      <x:c r="P75" s="34" t="str">
        <x:v>Предыдущий вариант: не входит в итоговое сравнение после доработки шапки</x:v>
      </x:c>
    </x:row>
    <x:row r="76" ht="54" customHeight="1">
      <x:c r="A76" s="13" t="str">
        <x:v>Профиль Михайловой</x:v>
      </x:c>
      <x:c r="B76" s="13" t="str">
        <x:v>Смартфон</x:v>
      </x:c>
      <x:c r="C76" s="13" t="str">
        <x:v>После</x:v>
      </x:c>
      <x:c r="D76" s="15" t="d">
        <x:v>2026-10-16T14:02:07.433Z</x:v>
      </x:c>
      <x:c r="E76" s="17" t="n">
        <x:v>4024.3768</x:v>
      </x:c>
      <x:c r="F76" s="19" t="n">
        <x:v>0.004330143901759635</x:v>
      </x:c>
      <x:c r="G76" s="17" t="n">
        <x:v>3592.6182</x:v>
      </x:c>
      <x:c r="H76" s="17" t="n">
        <x:v>199.5</x:v>
      </x:c>
      <x:c r="I76" s="21" t="n">
        <x:v>71</x:v>
      </x:c>
      <x:c r="J76" s="21" t="n">
        <x:v>1219804</x:v>
      </x:c>
      <x:c r="K76" s="35" t="n">
        <x:v>65</x:v>
      </x:c>
      <x:c r="L76" s="33" t="str">
        <x:v>/o-nas/specialisty/mikhaylova-anastasiya-petrovna/</x:v>
      </x:c>
      <x:c r="M76" s="33" t="str">
        <x:v>Первый вариант</x:v>
      </x:c>
      <x:c r="N76" s="73" t="n">
        <x:v>3276.5</x:v>
      </x:c>
      <x:c r="O76" s="33" t="str">
        <x:v>after/doctor-mobile-02.json</x:v>
      </x:c>
      <x:c r="P76" s="33" t="str">
        <x:v>Предыдущий вариант: не входит в итоговое сравнение после доработки шапки</x:v>
      </x:c>
    </x:row>
    <x:row r="77" ht="54" customHeight="1">
      <x:c r="A77" s="14" t="str">
        <x:v>Профиль Михайловой</x:v>
      </x:c>
      <x:c r="B77" s="14" t="str">
        <x:v>Смартфон</x:v>
      </x:c>
      <x:c r="C77" s="14" t="str">
        <x:v>После</x:v>
      </x:c>
      <x:c r="D77" s="16" t="d">
        <x:v>2026-10-16T14:02:33.055Z</x:v>
      </x:c>
      <x:c r="E77" s="18" t="n">
        <x:v>4349.8113</x:v>
      </x:c>
      <x:c r="F77" s="20" t="n">
        <x:v>0.0043293412056985055</x:v>
      </x:c>
      <x:c r="G77" s="18" t="n">
        <x:v>3509.5199000000002</x:v>
      </x:c>
      <x:c r="H77" s="18" t="n">
        <x:v>277.9999999999982</x:v>
      </x:c>
      <x:c r="I77" s="22" t="n">
        <x:v>66</x:v>
      </x:c>
      <x:c r="J77" s="22" t="n">
        <x:v>1219836</x:v>
      </x:c>
      <x:c r="K77" s="36" t="n">
        <x:v>65</x:v>
      </x:c>
      <x:c r="L77" s="34" t="str">
        <x:v>/o-nas/specialisty/mikhaylova-anastasiya-petrovna/</x:v>
      </x:c>
      <x:c r="M77" s="34" t="str">
        <x:v>Первый вариант</x:v>
      </x:c>
      <x:c r="N77" s="74" t="n">
        <x:v>3208</x:v>
      </x:c>
      <x:c r="O77" s="34" t="str">
        <x:v>after/doctor-mobile-03.json</x:v>
      </x:c>
      <x:c r="P77" s="34" t="str">
        <x:v>Предыдущий вариант: не входит в итоговое сравнение после доработки шапки</x:v>
      </x:c>
    </x:row>
    <x:row r="78" ht="54" customHeight="1">
      <x:c r="A78" s="13" t="str">
        <x:v>Профиль Михайловой</x:v>
      </x:c>
      <x:c r="B78" s="13" t="str">
        <x:v>Смартфон</x:v>
      </x:c>
      <x:c r="C78" s="13" t="str">
        <x:v>После</x:v>
      </x:c>
      <x:c r="D78" s="15" t="d">
        <x:v>2026-10-16T15:00:47.331Z</x:v>
      </x:c>
      <x:c r="E78" s="17" t="n">
        <x:v>4334.895600000002</x:v>
      </x:c>
      <x:c r="F78" s="19" t="n">
        <x:v>0.0043293412056985055</x:v>
      </x:c>
      <x:c r="G78" s="17" t="n">
        <x:v>3487.9188000000013</x:v>
      </x:c>
      <x:c r="H78" s="17" t="n">
        <x:v>161.9999999999991</x:v>
      </x:c>
      <x:c r="I78" s="21" t="n">
        <x:v>70</x:v>
      </x:c>
      <x:c r="J78" s="21" t="n">
        <x:v>1219827</x:v>
      </x:c>
      <x:c r="K78" s="35" t="n">
        <x:v>65</x:v>
      </x:c>
      <x:c r="L78" s="33" t="str">
        <x:v>/o-nas/specialisty/mikhaylova-anastasiya-petrovna/</x:v>
      </x:c>
      <x:c r="M78" s="33" t="str">
        <x:v>Контроль первого варианта</x:v>
      </x:c>
      <x:c r="N78" s="73" t="n">
        <x:v>3593.5</x:v>
      </x:c>
      <x:c r="O78" s="33" t="str">
        <x:v>recheck-final-control/doctor-mobile-01.json</x:v>
      </x:c>
      <x:c r="P78" s="33" t="str">
        <x:v>Предыдущий вариант: не входит в итоговое сравнение после доработки шапки</x:v>
      </x:c>
    </x:row>
    <x:row r="79" ht="54" customHeight="1">
      <x:c r="A79" s="14" t="str">
        <x:v>Профиль Михайловой</x:v>
      </x:c>
      <x:c r="B79" s="14" t="str">
        <x:v>Смартфон</x:v>
      </x:c>
      <x:c r="C79" s="14" t="str">
        <x:v>После</x:v>
      </x:c>
      <x:c r="D79" s="16" t="d">
        <x:v>2026-10-16T15:01:12.293Z</x:v>
      </x:c>
      <x:c r="E79" s="18" t="n">
        <x:v>4269.1479</x:v>
      </x:c>
      <x:c r="F79" s="20" t="n">
        <x:v>0.0043293412056985055</x:v>
      </x:c>
      <x:c r="G79" s="18" t="n">
        <x:v>3436.7816999999995</x:v>
      </x:c>
      <x:c r="H79" s="18" t="n">
        <x:v>151.5</x:v>
      </x:c>
      <x:c r="I79" s="22" t="n">
        <x:v>71</x:v>
      </x:c>
      <x:c r="J79" s="22" t="n">
        <x:v>1219894</x:v>
      </x:c>
      <x:c r="K79" s="36" t="n">
        <x:v>65</x:v>
      </x:c>
      <x:c r="L79" s="34" t="str">
        <x:v>/o-nas/specialisty/mikhaylova-anastasiya-petrovna/</x:v>
      </x:c>
      <x:c r="M79" s="34" t="str">
        <x:v>Контроль первого варианта</x:v>
      </x:c>
      <x:c r="N79" s="74" t="n">
        <x:v>3476</x:v>
      </x:c>
      <x:c r="O79" s="34" t="str">
        <x:v>recheck-final-control/doctor-mobile-02.json</x:v>
      </x:c>
      <x:c r="P79" s="34" t="str">
        <x:v>Предыдущий вариант: не входит в итоговое сравнение после доработки шапки</x:v>
      </x:c>
    </x:row>
    <x:row r="80" ht="54" customHeight="1">
      <x:c r="A80" s="13" t="str">
        <x:v>Профиль Михайловой</x:v>
      </x:c>
      <x:c r="B80" s="13" t="str">
        <x:v>Смартфон</x:v>
      </x:c>
      <x:c r="C80" s="13" t="str">
        <x:v>После</x:v>
      </x:c>
      <x:c r="D80" s="15" t="d">
        <x:v>2026-10-16T15:01:36.942Z</x:v>
      </x:c>
      <x:c r="E80" s="17" t="n">
        <x:v>4310.8168</x:v>
      </x:c>
      <x:c r="F80" s="19" t="n">
        <x:v>0.0043293412056985055</x:v>
      </x:c>
      <x:c r="G80" s="17" t="n">
        <x:v>3815.3502</x:v>
      </x:c>
      <x:c r="H80" s="17" t="n">
        <x:v>137</x:v>
      </x:c>
      <x:c r="I80" s="21" t="n">
        <x:v>70</x:v>
      </x:c>
      <x:c r="J80" s="21" t="n">
        <x:v>1219262</x:v>
      </x:c>
      <x:c r="K80" s="35" t="n">
        <x:v>63</x:v>
      </x:c>
      <x:c r="L80" s="33" t="str">
        <x:v>/o-nas/specialisty/mikhaylova-anastasiya-petrovna/</x:v>
      </x:c>
      <x:c r="M80" s="33" t="str">
        <x:v>Контроль первого варианта</x:v>
      </x:c>
      <x:c r="N80" s="73" t="n">
        <x:v>3589.5</x:v>
      </x:c>
      <x:c r="O80" s="33" t="str">
        <x:v>recheck-final-control/doctor-mobile-03.json</x:v>
      </x:c>
      <x:c r="P80" s="33" t="str">
        <x:v>Предыдущий вариант: не входит в итоговое сравнение после доработки шапки</x:v>
      </x:c>
    </x:row>
  </x:sheetData>
  <x:mergeCells>
    <x:mergeCell ref="A1:P1"/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5309671e06e749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2" hidden="0" customWidth="1"/>
  </x:cols>
  <x:sheetData>
    <x:row r="1" ht="36" customHeight="1">
      <x:c r="A1" s="4" t="str">
        <x:v>Как проведено сравнение</x:v>
      </x:c>
      <x:c r="B1" s="4"/>
    </x:row>
    <x:row r="2" ht="28" customHeight="1">
      <x:c r="A2" s="5" t="str">
        <x:v>Клиника «Кожа». kozhaclinic.ru. 16 октября 2026</x:v>
      </x:c>
      <x:c r="B2" s="2"/>
    </x:row>
    <x:row r="3" ht="38" customHeight="1">
      <x:c r="A3" s="7" t="str">
        <x:v>Измерения загрузки сайта; данные о посещаемости и заявках в сравнение не входят.</x:v>
      </x:c>
      <x:c r="B3" s="8"/>
    </x:row>
    <x:row r="4" ht="28" customHeight="1">
      <x:c r="A4" s="2"/>
      <x:c r="B4" s="2"/>
    </x:row>
    <x:row r="5" ht="42" customHeight="1">
      <x:c r="A5" s="12" t="str">
        <x:v>Пункт</x:v>
      </x:c>
      <x:c r="B5" s="12" t="str">
        <x:v>Описание</x:v>
      </x:c>
    </x:row>
    <x:row r="6" ht="44" customHeight="1">
      <x:c r="A6" s="13" t="str">
        <x:v>Метод сравнения</x:v>
      </x:c>
      <x:c r="B6" s="33" t="str">
        <x:v>По три успешных прогона на каждую страницу и устройство до и после изменений. В сравнении используется медиана каждого показателя.</x:v>
      </x:c>
    </x:row>
    <x:row r="7" ht="61" customHeight="1">
      <x:c r="A7" s="14" t="str">
        <x:v>Исходная точка</x:v>
      </x:c>
      <x:c r="B7" s="34" t="str">
        <x:v>Исходные измерения сделаны на первоначальном коде сайта. Для мобильных страниц со знаком * использована повторная парная серия с временным побайтным восстановлением исходного кода. Старый одиночный тест из SEO-аудита не используется в расчётах.</x:v>
      </x:c>
    </x:row>
    <x:row r="8" ht="44" customHeight="1">
      <x:c r="A8" s="13" t="str">
        <x:v>Контрольная выборка</x:v>
      </x:c>
      <x:c r="B8" s="33" t="str">
        <x:v>Девять страниц на смартфоне; главная и Morpheus 8 дополнительно на компьютере. Всего 33 исходных и 33 итоговых прогона.</x:v>
      </x:c>
    </x:row>
    <x:row r="9" ht="32" customHeight="1">
      <x:c r="A9" s="14" t="str">
        <x:v>Версии</x:v>
      </x:c>
      <x:c r="B9" s="34" t="str">
        <x:v>Chrome 155.0.8059.40; Lighthouse 13.4.1.</x:v>
      </x:c>
    </x:row>
    <x:row r="10" ht="32" customHeight="1">
      <x:c r="A10" s="13" t="str">
        <x:v>Смартфон</x:v>
      </x:c>
      <x:c r="B10" s="33" t="str">
        <x:v>412 × 823, DPR 1.75; RTT 150 мс; 1638.4 Кбит/с; процессор ×4.</x:v>
      </x:c>
    </x:row>
    <x:row r="11" ht="32" customHeight="1">
      <x:c r="A11" s="14" t="str">
        <x:v>Компьютер</x:v>
      </x:c>
      <x:c r="B11" s="34" t="str">
        <x:v>1350 × 940, DPR 1; RTT 40 мс; 10240 Кбит/с; процессор ×1.</x:v>
      </x:c>
    </x:row>
    <x:row r="12" ht="44" customHeight="1">
      <x:c r="A12" s="13" t="str">
        <x:v>Условия</x:v>
      </x:c>
      <x:c r="B12" s="33" t="str">
        <x:v>Моделируемое замедление сети и процессора. Прогоны последовательно, чистый профиль и кеш браузера, cookie-плашка показана. Серверный кеш предварительно прогрет.</x:v>
      </x:c>
    </x:row>
    <x:row r="13" ht="95" customHeight="1">
      <x:c r="A13" s="14" t="str">
        <x:v>Повторная серия *</x:v>
      </x:c>
      <x:c r="B13" s="34" t="str">
        <x:v>Главная на смартфоне, каталог, прайс, контакты, «О клинике», профиль врача: для исходной версии взяты все три прогона повторного контроля. Для остальных пяти сочетаний страницы и устройства сохранена первоначальная база. После доработки выполнена полная матрица из 33 итоговых прогонов; главная и контакты дополнительно перепроверены. Каждая итоговая тройка взята целиком. Это сравнение по случаям, а не единая одновременная серия.</x:v>
      </x:c>
    </x:row>
    <x:row r="14" ht="78" customHeight="1">
      <x:c r="A14" s="13" t="str">
        <x:v>Причина перепроверки</x:v>
      </x:c>
      <x:c r="B14" s="33" t="str">
        <x:v>В первом варианте TBT вырос более чем на 10% на четырёх страницах; повторный контроль подтвердил превышение только на прайсе. После уточнения резерва шапки полная итоговая серия выполнена заново. В раннем исходном прогоне «О клинике» не загрузился fields.js, на контактах API карты возвращал 504. Первые варианты и исключения сохранены на вкладке «Контроль».</x:v>
      </x:c>
    </x:row>
    <x:row r="15" ht="61" customHeight="1">
      <x:c r="A15" s="14" t="str">
        <x:v>Главная и контакты</x:v>
      </x:c>
      <x:c r="B15" s="34" t="str">
        <x:v>В полной серии после доработки контроль CPU главной отличался от исходного на 16,9%, а LCP контактов вырос на 11,9%. Для этих двух случаев заранее назначена новая парная серия: все три исходных и три итоговых прогона без отбора по результату. Более ранние измерения сохранены на вкладке «Контроль».</x:v>
      </x:c>
    </x:row>
    <x:row r="16" ht="61" customHeight="1">
      <x:c r="A16" s="13" t="str">
        <x:v>Качество данных</x:v>
      </x:c>
      <x:c r="B16" s="33" t="str">
        <x:v>Для всех серий применены одинаковые критерии: без ошибок Lighthouse, с успешной загрузкой документа, ресурсов сайта, запрошенных скриптов и стилей; без параллельного замера. Отсутствующие показатели не заменяются нулями.</x:v>
      </x:c>
    </x:row>
    <x:row r="17" ht="61" customHeight="1">
      <x:c r="A17" s="14" t="str">
        <x:v>Нагрузка компьютера</x:v>
      </x:c>
      <x:c r="B17" s="34" t="str">
        <x:v>Версии и настройки замедления одинаковы. Lighthouse benchmarkIndex отражает фактическую скорость машины; он указан для каждого прогона. Для всех 11 сравнений принят порог расхождения медиан 10%. TBT не пересчитывается по benchmarkIndex. Обычная вариативность внешних виджетов сохраняется.</x:v>
      </x:c>
    </x:row>
    <x:row r="18" ht="44" customHeight="1">
      <x:c r="A18" s="13" t="str">
        <x:v>Версии исходного кода</x:v>
      </x:c>
      <x:c r="B18" s="33" t="str">
        <x:v>Исходная шапка SHA-256 7c2aed4f79ea58c20b917eff7e6e5e314058a5f88a50d2006ee155c19f1ac6c4; итоговая 71c85ee67286931c54e31997974deff5d5467a041d6e23d768c2d46434a96312. Полные локальные снимки сохранены для отката.</x:v>
      </x:c>
    </x:row>
    <x:row r="19" ht="44" customHeight="1">
      <x:c r="A19" s="14" t="str">
        <x:v>LCP</x:v>
      </x:c>
      <x:c r="B19" s="34" t="str">
        <x:v>Время появления самого крупного элемента первого экрана. Ориентир: до 2,5 с. На контактах этим элементом может быть фрагмент карты.</x:v>
      </x:c>
    </x:row>
    <x:row r="20" ht="44" customHeight="1">
      <x:c r="A20" s="13" t="str">
        <x:v>CLS</x:v>
      </x:c>
      <x:c r="B20" s="33" t="str">
        <x:v>Суммарная оценка неожиданных сдвигов вёрстки. Ориентир: до 0,1. Жёлтым выделены итоговые значения LCP/CLS выше этих ориентиров.</x:v>
      </x:c>
    </x:row>
    <x:row r="21" ht="44" customHeight="1">
      <x:c r="A21" s="14" t="str">
        <x:v>FCP и TBT</x:v>
      </x:c>
      <x:c r="B21" s="34" t="str">
        <x:v>FCP: первая отрисовка содержимого. TBT: время блокировки основного потока в лабораторном тесте. TBT не является INP.</x:v>
      </x:c>
    </x:row>
    <x:row r="22" ht="44" customHeight="1">
      <x:c r="A22" s="13" t="str">
        <x:v>Объём и запросы</x:v>
      </x:c>
      <x:c r="B22" s="33" t="str">
        <x:v>Переданные по сети байты и число запросов за время прогона Lighthouse. 1 МБ = 1 000 000 байт. Состав внешних запросов и момент загрузки виджетов различаются между прогонами.</x:v>
      </x:c>
    </x:row>
    <x:row r="23" ht="44" customHeight="1">
      <x:c r="A23" s="14" t="str">
        <x:v>Разница</x:v>
      </x:c>
      <x:c r="B23" s="34" t="str">
        <x:v>После минус до. Процент: (после − до) / до. Для исходного нуля процент не рассчитывается («н/п»). Для CLS и балла приведена абсолютная разница.</x:v>
      </x:c>
    </x:row>
    <x:row r="24" ht="44" customHeight="1">
      <x:c r="A24" s="13" t="str">
        <x:v>Реальные пользователи</x:v>
      </x:c>
      <x:c r="B24" s="33" t="str">
        <x:v>Лабораторные замеры не подтверждают немедленное исправление полевых Core Web Vitals. Данные Google обновляются отдельно и отражают накопленный период.</x:v>
      </x:c>
    </x:row>
    <x:row r="25" ht="44" customHeight="1">
      <x:c r="A25" s="14" t="str">
        <x:v>Сохранённые зависимости</x:v>
      </x:c>
      <x:c r="B25" s="34" t="str">
        <x:v>Онлайн-запись «Клиентикс» по-прежнему загружается заранее. Порядок запуска Метрики, Calltouch и капчи сохранён.</x:v>
      </x:c>
    </x:row>
    <x:row r="26" ht="32" customHeight="1">
      <x:c r="A26" s="13" t="str">
        <x:v>Методика LCP</x:v>
      </x:c>
      <x:c r="B26" s="33" t="str">
        <x:v>https://web.dev/articles/optimize-lcp</x:v>
      </x:c>
    </x:row>
    <x:row r="27" ht="32" customHeight="1">
      <x:c r="A27" s="14" t="str">
        <x:v>Методика CLS</x:v>
      </x:c>
      <x:c r="B27" s="34" t="str">
        <x:v>https://web.dev/articles/optimize-cls</x:v>
      </x:c>
    </x:row>
    <x:row r="28" ht="32" customHeight="1">
      <x:c r="A28" s="13" t="str">
        <x:v>Главная</x:v>
      </x:c>
      <x:c r="B28" s="33" t="str">
        <x:v>https://kozhaclinic.ru/</x:v>
      </x:c>
    </x:row>
    <x:row r="29" ht="32" customHeight="1">
      <x:c r="A29" s="14" t="str">
        <x:v>Каталог услуг</x:v>
      </x:c>
      <x:c r="B29" s="34" t="str">
        <x:v>https://kozhaclinic.ru/uslugi/</x:v>
      </x:c>
    </x:row>
    <x:row r="30" ht="32" customHeight="1">
      <x:c r="A30" s="13" t="str">
        <x:v>Аппаратная косметология</x:v>
      </x:c>
      <x:c r="B30" s="33" t="str">
        <x:v>https://kozhaclinic.ru/apparatnaya-kosmetologiya/</x:v>
      </x:c>
    </x:row>
    <x:row r="31" ht="32" customHeight="1">
      <x:c r="A31" s="14" t="str">
        <x:v>Morpheus 8</x:v>
      </x:c>
      <x:c r="B31" s="34" t="str">
        <x:v>https://kozhaclinic.ru/apparatnaya-kosmetologiya/igolchatyy-rf-lifting-na-morpheus-8/</x:v>
      </x:c>
    </x:row>
    <x:row r="32" ht="32" customHeight="1">
      <x:c r="A32" s="13" t="str">
        <x:v>Лечение розацеа</x:v>
      </x:c>
      <x:c r="B32" s="33" t="str">
        <x:v>https://kozhaclinic.ru/ubrat-rozatsea/</x:v>
      </x:c>
    </x:row>
    <x:row r="33" ht="32" customHeight="1">
      <x:c r="A33" s="14" t="str">
        <x:v>Прайс</x:v>
      </x:c>
      <x:c r="B33" s="34" t="str">
        <x:v>https://kozhaclinic.ru/ceny-prajs-list/</x:v>
      </x:c>
    </x:row>
    <x:row r="34" ht="32" customHeight="1">
      <x:c r="A34" s="13" t="str">
        <x:v>Контакты</x:v>
      </x:c>
      <x:c r="B34" s="33" t="str">
        <x:v>https://kozhaclinic.ru/kontakty/</x:v>
      </x:c>
    </x:row>
    <x:row r="35" ht="32" customHeight="1">
      <x:c r="A35" s="14" t="str">
        <x:v>О клинике</x:v>
      </x:c>
      <x:c r="B35" s="34" t="str">
        <x:v>https://kozhaclinic.ru/o-nas/</x:v>
      </x:c>
    </x:row>
    <x:row r="36" ht="32" customHeight="1">
      <x:c r="A36" s="13" t="str">
        <x:v>Профиль Михайловой</x:v>
      </x:c>
      <x:c r="B36" s="33" t="str">
        <x:v>https://kozhaclinic.ru/o-nas/specialisty/mikhaylova-anastasiya-petrovna/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