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e003a19d8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овые страницы" sheetId="1" r:id="R5ebc1bd1882d4b53"/>
    <x:sheet xmlns:r="http://schemas.openxmlformats.org/officeDocument/2006/relationships" name="Приоритетные страницы" sheetId="2" r:id="Rf51a0abf277d4cce"/>
    <x:sheet xmlns:r="http://schemas.openxmlformats.org/officeDocument/2006/relationships" name="Показатели страниц" sheetId="3" r:id="Rf74cb22ba919432c"/>
    <x:sheet xmlns:r="http://schemas.openxmlformats.org/officeDocument/2006/relationships" name="Топвизор" sheetId="4" r:id="Rcbe482f795664e69"/>
    <x:sheet xmlns:r="http://schemas.openxmlformats.org/officeDocument/2006/relationships" name="Запросы Google" sheetId="5" r:id="R68b94b75459c4b5c"/>
    <x:sheet xmlns:r="http://schemas.openxmlformats.org/officeDocument/2006/relationships" name="Запросы Яндекса" sheetId="6" r:id="Rde52f5fd4d824009"/>
    <x:sheet xmlns:r="http://schemas.openxmlformats.org/officeDocument/2006/relationships" name="Источники и метод" sheetId="7" r:id="R3a74a6008c98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.00%"/>
    <x:numFmt numFmtId="203" formatCode="0"/>
    <x:numFmt numFmtId="204" formatCode="+0;-0;0"/>
  </x:numFmts>
  <x:fonts count="8">
    <x:font>
      <x:sz val="11"/>
      <x:name val="Carlito"/>
    </x:font>
    <x:font>
      <x:sz val="10"/>
      <x:color rgb="FF263044"/>
      <x:name val="Arial"/>
    </x:font>
    <x:font>
      <x:b/>
      <x:sz val="16"/>
      <x:color rgb="FF443A68"/>
      <x:name val="Arial"/>
    </x:font>
    <x:font>
      <x:sz val="10"/>
      <x:color rgb="FF657087"/>
      <x:name val="Arial"/>
    </x:font>
    <x:font>
      <x:sz val="10"/>
      <x:color rgb="FF875A19"/>
      <x:name val="Arial"/>
    </x:font>
    <x:font>
      <x:b/>
      <x:sz val="10"/>
      <x:color rgb="FFFFFFFF"/>
      <x:name val="Arial"/>
    </x:font>
    <x:font>
      <x:sz val="10"/>
      <x:color rgb="FF405B95"/>
      <x:name val="Arial"/>
    </x:font>
    <x:font>
      <x:b/>
      <x:sz val="13"/>
      <x:color rgb="FF443A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43A68"/>
      </x:patternFill>
    </x:fill>
    <x:fill>
      <x:patternFill patternType="solid">
        <x:fgColor rgb="FFFFFFFF"/>
      </x:patternFill>
    </x:fill>
    <x:fill>
      <x:patternFill patternType="solid">
        <x:fgColor rgb="FFF4F2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1E4EB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1" fillId="3" borderId="1" xfId="0" applyNumberFormat="1" applyFont="1" applyFill="1" applyBorder="1" applyAlignment="1">
      <x:alignment horizontal="right" vertical="top" wrapText="1"/>
    </x:xf>
    <x:xf numFmtId="0" fontId="1" fillId="4" borderId="1" xfId="0" applyNumberFormat="1" applyFont="1" applyFill="1" applyBorder="1" applyAlignment="1">
      <x:alignment horizontal="right" vertical="top" wrapText="1"/>
    </x:xf>
    <x:xf numFmtId="200" fontId="1" fillId="3" borderId="1" xfId="0" applyNumberFormat="1" applyFont="1" applyFill="1" applyBorder="1" applyAlignment="1">
      <x:alignment horizontal="right" vertical="top" wrapText="1"/>
    </x:xf>
    <x:xf numFmtId="200" fontId="1" fillId="4" borderId="1" xfId="0" applyNumberFormat="1" applyFont="1" applyFill="1" applyBorder="1" applyAlignment="1">
      <x:alignment horizontal="right" vertical="top" wrapText="1"/>
    </x:xf>
    <x:xf numFmtId="201" fontId="1" fillId="3" borderId="1" xfId="0" applyNumberFormat="1" applyFont="1" applyFill="1" applyBorder="1" applyAlignment="1">
      <x:alignment horizontal="right" vertical="top" wrapText="1"/>
    </x:xf>
    <x:xf numFmtId="201" fontId="1" fillId="4" borderId="1" xfId="0" applyNumberFormat="1" applyFont="1" applyFill="1" applyBorder="1" applyAlignment="1">
      <x:alignment horizontal="right" vertical="top" wrapText="1"/>
    </x:xf>
    <x:xf numFmtId="202" fontId="1" fillId="3" borderId="1" xfId="0" applyNumberFormat="1" applyFont="1" applyFill="1" applyBorder="1" applyAlignment="1">
      <x:alignment horizontal="right" vertical="top" wrapText="1"/>
    </x:xf>
    <x:xf numFmtId="202" fontId="1" fillId="4" borderId="1" xfId="0" applyNumberFormat="1" applyFont="1" applyFill="1" applyBorder="1" applyAlignment="1">
      <x:alignment horizontal="right" vertical="top" wrapText="1"/>
    </x:xf>
    <x:xf numFmtId="203" fontId="1" fillId="3" borderId="1" xfId="0" applyNumberFormat="1" applyFont="1" applyFill="1" applyBorder="1" applyAlignment="1">
      <x:alignment vertical="top" wrapText="1"/>
    </x:xf>
    <x:xf numFmtId="203" fontId="1" fillId="4" borderId="1" xfId="0" applyNumberFormat="1" applyFont="1" applyFill="1" applyBorder="1" applyAlignment="1">
      <x:alignment vertical="top" wrapText="1"/>
    </x:xf>
    <x:xf numFmtId="204" fontId="1" fillId="3" borderId="1" xfId="0" applyNumberFormat="1" applyFont="1" applyFill="1" applyBorder="1" applyAlignment="1">
      <x:alignment vertical="top" wrapText="1"/>
    </x:xf>
    <x:xf numFmtId="204" fontId="1" fillId="4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2" fontId="1" fillId="3" borderId="1" xfId="0" applyNumberFormat="1" applyFont="1" applyFill="1" applyBorder="1" applyAlignment="1">
      <x:alignment vertical="top" wrapText="1"/>
    </x:xf>
    <x:xf numFmtId="202" fontId="1" fillId="4" borderId="1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443A68"/>
      </x:font>
      <x:fill>
        <x:patternFill patternType="solid">
          <x:bgColor rgb="FFE9E3F6"/>
        </x:patternFill>
      </x:fill>
    </x:dxf>
    <x:dxf>
      <x:font>
        <x:color rgb="FF657087"/>
      </x:font>
      <x:fill>
        <x:patternFill patternType="solid">
          <x:bgColor rgb="FFECEEF2"/>
        </x:patternFill>
      </x:fill>
    </x:dxf>
    <x:dxf>
      <x:font>
        <x:b/>
        <x:color rgb="FF443A68"/>
      </x:font>
      <x:fill>
        <x:patternFill patternType="solid">
          <x:bgColor rgb="FFE9E3F6"/>
        </x:patternFill>
      </x:fill>
    </x:dxf>
    <x:dxf>
      <x:font>
        <x:color rgb="FF657087"/>
      </x:font>
      <x:fill>
        <x:patternFill patternType="solid">
          <x:bgColor rgb="FFECEE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3397e06614828" /><Relationship Type="http://schemas.openxmlformats.org/officeDocument/2006/relationships/theme" Target="/xl/theme/theme1.xml" Id="R1f5d2e74571f4ddd" /><Relationship Type="http://schemas.openxmlformats.org/officeDocument/2006/relationships/sharedStrings" Target="/xl/sharedStrings.xml" Id="R30237cdfb589425c" /><Relationship Type="http://schemas.openxmlformats.org/officeDocument/2006/relationships/worksheet" Target="/xl/worksheets/sheet1.xml" Id="R5ebc1bd1882d4b53" /><Relationship Type="http://schemas.openxmlformats.org/officeDocument/2006/relationships/worksheet" Target="/xl/worksheets/sheet2.xml" Id="Rf51a0abf277d4cce" /><Relationship Type="http://schemas.openxmlformats.org/officeDocument/2006/relationships/worksheet" Target="/xl/worksheets/sheet3.xml" Id="Rf74cb22ba919432c" /><Relationship Type="http://schemas.openxmlformats.org/officeDocument/2006/relationships/worksheet" Target="/xl/worksheets/sheet4.xml" Id="Rcbe482f795664e69" /><Relationship Type="http://schemas.openxmlformats.org/officeDocument/2006/relationships/worksheet" Target="/xl/worksheets/sheet5.xml" Id="R68b94b75459c4b5c" /><Relationship Type="http://schemas.openxmlformats.org/officeDocument/2006/relationships/worksheet" Target="/xl/worksheets/sheet6.xml" Id="Rde52f5fd4d824009" /><Relationship Type="http://schemas.openxmlformats.org/officeDocument/2006/relationships/worksheet" Target="/xl/worksheets/sheet7.xml" Id="R3a74a6008c9849da" /></Relationships>
</file>

<file path=xl/tables/table1.xml><?xml version="1.0" encoding="utf-8"?>
<x:table xmlns:x="http://schemas.openxmlformats.org/spreadsheetml/2006/main" id="1" name="NewPages" displayName="NewPages" ref="A6:J13" headerRowCount="1" totalsRowCount="0" totalsRowShown="0">
  <x:autoFilter ref="A6:J13"/>
  <x:tableColumns count="10">
    <x:tableColumn id="1" name="ID"/>
    <x:tableColumn id="2" name="Приоритет"/>
    <x:tableColumn id="3" name="Новая страница"/>
    <x:tableColumn id="4" name="Текущее покрытие и основание"/>
    <x:tableColumn id="5" name="Что раскрыть"/>
    <x:tableColumn id="6" name="Условие решения"/>
    <x:tableColumn id="7" name="Примеры запросов"/>
    <x:tableColumn id="8" name="Связи с сайтом"/>
    <x:tableColumn id="9" name="Предлагаемый адрес"/>
    <x:tableColumn id="10" name="Пример другой клин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Pages" displayName="ExistingPages" ref="A18:E24" headerRowCount="1" totalsRowCount="0" totalsRowShown="0">
  <x:autoFilter ref="A18:E24"/>
  <x:tableColumns count="5">
    <x:tableColumn id="1" name="№"/>
    <x:tableColumn id="2" name="Статус"/>
    <x:tableColumn id="3" name="Страница"/>
    <x:tableColumn id="4" name="Решение"/>
    <x:tableColumn id="5" name="Действующий адре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Actions" displayName="PageActions" ref="A6:I26" headerRowCount="1" totalsRowCount="0" totalsRowShown="0">
  <x:autoFilter ref="A6:I26"/>
  <x:tableColumns count="9">
    <x:tableColumn id="1" name="ID"/>
    <x:tableColumn id="2" name="Приоритет"/>
    <x:tableColumn id="3" name="Страница / услуга"/>
    <x:tableColumn id="4" name="Тип задачи"/>
    <x:tableColumn id="5" name="Что подтверждают данные"/>
    <x:tableColumn id="6" name="Рекомендуемые действия"/>
    <x:tableColumn id="7" name="Нужна ли перепись"/>
    <x:tableColumn id="8" name="Примеры позиций Топвизора"/>
    <x:tableColumn id="9" name="Адре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eMetrics" displayName="PageMetrics" ref="A6:O160" headerRowCount="1" totalsRowCount="0" totalsRowShown="0">
  <x:autoFilter ref="A6:O160"/>
  <x:tableColumns count="15">
    <x:tableColumn id="1" name="Страница"/>
    <x:tableColumn id="2" name="URL"/>
    <x:tableColumn id="3" name="Google клики&#10;15.07–14.10"/>
    <x:tableColumn id="4" name="Google показы&#10;15.07–14.10"/>
    <x:tableColumn id="5" name="Google ср. позиция&#10;15.07–14.10"/>
    <x:tableColumn id="6" name="Google клики&#10;17.09–14.10"/>
    <x:tableColumn id="7" name="Google показы&#10;17.09–14.10"/>
    <x:tableColumn id="8" name="Google CTR&#10;17.09–14.10"/>
    <x:tableColumn id="9" name="Google ср. позиция&#10;17.09–14.10"/>
    <x:tableColumn id="10" name="Яндекс клики&#10;сентябрь"/>
    <x:tableColumn id="11" name="Яндекс показы&#10;сентябрь"/>
    <x:tableColumn id="12" name="Яндекс CTR&#10;сентябрь"/>
    <x:tableColumn id="13" name="Яндекс ср. позиция&#10;сентябрь"/>
    <x:tableColumn id="14" name="Индексация Google&#10;срез 12.10"/>
    <x:tableColumn id="15" name="Наличие данных Goo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nkings" displayName="Rankings" ref="A6:J416" headerRowCount="1" totalsRowCount="0" totalsRowShown="0">
  <x:autoFilter ref="A6:J416"/>
  <x:tableColumns count="10">
    <x:tableColumn id="1" name="Запрос"/>
    <x:tableColumn id="2" name="Группа"/>
    <x:tableColumn id="3" name="Яндекс&#10;16.09.2026"/>
    <x:tableColumn id="4" name="Яндекс&#10;27.09.2026"/>
    <x:tableColumn id="5" name="Изменение Яндекс"/>
    <x:tableColumn id="6" name="URL Яндекса&#10;27.09.2026"/>
    <x:tableColumn id="7" name="Google&#10;27.09.2026"/>
    <x:tableColumn id="8" name="Google&#10;16.10.2026"/>
    <x:tableColumn id="9" name="Изменение Google"/>
    <x:tableColumn id="10" name="URL Google&#10;16.10.2026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oogleQueries" displayName="GoogleQueries" ref="A6:F1002" headerRowCount="1" totalsRowCount="0" totalsRowShown="0">
  <x:autoFilter ref="A6:F1002"/>
  <x:tableColumns count="6">
    <x:tableColumn id="1" name="Страница"/>
    <x:tableColumn id="2" name="Запрос"/>
    <x:tableColumn id="3" name="Клики"/>
    <x:tableColumn id="4" name="Показы"/>
    <x:tableColumn id="5" name="CTR"/>
    <x:tableColumn id="6" name="Средняя позиция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YandexQueries" displayName="YandexQueries" ref="A6:G1045" headerRowCount="1" totalsRowCount="0" totalsRowShown="0">
  <x:autoFilter ref="A6:G1045"/>
  <x:tableColumns count="7">
    <x:tableColumn id="1" name="Запрос"/>
    <x:tableColumn id="2" name="Страница"/>
    <x:tableColumn id="3" name="Клики"/>
    <x:tableColumn id="4" name="Показы"/>
    <x:tableColumn id="5" name="CTR"/>
    <x:tableColumn id="6" name="Средняя позиция"/>
    <x:tableColumn id="7" name="Спрос Вебмастер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" displayName="Sources" ref="A6:D14" headerRowCount="1" totalsRowCount="0" totalsRowShown="0">
  <x:autoFilter ref="A6:D14"/>
  <x:tableColumns count="4">
    <x:tableColumn id="1" name="Источник"/>
    <x:tableColumn id="2" name="Период / дата"/>
    <x:tableColumn id="3" name="Что использовано"/>
    <x:tableColumn id="4" name="Источник / описание метод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hod" displayName="Method" ref="A19:C28" headerRowCount="1" totalsRowCount="0" totalsRowShown="0">
  <x:autoFilter ref="A19:C28"/>
  <x:tableColumns count="3">
    <x:tableColumn id="1" name="Тема"/>
    <x:tableColumn id="2" name="Кратко"/>
    <x:tableColumn id="3" name="Правил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c867b798834a5d" /><Relationship Type="http://schemas.openxmlformats.org/officeDocument/2006/relationships/table" Target="/xl/tables/table2.xml" Id="R017eefae5e0f4b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e06bf1e0a2749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0c06b1babd641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c7a5a927dd44b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f44abc677004b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44b4195e937b49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e3dec77092cd496d" /><Relationship Type="http://schemas.openxmlformats.org/officeDocument/2006/relationships/table" Target="/xl/tables/table9.xml" Id="R7519ecd50d034154" /></Relationships>
</file>

<file path=xl/worksheets/sheet1.xml><?xml version="1.0" encoding="utf-8"?>
<x:worksheet xmlns:x="http://schemas.openxmlformats.org/spreadsheetml/2006/main">
  <x:sheetPr>
    <x:tabColor rgb="FF443A6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5" hidden="0" customWidth="1"/>
    <x:col min="2" max="2" width="10.25" hidden="0" customWidth="1"/>
    <x:col min="3" max="3" width="31.25" hidden="0" customWidth="1"/>
    <x:col min="4" max="4" width="46.25" hidden="0" customWidth="1"/>
    <x:col min="5" max="5" width="43.75" hidden="0" customWidth="1"/>
    <x:col min="6" max="6" width="43.75" hidden="0" customWidth="1"/>
    <x:col min="7" max="7" width="35" hidden="0" customWidth="1"/>
    <x:col min="8" max="8" width="31.25" hidden="0" customWidth="1"/>
    <x:col min="9" max="9" width="65" hidden="0" customWidth="1"/>
    <x:col min="10" max="10" width="56.2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Новые страницы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Клиника «Кожа». 17.10.2026. 7 кандидатов; P1 — первый пакет, P2 — следующая очередь, P3 — резерв.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4" t="str">
        <x:v>Частотность новых тем не измерена. Рекомендации основаны на предложении клиники, покрытии сайта и доступных поисковых данных.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8" customHeight="1">
      <x:c r="A6" s="10" t="str">
        <x:v>ID</x:v>
      </x:c>
      <x:c r="B6" s="10" t="str">
        <x:v>Приоритет</x:v>
      </x:c>
      <x:c r="C6" s="10" t="str">
        <x:v>Новая страница</x:v>
      </x:c>
      <x:c r="D6" s="10" t="str">
        <x:v>Текущее покрытие и основание</x:v>
      </x:c>
      <x:c r="E6" s="10" t="str">
        <x:v>Что раскрыть</x:v>
      </x:c>
      <x:c r="F6" s="10" t="str">
        <x:v>Условие решения</x:v>
      </x:c>
      <x:c r="G6" s="10" t="str">
        <x:v>Примеры запросов</x:v>
      </x:c>
      <x:c r="H6" s="10" t="str">
        <x:v>Связи с сайтом</x:v>
      </x:c>
      <x:c r="I6" s="10" t="str">
        <x:v>Предлагаемый адрес</x:v>
      </x:c>
      <x:c r="J6" s="10" t="str">
        <x:v>Пример другой клиники</x:v>
      </x:c>
    </x:row>
    <x:row r="7" ht="100" customHeight="1">
      <x:c r="A7" s="12" t="str">
        <x:v>N01</x:v>
      </x:c>
      <x:c r="B7" s="12" t="str">
        <x:v>P1</x:v>
      </x:c>
      <x:c r="C7" s="12" t="str">
        <x:v>Мезотерапия вокруг глаз / MesoEye C71</x:v>
      </x:c>
      <x:c r="D7" s="12" t="str">
        <x:v>MesoEye C71 указан в прайсе мезотерапии; собственной карточки нет. Биоревитализация и коллагенотерапия глаз уже имеют другие страницы.
«Мезотерапия вокруг глаз сургут» не найдена в обоих доступных срезах Топвизора. Отдельная услуга помогла бы точнее закрепить этот интент.</x:v>
      </x:c>
      <x:c r="E7" s="12" t="str">
        <x:v>Услуга для зоны глаз, чем отличается от других инъекционных процедур, состав приёма, цена и ограничения. Формулировки применения согласовать с клиникой.</x:v>
      </x:c>
      <x:c r="F7" s="12" t="str">
        <x:v>Подтвердить, что общие запросы мезотерапии глаз соответствуют предлагаемому протоколу MesoEye; две страницы под одинаковый интент не создавать.</x:v>
      </x:c>
      <x:c r="G7" s="12" t="str">
        <x:v>мезотерапия вокруг глаз сургут; mesoeye c71 сургут; мезоай цена</x:v>
      </x:c>
      <x:c r="H7" s="12" t="str">
        <x:v>Мезотерапия; зона вокруг глаз; страницы проблем; прайс</x:v>
      </x:c>
      <x:c r="I7" s="12" t="str">
        <x:v>https://kozhaclinic.ru/inekcionnaya-kosmetologiya/omolozhenie-i-pitanie-kozhi/mesoeye-c71/</x:v>
      </x:c>
      <x:c r="J7" s="15" t="str">
        <x:v>https://www.a-clinic.ru/services/inject/mesoeye/</x:v>
      </x:c>
    </x:row>
    <x:row r="8" ht="100" customHeight="1">
      <x:c r="A8" s="14" t="str">
        <x:v>N02</x:v>
      </x:c>
      <x:c r="B8" s="14" t="str">
        <x:v>P2</x:v>
      </x:c>
      <x:c r="C8" s="14" t="str">
        <x:v>Plinest и Plinest Fast</x:v>
      </x:c>
      <x:c r="D8" s="14" t="str">
        <x:v>Оба препарата есть в прайсе общих процедур, самостоятельной страницы нет.
Есть подтверждённое предложение клиники и отдельные страницы у других клиник. В Вебмастере присутствует запрос «plinest сургут»; региональная частотность ещё не измерена.</x:v>
      </x:c>
      <x:c r="E8" s="14" t="str">
        <x:v>Одна страница линейки с различиями двух вариантов, применением в клинике, ценой и условиями процедуры.</x:v>
      </x:c>
      <x:c r="F8" s="14" t="str">
        <x:v>Проверить региональную частотность и не выпускать две почти одинаковые страницы Fast/обычный.</x:v>
      </x:c>
      <x:c r="G8" s="14" t="str">
        <x:v>plinest сургут; плинест цена; plinest fast</x:v>
      </x:c>
      <x:c r="H8" s="14" t="str">
        <x:v>Биоревитализация; мезотерапия; прайс</x:v>
      </x:c>
      <x:c r="I8" s="14" t="str">
        <x:v>https://kozhaclinic.ru/inekcionnaya-kosmetologiya/omolozhenie-i-pitanie-kozhi/plinest/</x:v>
      </x:c>
      <x:c r="J8" s="16" t="str">
        <x:v>https://www.a-clinic.ru/services/inject/plinest/</x:v>
      </x:c>
    </x:row>
    <x:row r="9" ht="100" customHeight="1">
      <x:c r="A9" s="12" t="str">
        <x:v>N03</x:v>
      </x:c>
      <x:c r="B9" s="12" t="str">
        <x:v>P2</x:v>
      </x:c>
      <x:c r="C9" s="12" t="str">
        <x:v>Profhilo</x:v>
      </x:c>
      <x:c r="D9" s="12" t="str">
        <x:v>Profhilo 2 мл присутствует в прайсе, отдельной посадочной нет.
Продуктовый запрос сейчас может вести на общую страницу или прайс. Есть примеры самостоятельных посадочных у других клиник и предложение в местных прайсах.</x:v>
      </x:c>
      <x:c r="E9" s="12" t="str">
        <x:v>Действующая процедура с препаратом, её назначение, зоны, проведение, цена и отличие от общего раздела биоревитализации.</x:v>
      </x:c>
      <x:c r="F9" s="12" t="str">
        <x:v>Частотность и приоритет по бизнесу пока не измерены.</x:v>
      </x:c>
      <x:c r="G9" s="12" t="str">
        <x:v>profhilo сургут; профайло сургут; профайло цена</x:v>
      </x:c>
      <x:c r="H9" s="12" t="str">
        <x:v>Биоревитализация; омоложение; прайс</x:v>
      </x:c>
      <x:c r="I9" s="12" t="str">
        <x:v>https://kozhaclinic.ru/inekcionnaya-kosmetologiya/omolozhenie-i-pitanie-kozhi/profhilo/</x:v>
      </x:c>
      <x:c r="J9" s="15" t="str">
        <x:v>https://www.a-clinic.ru/services/inject/profaylo/</x:v>
      </x:c>
    </x:row>
    <x:row r="10" ht="100" customHeight="1">
      <x:c r="A10" s="14" t="str">
        <x:v>N04</x:v>
      </x:c>
      <x:c r="B10" s="14" t="str">
        <x:v>P2</x:v>
      </x:c>
      <x:c r="C10" s="14" t="str">
        <x:v>Пилинги M.E.LINE</x:v>
      </x:c>
      <x:c r="D10" s="14" t="str">
        <x:v>В прайсе есть CAUCASIAN и 01 Dark Circles, отдельной карточки M.E.LINE нет.
В Сургуте есть самостоятельная страница M.E.LINE у клиники доктора Дорофеевой. У «Кожи» предложение пока раскрыто в основном в прайсе.</x:v>
      </x:c>
      <x:c r="E10" s="14" t="str">
        <x:v>Одна страница системы с двумя доступными вариантами, ценами и условиями проведения. Не подменять ею обзор всех способов работы с пигментацией.</x:v>
      </x:c>
      <x:c r="F10" s="14" t="str">
        <x:v>Подтвердить действующие варианты курса и домашнего ухода; самостоятельную частотность проверить до выпуска.</x:v>
      </x:c>
      <x:c r="G10" s="14" t="str">
        <x:v>m.e.line сургут; пилинг мелайн; me line dark circles</x:v>
      </x:c>
      <x:c r="H10" s="14" t="str">
        <x:v>Каталог пилингов; пигментация; зона глаз; прайс</x:v>
      </x:c>
      <x:c r="I10" s="14" t="str">
        <x:v>https://kozhaclinic.ru/uhodovye-procedury/pilingi/m-e-line/</x:v>
      </x:c>
      <x:c r="J10" s="16" t="str">
        <x:v>https://dr-dorofeeva.ru/pilling_me_line/</x:v>
      </x:c>
    </x:row>
    <x:row r="11" ht="100" customHeight="1">
      <x:c r="A11" s="12" t="str">
        <x:v>N05</x:v>
      </x:c>
      <x:c r="B11" s="12" t="str">
        <x:v>P2</x:v>
      </x:c>
      <x:c r="C11" s="12" t="str">
        <x:v>СФЕРОгель</x:v>
      </x:c>
      <x:c r="D11" s="12" t="str">
        <x:v>В прайсе найдено написание СФЕРО®гель и несколько вариантов препарата. Отдельной страницы нет.
Есть фактическая линейка услуг, но пациент не получает самостоятельного объяснения вариантов и стоимости из одной карточки.</x:v>
      </x:c>
      <x:c r="E11" s="12" t="str">
        <x:v>Одна карточка линейки с действующими вариантами, зонами применения, ценами и ограничениями.</x:v>
      </x:c>
      <x:c r="F11" s="12" t="str">
        <x:v>Назначение вариантов описывать по протоколам клиники; отдельный URL под каждую модификацию не нужен.</x:v>
      </x:c>
      <x:c r="G11" s="12" t="str">
        <x:v>сферогель сургут; сферогель цена; сферогель light medium</x:v>
      </x:c>
      <x:c r="H11" s="12" t="str">
        <x:v>Инъекционная косметология; соответствующие услуги и прайс</x:v>
      </x:c>
      <x:c r="I11" s="12" t="str">
        <x:v>https://kozhaclinic.ru/inekcionnaya-kosmetologiya/sferogel/</x:v>
      </x:c>
      <x:c r="J11" s="15" t="str">
        <x:v>https://www.a-clinic.ru/services/inject/sferogel/</x:v>
      </x:c>
    </x:row>
    <x:row r="12" ht="100" customHeight="1">
      <x:c r="A12" s="14" t="str">
        <x:v>N06</x:v>
      </x:c>
      <x:c r="B12" s="14" t="str">
        <x:v>P2</x:v>
      </x:c>
      <x:c r="C12" s="14" t="str">
        <x:v>Коррекция фигуры: выбор процедур</x:v>
      </x:c>
      <x:c r="D12" s="14" t="str">
        <x:v>Есть отдельные страницы RSL Sculpting, целлюлита, липолитиков и Morpheus 8. Общего каталога выбора процедур для тела не найдено.
Страница может связать существующие предложения по задачам тела и создать понятный вход в направление.</x:v>
      </x:c>
      <x:c r="E12" s="14" t="str">
        <x:v>Обзор действующих вариантов по задаче и зоне тела, сравнение условий, цены и ссылки на подробные услуги. Без обещаний снижения веса.</x:v>
      </x:c>
      <x:c r="F12" s="14" t="str">
        <x:v>Проверить самостоятельный интент и разграничить с целлюлитом и повышением упругости; частотность не измерена.</x:v>
      </x:c>
      <x:c r="G12" s="14" t="str">
        <x:v>коррекция фигуры сургут; аппаратная коррекция фигуры; процедуры для тела</x:v>
      </x:c>
      <x:c r="H12" s="14" t="str">
        <x:v>RSL Sculpting; Morpheus 8; липолитики; целлюлит; прайс</x:v>
      </x:c>
      <x:c r="I12" s="14" t="str">
        <x:v>https://kozhaclinic.ru/korrektsiya-figury/</x:v>
      </x:c>
      <x:c r="J12" s="16" t="str">
        <x:v>https://www.a-clinic.ru/services/korrektciya-figury/</x:v>
      </x:c>
    </x:row>
    <x:row r="13" ht="100" customHeight="1">
      <x:c r="A13" s="12" t="str">
        <x:v>N07</x:v>
      </x:c>
      <x:c r="B13" s="12" t="str">
        <x:v>P3</x:v>
      </x:c>
      <x:c r="C13" s="12" t="str">
        <x:v>Комплексы лазерной эпиляции</x:v>
      </x:c>
      <x:c r="D13" s="12" t="str">
        <x:v>Пять комплексов доступны в прайсах. Страница эпиляции всего тела уже есть и раскрывает комплекс № 5.
Отдельная сравнительная страница нескольких пакетов возможна, если подтвердится самостоятельный спрос на комплексы.</x:v>
      </x:c>
      <x:c r="E13" s="12" t="str">
        <x:v>Сравнить состав и цену пакетов, указать различия зон и условия. Дать ссылку на уже существующую страницу всего тела.</x:v>
      </x:c>
      <x:c r="F13" s="12" t="str">
        <x:v>Резерв: при совпадении выдачи с «всего тела» доработать существующий каталог, не создавать конкурирующий URL.</x:v>
      </x:c>
      <x:c r="G13" s="12" t="str">
        <x:v>комплексы лазерной эпиляции сургут; лазерная эпиляция несколько зон; комплекс цена</x:v>
      </x:c>
      <x:c r="H13" s="12" t="str">
        <x:v>Основной раздел эпиляции; эпиляция для женщин; всего тела; прайс</x:v>
      </x:c>
      <x:c r="I13" s="12" t="str">
        <x:v>https://kozhaclinic.ru/lazernaya-kosmetologiya/lazernaya-epilyaciya/kompleksy/</x:v>
      </x:c>
      <x:c r="J13" s="15" t="str">
        <x:v>https://skin-line.pro/surgut/lazernaya-epilyaciya-vsego-tela/</x:v>
      </x:c>
    </x:row>
    <x:row r="16">
      <x:c r="A16" s="17" t="str">
        <x:v>Уже существуют: новые URL не нужны</x:v>
      </x:c>
    </x:row>
    <x:row r="18" ht="38" customHeight="1">
      <x:c r="A18" s="10" t="str">
        <x:v>№</x:v>
      </x:c>
      <x:c r="B18" s="10" t="str">
        <x:v>Статус</x:v>
      </x:c>
      <x:c r="C18" s="10" t="str">
        <x:v>Страница</x:v>
      </x:c>
      <x:c r="D18" s="10" t="str">
        <x:v>Решение</x:v>
      </x:c>
      <x:c r="E18" s="10" t="str">
        <x:v>Действующий адрес</x:v>
      </x:c>
    </x:row>
    <x:row r="19" ht="68" customHeight="1">
      <x:c r="A19" s="12" t="n">
        <x:v>1</x:v>
      </x:c>
      <x:c r="B19" s="12" t="str">
        <x:v>Уже есть</x:v>
      </x:c>
      <x:c r="C19" s="12" t="str">
        <x:v>RSL Sculpting</x:v>
      </x:c>
      <x:c r="D19" s="12" t="str">
        <x:v>Страница уже есть. Нужен текст и развитие действующей услуги.</x:v>
      </x:c>
      <x:c r="E19" s="15" t="str">
        <x:v>https://kozhaclinic.ru/apparatnaya-kosmetologiya/apparatnyy-massazh-rsl-sculpting-dlya-korrektsii-figuryy/</x:v>
      </x:c>
    </x:row>
    <x:row r="20" ht="68" customHeight="1">
      <x:c r="A20" s="14" t="n">
        <x:v>2</x:v>
      </x:c>
      <x:c r="B20" s="14" t="str">
        <x:v>Уже есть</x:v>
      </x:c>
      <x:c r="C20" s="14" t="str">
        <x:v>Лазерная эпиляция всего тела</x:v>
      </x:c>
      <x:c r="D20" s="14" t="str">
        <x:v>Страница уже есть. Не создавать повтор под комплекс № 5.</x:v>
      </x:c>
      <x:c r="E20" s="16" t="str">
        <x:v>https://kozhaclinic.ru/lazernaya-kosmetologiya/lazernaya-epilyaciya/vsego-tela/</x:v>
      </x:c>
    </x:row>
    <x:row r="21" ht="68" customHeight="1">
      <x:c r="A21" s="12" t="n">
        <x:v>3</x:v>
      </x:c>
      <x:c r="B21" s="12" t="str">
        <x:v>Уже есть</x:v>
      </x:c>
      <x:c r="C21" s="12" t="str">
        <x:v>Full Face</x:v>
      </x:c>
      <x:c r="D21" s="12" t="str">
        <x:v>Страница уже есть. Приоритет — собственная посадочная в Google.</x:v>
      </x:c>
      <x:c r="E21" s="15" t="str">
        <x:v>https://kozhaclinic.ru/inekcionnaya-kosmetologiya/botulinoterapiya/full-face/</x:v>
      </x:c>
    </x:row>
    <x:row r="22" ht="68" customHeight="1">
      <x:c r="A22" s="14" t="n">
        <x:v>4</x:v>
      </x:c>
      <x:c r="B22" s="14" t="str">
        <x:v>Уже есть</x:v>
      </x:c>
      <x:c r="C22" s="14" t="str">
        <x:v>Heleo Pro LED</x:v>
      </x:c>
      <x:c r="D22" s="14" t="str">
        <x:v>Страница уже есть. Приоритет — индексация Google.</x:v>
      </x:c>
      <x:c r="E22" s="16" t="str">
        <x:v>https://kozhaclinic.ru/apparatnaya-kosmetologiya/heleo-pro-led/</x:v>
      </x:c>
    </x:row>
    <x:row r="23" ht="68" customHeight="1">
      <x:c r="A23" s="12" t="n">
        <x:v>5</x:v>
      </x:c>
      <x:c r="B23" s="12" t="str">
        <x:v>Уже есть</x:v>
      </x:c>
      <x:c r="C23" s="12" t="str">
        <x:v>Удаление фибром</x:v>
      </x:c>
      <x:c r="D23" s="12" t="str">
        <x:v>Предложение сентября уже реализовано; повторный URL не нужен.</x:v>
      </x:c>
      <x:c r="E23" s="15" t="str">
        <x:v>https://kozhaclinic.ru/udalenie-novoobrazovanij/udalenie-fibrom/</x:v>
      </x:c>
    </x:row>
    <x:row r="24" ht="68" customHeight="1">
      <x:c r="A24" s="14" t="n">
        <x:v>6</x:v>
      </x:c>
      <x:c r="B24" s="14" t="str">
        <x:v>Уже есть</x:v>
      </x:c>
      <x:c r="C24" s="14" t="str">
        <x:v>Удаление контагиозного моллюска</x:v>
      </x:c>
      <x:c r="D24" s="14" t="str">
        <x:v>Предложение сентября уже реализовано; повторный URL не нужен.</x:v>
      </x:c>
      <x:c r="E24" s="16" t="str">
        <x:v>https://kozhaclinic.ru/udalenie-novoobrazovanij/udalenie-kontagioznogo-mollyuska/</x:v>
      </x:c>
    </x:row>
  </x:sheetData>
  <x:conditionalFormatting sqref="B7:B13">
    <x:cfRule type="containsText" dxfId="0" priority="1" operator="containsText" text="P1"/>
    <x:cfRule type="containsText" dxfId="1" priority="2" operator="containsText" text="P3"/>
  </x:conditionalFormatting>
  <x:pageMargins left="0.7" right="0.7" top="0.75" bottom="0.75" header="0.3" footer="0.3"/>
  <x:tableParts count="2">
    <x:tablePart xmlns:r="http://schemas.openxmlformats.org/officeDocument/2006/relationships" r:id="R0ac867b798834a5d"/>
    <x:tablePart xmlns:r="http://schemas.openxmlformats.org/officeDocument/2006/relationships" r:id="R017eefae5e0f4b90"/>
  </x:tableParts>
</x:worksheet>
</file>

<file path=xl/worksheets/sheet2.xml><?xml version="1.0" encoding="utf-8"?>
<x:worksheet xmlns:x="http://schemas.openxmlformats.org/spreadsheetml/2006/main">
  <x:sheetPr>
    <x:tabColor rgb="FF443A6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5" hidden="0" customWidth="1"/>
    <x:col min="2" max="2" width="10.25" hidden="0" customWidth="1"/>
    <x:col min="3" max="3" width="31.25" hidden="0" customWidth="1"/>
    <x:col min="4" max="4" width="22.5" hidden="0" customWidth="1"/>
    <x:col min="5" max="5" width="55" hidden="0" customWidth="1"/>
    <x:col min="6" max="6" width="61.25" hidden="0" customWidth="1"/>
    <x:col min="7" max="7" width="33.75" hidden="0" customWidth="1"/>
    <x:col min="8" max="8" width="41.25" hidden="0" customWidth="1"/>
    <x:col min="9" max="9" width="7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Приоритетные страницы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20 страниц: содержание, поисковая структура, индексация и контроль отдельных запросов.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4" t="str">
        <x:v>Google в Топвизоре: ТОП-10, 16.10.2026. Яндекс: последний полный замер 27.09.2026. «Не найдено» не означает отсутствие в поиске.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8" customHeight="1">
      <x:c r="A6" s="10" t="str">
        <x:v>ID</x:v>
      </x:c>
      <x:c r="B6" s="10" t="str">
        <x:v>Приоритет</x:v>
      </x:c>
      <x:c r="C6" s="10" t="str">
        <x:v>Страница / услуга</x:v>
      </x:c>
      <x:c r="D6" s="10" t="str">
        <x:v>Тип задачи</x:v>
      </x:c>
      <x:c r="E6" s="10" t="str">
        <x:v>Что подтверждают данные</x:v>
      </x:c>
      <x:c r="F6" s="10" t="str">
        <x:v>Рекомендуемые действия</x:v>
      </x:c>
      <x:c r="G6" s="10" t="str">
        <x:v>Нужна ли перепись</x:v>
      </x:c>
      <x:c r="H6" s="10" t="str">
        <x:v>Примеры позиций Топвизора</x:v>
      </x:c>
      <x:c r="I6" s="10" t="str">
        <x:v>Адрес</x:v>
      </x:c>
    </x:row>
    <x:row r="7" ht="105" customHeight="1">
      <x:c r="A7" s="12" t="str">
        <x:v>U01</x:v>
      </x:c>
      <x:c r="B7" s="12" t="str">
        <x:v>P1</x:v>
      </x:c>
      <x:c r="C7" s="12" t="str">
        <x:v>Приём дерматолога</x:v>
      </x:c>
      <x:c r="D7" s="12" t="str">
        <x:v>Низкие позиции целевых запросов</x:v>
      </x:c>
      <x:c r="E7" s="12" t="str">
        <x:v>В Яндексе два целевых запроса на 19–21 местах; в последнем замере Google не найдены. В GSC запрос «дерматолог сургут» имеет 43 показа, 0 кликов и среднюю позицию 12,88 за 28 дней. Текст уже развёрнутый, недостаток объёма не доказан.</x:v>
      </x:c>
      <x:c r="F7" s="12" t="str">
        <x:v>Сначала сопоставить целевые запросы и выбранные поиском URL с местной выдачей: страницы конкурентов, географию и коммерческий интент приёма. Проверить тематические ссылки из раздела консультаций и страниц заболеваний. На карточке уже есть тарифы, ход приёма и врачи; менять текст и предложение по конкретным найденным отличиям, сохранив эти блоки.</x:v>
      </x:c>
      <x:c r="G7" s="12" t="str">
        <x:v>Необходимость полной переписи не доказана</x:v>
      </x:c>
      <x:c r="H7" s="12" t="str">
        <x:v>дерматолог сургут: Яндекс 21; Google не найдено
платный дерматолог сургут: Яндекс 19; Google не найдено</x:v>
      </x:c>
      <x:c r="I7" s="15" t="str">
        <x:v>https://kozhaclinic.ru/osmotry-i-konsultatsii/konsultatsiya-vracha-dermatologa-s-naznacheniem-plana-protsedur/</x:v>
      </x:c>
    </x:row>
    <x:row r="8" ht="105" customHeight="1">
      <x:c r="A8" s="14" t="str">
        <x:v>U02</x:v>
      </x:c>
      <x:c r="B8" s="14" t="str">
        <x:v>P1</x:v>
      </x:c>
      <x:c r="C8" s="14" t="str">
        <x:v>Лазерная эпиляция: основной раздел</x:v>
      </x:c>
      <x:c r="D8" s="14" t="str">
        <x:v>Каталог и коммерческая структура</x:v>
      </x:c>
      <x:c r="E8" s="14" t="str">
        <x:v>В Яндексе «лазерная эпиляция сургут» на 12 месте; средняя позиция страницы в Вебмастере за сентябрь 10,2. Google по тому же запросу на 4 месте. В Google общая страница также занимает места по запросам отдельных зон.</x:v>
      </x:c>
      <x:c r="F8" s="14" t="str">
        <x:v>Доработать каталог зон, показать сопоставимые цены и комплексы, усилить преимущества предложения и переходы к конкретной зоне. Развести общие запросы и запросы ног, бикини, лица, сохранив сильную общую страницу. Переработку текста выполнять вместе со структурой и внутренними ссылками.</x:v>
      </x:c>
      <x:c r="G8" s="14" t="str">
        <x:v>Частично: первый экран и каталог зон</x:v>
      </x:c>
      <x:c r="H8" s="14" t="str">
        <x:v>лазерная эпиляция сургут: Яндекс 12; Google 4
эпиляция сургут: Яндекс не найдено; Google 4
лазерная эпиляция ног сургут: Яндекс 4; Google 2</x:v>
      </x:c>
      <x:c r="I8" s="16" t="str">
        <x:v>https://kozhaclinic.ru/lazernaya-kosmetologiya/lazernaya-epilyaciya/</x:v>
      </x:c>
    </x:row>
    <x:row r="9" ht="105" customHeight="1">
      <x:c r="A9" s="12" t="str">
        <x:v>U04</x:v>
      </x:c>
      <x:c r="B9" s="12" t="str">
        <x:v>P1</x:v>
      </x:c>
      <x:c r="C9" s="12" t="str">
        <x:v>Коррекция растяжек</x:v>
      </x:c>
      <x:c r="D9" s="12" t="str">
        <x:v>Видимость Google</x:v>
      </x:c>
      <x:c r="E9" s="12" t="str">
        <x:v>Несколько локальных запросов не найдены в Google, в Яндексе часть занимает 2–5 места. В GSC по «убрать растяжки сургут» всего 2 показа и средняя позиция 12. Действующий материал содержит около 2 087 слов.</x:v>
      </x:c>
      <x:c r="F9" s="12" t="str">
        <x:v>Проверить выбор посадочной Google и фактическую индексацию. Сопоставить запросы удаления/коррекции с доступными в клинике методами, усилить коммерческий ответ и связи с процедурами для стрий. Не расширять текст автоматически и не обещать лазерный метод, если его нет в предложении.</x:v>
      </x:c>
      <x:c r="G9" s="12" t="str">
        <x:v>Сначала диагностика, полная перепись не обоснована</x:v>
      </x:c>
      <x:c r="H9" s="12" t="str">
        <x:v>убрать растяжки сургут: Яндекс 5; Google не найдено
удаление растяжек сургут: Яндекс 5; Google не найдено
лечение растяжек сургут: Яндекс 2; Google не найдено</x:v>
      </x:c>
      <x:c r="I9" s="15" t="str">
        <x:v>https://kozhaclinic.ru/korrektsiya-rastyazhek/</x:v>
      </x:c>
    </x:row>
    <x:row r="10" ht="105" customHeight="1">
      <x:c r="A10" s="14" t="str">
        <x:v>U05</x:v>
      </x:c>
      <x:c r="B10" s="14" t="str">
        <x:v>P1</x:v>
      </x:c>
      <x:c r="C10" s="14" t="str">
        <x:v>Full Face</x:v>
      </x:c>
      <x:c r="D10" s="14" t="str">
        <x:v>Индексация и выбор URL</x:v>
      </x:c>
      <x:c r="E10" s="14" t="str">
        <x:v>Точный URL находится в группе «Обнаружена, не проиндексирована» в отчёте GSC от 12.10; за последние 28 дней у точного URL нет показов. В Google по запросу Full Face ранжируется общий раздел ботулинотерапии, в Яндексе — отдельная страница.</x:v>
      </x:c>
      <x:c r="F10" s="14" t="str">
        <x:v>Проверить URL в Google, доступность, выбор канонического адреса и связи с родительским разделом. Закрепить запросы Full Face за отдельной услугой через содержание и ссылки, сохранив общий раздел для ботулинотерапии. После исправлений контролировать включение в индекс; текст уже развёрнутый.</x:v>
      </x:c>
      <x:c r="G10" s="14" t="str">
        <x:v>Нет: сначала индексация</x:v>
      </x:c>
      <x:c r="H10" s="14" t="str">
        <x:v>ботулинотерапия full face сургут: Яндекс 1; Google 2</x:v>
      </x:c>
      <x:c r="I10" s="16" t="str">
        <x:v>https://kozhaclinic.ru/inekcionnaya-kosmetologiya/botulinoterapiya/full-face/</x:v>
      </x:c>
    </x:row>
    <x:row r="11" ht="105" customHeight="1">
      <x:c r="A11" s="12" t="str">
        <x:v>U06</x:v>
      </x:c>
      <x:c r="B11" s="12" t="str">
        <x:v>P1</x:v>
      </x:c>
      <x:c r="C11" s="12" t="str">
        <x:v>Heleo Pro LED</x:v>
      </x:c>
      <x:c r="D11" s="12" t="str">
        <x:v>Индексация</x:v>
      </x:c>
      <x:c r="E11" s="12" t="str">
        <x:v>Страница есть на сайте и в sitemap, но входит в семь обнаруженных без индексации URL Google. Точная фильтрация GSC за 28 дней показывает отсутствие показов.</x:v>
      </x:c>
      <x:c r="F11" s="12" t="str">
        <x:v>Проверить индексирование и канонический адрес. Усилить ссылки из аппаратной косметологии и страниц проблем, для которых услуга реально предлагается. Проверить разделение LED/фотодинамической терапии и фотоомоложения, затем контролировать собственную посадочную в Google.</x:v>
      </x:c>
      <x:c r="G11" s="12" t="str">
        <x:v>Нет: сначала индексация</x:v>
      </x:c>
      <x:c r="H11" s="12" t="str">
        <x:v>Релевантных запросов в текущем наборе Топвизора не выделено</x:v>
      </x:c>
      <x:c r="I11" s="15" t="str">
        <x:v>https://kozhaclinic.ru/apparatnaya-kosmetologiya/heleo-pro-led/</x:v>
      </x:c>
    </x:row>
    <x:row r="12" ht="105" customHeight="1">
      <x:c r="A12" s="14" t="str">
        <x:v>U07</x:v>
      </x:c>
      <x:c r="B12" s="14" t="str">
        <x:v>P1</x:v>
      </x:c>
      <x:c r="C12" s="14" t="str">
        <x:v>Аппаратное удаление шрама</x:v>
      </x:c>
      <x:c r="D12" s="14" t="str">
        <x:v>Индексация и назначение страниц</x:v>
      </x:c>
      <x:c r="E12" s="14" t="str">
        <x:v>Услуга входит в семь обнаруженных без индексации URL. У неё и страницы /ubrat-shram/ одинаковый H1 «Удаление шрама», но разные тексты. Поисковая конкуренция между ними ещё не доказана.</x:v>
      </x:c>
      <x:c r="F12" s="14" t="str">
        <x:v>Разделить обзор выбора методов и страницу конкретной процедуры. Уточнить описание метода, заголовки, внутренние ссылки и проверить Google-каноникал. Не объединять страницы и не ставить перенаправление только из-за одинакового H1.</x:v>
      </x:c>
      <x:c r="G12" s="14" t="str">
        <x:v>Развести назначение двух страниц</x:v>
      </x:c>
      <x:c r="H12" s="14" t="str">
        <x:v>Релевантных запросов в текущем наборе Топвизора не выделено</x:v>
      </x:c>
      <x:c r="I12" s="16" t="str">
        <x:v>https://kozhaclinic.ru/apparatnaya-kosmetologiya/udalenie-shrama/</x:v>
      </x:c>
    </x:row>
    <x:row r="13" ht="105" customHeight="1">
      <x:c r="A13" s="12" t="str">
        <x:v>U08</x:v>
      </x:c>
      <x:c r="B13" s="12" t="str">
        <x:v>P1</x:v>
      </x:c>
      <x:c r="C13" s="12" t="str">
        <x:v>Жёлтый ретиноевый пилинг</x:v>
      </x:c>
      <x:c r="D13" s="12" t="str">
        <x:v>Индексация</x:v>
      </x:c>
      <x:c r="E13" s="12" t="str">
        <x:v>Действующая услуга есть в обходе и sitemap, но отмечена как обнаруженная без индексации Google в срезе 12.10.</x:v>
      </x:c>
      <x:c r="F13" s="12" t="str">
        <x:v>Проверить URL в Google и индексируемую версию. Усилить отдельную карточку из каталога пилингов и релевантных сравнений; проверить, не занимает ли её запросы общий раздел. После технической диагностики определить необходимость точечной доработки содержания.</x:v>
      </x:c>
      <x:c r="G13" s="12" t="str">
        <x:v>Нет: сначала индексация</x:v>
      </x:c>
      <x:c r="H13" s="12" t="str">
        <x:v>Релевантных запросов в текущем наборе Топвизора не выделено</x:v>
      </x:c>
      <x:c r="I13" s="15" t="str">
        <x:v>https://kozhaclinic.ru/uhodovye-procedury/pilingi/piling-zheltyi-retinoevyi/</x:v>
      </x:c>
    </x:row>
    <x:row r="14" ht="105" customHeight="1">
      <x:c r="A14" s="14" t="str">
        <x:v>U03</x:v>
      </x:c>
      <x:c r="B14" s="14" t="str">
        <x:v>P2</x:v>
      </x:c>
      <x:c r="C14" s="14" t="str">
        <x:v>Микротоковая терапия</x:v>
      </x:c>
      <x:c r="D14" s="14" t="str">
        <x:v>Различия по вариантам запроса</x:v>
      </x:c>
      <x:c r="E14" s="14" t="str">
        <x:v>«Микротоковая терапия сургут» изменился в Google с 2 на «не найдено» в проверке ТОП-10. При этом вариант «для лица сургут» находится на 3 месте, а «микротоки от отеков под глазами сургут» — на 2. Выпадение всей карточки не подтверждается. На странице цена предлагается по запросу.</x:v>
      </x:c>
      <x:c r="F14" s="14" t="str">
        <x:v>Перепроверить основной вариант запроса и выбранный Google URL. Сохранить уже работающие разделы для лица и зоны глаз. Уточнить возможность публикации конкретной цены и состава курса по данным клиники; точечные изменения текста делать только по подтверждённому пробелу.</x:v>
      </x:c>
      <x:c r="G14" s="14" t="str">
        <x:v>Точечно после проверки основного запроса</x:v>
      </x:c>
      <x:c r="H14" s="14" t="str">
        <x:v>микротоковая терапия сургут: Яндекс 2; Google не найдено
микротоковая терапия для лица сургут: Яндекс 2; Google 3
микротоки от отеков под глазами сургут: Яндекс 1; Google 2</x:v>
      </x:c>
      <x:c r="I14" s="16" t="str">
        <x:v>https://kozhaclinic.ru/apparatnaya-kosmetologiya/mikrotokovaya-terapiya/</x:v>
      </x:c>
    </x:row>
    <x:row r="15" ht="105" customHeight="1">
      <x:c r="A15" s="12" t="str">
        <x:v>U09</x:v>
      </x:c>
      <x:c r="B15" s="12" t="str">
        <x:v>P2</x:v>
      </x:c>
      <x:c r="C15" s="12" t="str">
        <x:v>RSL Sculpting</x:v>
      </x:c>
      <x:c r="D15" s="12" t="str">
        <x:v>Недостающее содержание</x:v>
      </x:c>
      <x:c r="E15" s="12" t="str">
        <x:v>На странице около 128 слов, в основном прайс и запись; нет раскрытия процедуры. В выбранном наборе Топвизора запросов RSL нет. В GSC за 28 дней 7 показов и 0 кликов, сами запросы в выгрузке не раскрыты. Это содержательный пробел, а не доказанное падение позиций.</x:v>
      </x:c>
      <x:c r="F15" s="12" t="str">
        <x:v>Создать содержание действующей карточки: задачи процедуры, зоны, проведение, продолжительность, курс, ограничения и цены. Связать с коррекцией фигуры и целлюлитом. Отдельно сформировать запросы для отслеживания; новый URL для самой услуги не нужен.</x:v>
      </x:c>
      <x:c r="G15" s="12" t="str">
        <x:v>Написать полноценный текст существующей услуги</x:v>
      </x:c>
      <x:c r="H15" s="12" t="str">
        <x:v>Релевантных запросов в текущем наборе Топвизора не выделено</x:v>
      </x:c>
      <x:c r="I15" s="15" t="str">
        <x:v>https://kozhaclinic.ru/apparatnaya-kosmetologiya/apparatnyy-massazh-rsl-sculpting-dlya-korrektsii-figuryy/</x:v>
      </x:c>
    </x:row>
    <x:row r="16" ht="105" customHeight="1">
      <x:c r="A16" s="14" t="str">
        <x:v>U10</x:v>
      </x:c>
      <x:c r="B16" s="14" t="str">
        <x:v>P2</x:v>
      </x:c>
      <x:c r="C16" s="14" t="str">
        <x:v>Приём трихолога</x:v>
      </x:c>
      <x:c r="D16" s="14" t="str">
        <x:v>Усиление в Яндексе</x:v>
      </x:c>
      <x:c r="E16" s="14" t="str">
        <x:v>В Яндексе «трихолог сургут» и «платный трихолог сургут» на 16 месте; страница в Вебмастере в среднем на 10,8. В Google целевой запрос на 3 месте, а GSC фиксирует 15 кликов по нему за 28 дней.</x:v>
      </x:c>
      <x:c r="F16" s="14" t="str">
        <x:v>Усилить коммерческий блок приёма, диагностику, состав консультации и выбор специалиста, добавить целевые ссылки из раздела консультаций и выпадения волос. Сохранить содержание, которое уже приводит поисковые переходы в Google.</x:v>
      </x:c>
      <x:c r="G16" s="14" t="str">
        <x:v>Частично: предложение и структура</x:v>
      </x:c>
      <x:c r="H16" s="14" t="str">
        <x:v>трихолог сургут: Яндекс 16; Google 3
платный трихолог сургут: Яндекс 16; Google 3</x:v>
      </x:c>
      <x:c r="I16" s="16" t="str">
        <x:v>https://kozhaclinic.ru/osmotry-i-konsultatsii/konsultatsiya-vracha-trikhologa-s-naznacheniem-plana-protsedur/</x:v>
      </x:c>
    </x:row>
    <x:row r="17" ht="105" customHeight="1">
      <x:c r="A17" s="12" t="str">
        <x:v>U11</x:v>
      </x:c>
      <x:c r="B17" s="12" t="str">
        <x:v>P2</x:v>
      </x:c>
      <x:c r="C17" s="12" t="str">
        <x:v>Коррекция носослёзной борозды</x:v>
      </x:c>
      <x:c r="D17" s="12" t="str">
        <x:v>Цена, предложение и расхождение замеров</x:v>
      </x:c>
      <x:c r="E17" s="12" t="str">
        <x:v>В Топвизоре Google запрос не найден 16.10, но GSC за 28 дней показывает для того же локального запроса среднюю позицию 1 при 4 показах. По запросу цены — 131 показ и средняя позиция 31,35. Прайс на карточке уже есть; отсутствие цены не является причиной, установленной проверкой.</x:v>
      </x:c>
      <x:c r="F17" s="12" t="str">
        <x:v>Перепроверить актуальную выдачу и посадочную. Сопоставить запросы о цене с видимым прайсом, понятностью различий препаратов, объёма и состава процедуры. Развести с другими услугами зоны глаз. Не делать вывод о необходимости полной переписи по одному расхождению источников.</x:v>
      </x:c>
      <x:c r="G17" s="12" t="str">
        <x:v>Частично после перепроверки свежей выдачи</x:v>
      </x:c>
      <x:c r="H17" s="12" t="str">
        <x:v>коррекция носослезной борозды сургут: Яндекс 2; Google не найдено</x:v>
      </x:c>
      <x:c r="I17" s="15" t="str">
        <x:v>https://kozhaclinic.ru/inekcionnaya-kosmetologiya/konturnaya-plastika/korrektsiya-nososleznoy-borozdy/</x:v>
      </x:c>
    </x:row>
    <x:row r="18" ht="105" customHeight="1">
      <x:c r="A18" s="14" t="str">
        <x:v>U12</x:v>
      </x:c>
      <x:c r="B18" s="14" t="str">
        <x:v>P2</x:v>
      </x:c>
      <x:c r="C18" s="14" t="str">
        <x:v>Дерматоскопия</x:v>
      </x:c>
      <x:c r="D18" s="14" t="str">
        <x:v>Семантика диагностической услуги</x:v>
      </x:c>
      <x:c r="E18" s="14" t="str">
        <x:v>Основной запрос в Google на 6 месте, но варианты «проверка родинок», «дерматоскопия новообразований» и «дерматоскопия цена» не найдены в последнем замере. В Яндексе соответствующие позиции 2–6.</x:v>
      </x:c>
      <x:c r="F18" s="14" t="str">
        <x:v>Проверить посадочные и сниппеты по вариантам проверки родинок и стоимости диагностики. На странице уже есть цена 3 000 ₽, этапы, врачи и отличие от удаления/гистологии. Сохранить эти блоки; уточнять тексты ссылок и содержание только там, где найдётся несовпадение с запросом.</x:v>
      </x:c>
      <x:c r="G18" s="14" t="str">
        <x:v>Сначала проверить запросы и выбранные URL</x:v>
      </x:c>
      <x:c r="H18" s="14" t="str">
        <x:v>дерматоскопия сургут: Яндекс 2; Google 6
проверка родинок сургут: Яндекс 2; Google не найдено
дерматоскопия цена сургут: Яндекс 6; Google не найдено</x:v>
      </x:c>
      <x:c r="I18" s="16" t="str">
        <x:v>https://kozhaclinic.ru/osmotry-i-konsultatsii/dermatoskopiya/</x:v>
      </x:c>
    </x:row>
    <x:row r="19" ht="105" customHeight="1">
      <x:c r="A19" s="12" t="str">
        <x:v>U13</x:v>
      </x:c>
      <x:c r="B19" s="12" t="str">
        <x:v>P2</x:v>
      </x:c>
      <x:c r="C19" s="12" t="str">
        <x:v>Липолитики</x:v>
      </x:c>
      <x:c r="D19" s="12" t="str">
        <x:v>Варианты запросов по зонам и препаратам</x:v>
      </x:c>
      <x:c r="E19" s="12" t="str">
        <x:v>Общий запрос «липолитики сургут» в Google на 1 месте. Варианты для лица, тела и подбородка не найдены в последнем замере; отдельные препараты в Яндексе на 11–16 местах.</x:v>
      </x:c>
      <x:c r="F19" s="12" t="str">
        <x:v>На странице уже есть разделы для лица, подбородка и тела, а также сравнение Light Fit/MesoSculpt с ценами. Проверить выдачу и URL по слабым вариантам, затем при необходимости уточнить анкорные ссылки или формулировки. Запрос «липомоделирование лица» проверить на соответствие услуге; отдельные карточки препаратов рассматривать только после подтверждения самостоятельного спроса.</x:v>
      </x:c>
      <x:c r="G19" s="12" t="str">
        <x:v>Сохранить структуру, проверить слабые варианты</x:v>
      </x:c>
      <x:c r="H19" s="12" t="str">
        <x:v>липолитики сургут: Яндекс 6; Google 1
липолитики для лица сургут: Яндекс 3; Google не найдено
mesosculpt c71 сургут: Яндекс 16; Google 2</x:v>
      </x:c>
      <x:c r="I19" s="15" t="str">
        <x:v>https://kozhaclinic.ru/inekcionnaya-kosmetologiya/lipolitiki/</x:v>
      </x:c>
    </x:row>
    <x:row r="20" ht="105" customHeight="1">
      <x:c r="A20" s="14" t="str">
        <x:v>U14</x:v>
      </x:c>
      <x:c r="B20" s="14" t="str">
        <x:v>P2</x:v>
      </x:c>
      <x:c r="C20" s="14" t="str">
        <x:v>Увлажнение губ</x:v>
      </x:c>
      <x:c r="D20" s="14" t="str">
        <x:v>Поисковое описание и намерение пользователя</x:v>
      </x:c>
      <x:c r="E20" s="14" t="str">
        <x:v>За 28 дней 5 316 показов и 22 клика. По «увлажнение губ» средняя позиция 5,28; существенная часть спроса не содержит город. Низкая доля переходов не доказывает слабый текст.</x:v>
      </x:c>
      <x:c r="F20" s="14" t="str">
        <x:v>Развести инъекционную процедуру и бытовой уход за сухими губами, объяснить отличие от увеличения объёма. Сопоставить видимый сниппет с коммерческими запросами и доработать первый ответ, стоимость и условия услуги.</x:v>
      </x:c>
      <x:c r="G20" s="14" t="str">
        <x:v>Точечно: обещание услуги и первый ответ</x:v>
      </x:c>
      <x:c r="H20" s="14" t="str">
        <x:v>Релевантных запросов в текущем наборе Топвизора не выделено</x:v>
      </x:c>
      <x:c r="I20" s="16" t="str">
        <x:v>https://kozhaclinic.ru/inekcionnaya-kosmetologiya/konturnaya-plastika/uvlazhnenie-gub/</x:v>
      </x:c>
    </x:row>
    <x:row r="21" ht="105" customHeight="1">
      <x:c r="A21" s="12" t="str">
        <x:v>U15</x:v>
      </x:c>
      <x:c r="B21" s="12" t="str">
        <x:v>P2</x:v>
      </x:c>
      <x:c r="C21" s="12" t="str">
        <x:v>Коллагенотерапия вокруг глаз</x:v>
      </x:c>
      <x:c r="D21" s="12" t="str">
        <x:v>Показы без переходов</x:v>
      </x:c>
      <x:c r="E21" s="12" t="str">
        <x:v>За 28 дней 4 575 показов и 21 клик. В GSC «коллаген инъекции под глазами» даёт 542 показа при позиции 4,51, а локальный запрос находится в среднем на 3,33.</x:v>
      </x:c>
      <x:c r="F21" s="12" t="str">
        <x:v>Уточнить, какие вопросы приводят показы без переходов, и доработать поисковое описание и первый экран. Понятно раскрыть вариант процедуры, цену и отличия от биоревитализации и MesoEye, сохранив собственный интент каждой услуги.</x:v>
      </x:c>
      <x:c r="G21" s="12" t="str">
        <x:v>Точечно: вопросы и коммерческий ответ</x:v>
      </x:c>
      <x:c r="H21" s="12" t="str">
        <x:v>Релевантных запросов в текущем наборе Топвизора не выделено</x:v>
      </x:c>
      <x:c r="I21" s="15" t="str">
        <x:v>https://kozhaclinic.ru/inekcionnaya-kosmetologiya/kollagenoterapiya/kollagenoterapiya-vokrug-glaz/</x:v>
      </x:c>
    </x:row>
    <x:row r="22" ht="105" customHeight="1">
      <x:c r="A22" s="14" t="str">
        <x:v>U16</x:v>
      </x:c>
      <x:c r="B22" s="14" t="str">
        <x:v>P2</x:v>
      </x:c>
      <x:c r="C22" s="14" t="str">
        <x:v>Биоревитализация шеи и декольте</x:v>
      </x:c>
      <x:c r="D22" s="14" t="str">
        <x:v>Показы без переходов</x:v>
      </x:c>
      <x:c r="E22" s="14" t="str">
        <x:v>За 28 дней 1 351 показ и 0 кликов, средняя позиция страницы 8,7. Варианты «биоревитализация шеи» и «декольте» в среднем на 10,14 и 7,23; локальный запрос по шее — на 5 месте.</x:v>
      </x:c>
      <x:c r="F22" s="14" t="str">
        <x:v>Согласовать содержание с запросами по шее и декольте, показать стоимость и состав процедуры и развести с ботулинотерапией шеи и обзорной страницей омоложения. Проверить поисковые описания на выдаче по локальным коммерческим запросам.</x:v>
      </x:c>
      <x:c r="G22" s="14" t="str">
        <x:v>Частично: структура ответа и предложение</x:v>
      </x:c>
      <x:c r="H22" s="14" t="str">
        <x:v>Релевантных запросов в текущем наборе Топвизора не выделено</x:v>
      </x:c>
      <x:c r="I22" s="16" t="str">
        <x:v>https://kozhaclinic.ru/inekcionnaya-kosmetologiya/omolozhenie-i-pitanie-kozhi/biorevitalizatsiya-shei-i-dekolte/</x:v>
      </x:c>
    </x:row>
    <x:row r="23" ht="105" customHeight="1">
      <x:c r="A23" s="12" t="str">
        <x:v>U17</x:v>
      </x:c>
      <x:c r="B23" s="12" t="str">
        <x:v>P2</x:v>
      </x:c>
      <x:c r="C23" s="12" t="str">
        <x:v>Morpheus 8</x:v>
      </x:c>
      <x:c r="D23" s="12" t="str">
        <x:v>Брендовые запросы и зоны</x:v>
      </x:c>
      <x:c r="E23" s="12" t="str">
        <x:v>Локальные RF-запросы часто находятся в топе, но в GSC брендовые запросы без города имеют средние позиции 22–25. Общая средняя позиция страницы 19,84 не равна позиции в Сургуте.</x:v>
      </x:c>
      <x:c r="F23" s="12" t="str">
        <x:v>Упорядочить написания Morpheus/Морфеус и RF/РФ, раскрыть зоны лица и тела и соответствующие цены. Проверить интент брендовых запросов и локальность выдачи; общую переработку работающей услуги не делать только из-за средней позиции.</x:v>
      </x:c>
      <x:c r="G23" s="12" t="str">
        <x:v>Расширить отдельные разделы</x:v>
      </x:c>
      <x:c r="H23" s="12" t="str">
        <x:v>микроигольчатый рф лифтинг сургут: Яндекс 6; Google 4</x:v>
      </x:c>
      <x:c r="I23" s="15" t="str">
        <x:v>https://kozhaclinic.ru/apparatnaya-kosmetologiya/igolchatyy-rf-lifting-na-morpheus-8/</x:v>
      </x:c>
    </x:row>
    <x:row r="24" ht="105" customHeight="1">
      <x:c r="A24" s="14" t="str">
        <x:v>U18</x:v>
      </x:c>
      <x:c r="B24" s="14" t="str">
        <x:v>P2</x:v>
      </x:c>
      <x:c r="C24" s="14" t="str">
        <x:v>Лечение гипергидроза</x:v>
      </x:c>
      <x:c r="D24" s="14" t="str">
        <x:v>Структура услуги по зонам</x:v>
      </x:c>
      <x:c r="E24" s="14" t="str">
        <x:v>Средняя позиция страницы в GSC 23,08, но локальные запросы лечения и ботокса подмышек находятся около 6. По общему запросу «лечение гипергидроза ботоксом» — 151 показ при позиции 18,77.</x:v>
      </x:c>
      <x:c r="F24" s="14" t="str">
        <x:v>Проверить фактическое распределение запросов между общей страницей, подмышками, ладонями, стопами и обзором потоотделения. Каталог трёх зон, ссылки и цены за единицу уже существуют. Сохранить их и корректировать содержание или связи только при подтверждённой подмене посадочной либо несовпадении с запросом.</x:v>
      </x:c>
      <x:c r="G24" s="14" t="str">
        <x:v>Частично: общая страница и дочерние зоны</x:v>
      </x:c>
      <x:c r="H24" s="14" t="str">
        <x:v>Релевантных запросов в текущем наборе Топвизора не выделено</x:v>
      </x:c>
      <x:c r="I24" s="16" t="str">
        <x:v>https://kozhaclinic.ru/inekcionnaya-kosmetologiya/lechenie-gipergidroza/</x:v>
      </x:c>
    </x:row>
    <x:row r="25" ht="105" customHeight="1">
      <x:c r="A25" s="12" t="str">
        <x:v>U19</x:v>
      </x:c>
      <x:c r="B25" s="12" t="str">
        <x:v>P2</x:v>
      </x:c>
      <x:c r="C25" s="12" t="str">
        <x:v>Миграция филлера</x:v>
      </x:c>
      <x:c r="D25" s="12" t="str">
        <x:v>Информационный вход и связь с услугой</x:v>
      </x:c>
      <x:c r="E25" s="12" t="str">
        <x:v>За 28 дней Google дал 2 353 показа и 6 кликов. В Яндексе за сентябрь у страницы 3 807 показов и 69 кликов. Основные запросы информационные, большинство без города.</x:v>
      </x:c>
      <x:c r="F25" s="12" t="str">
        <x:v>Ссылка на услугу выведения филлера с ценой от 5 000 ₽ уже есть в основном содержимом. Оценить её заметность относительно первого ответа и локального коммерческого запроса, при необходимости изменить размещение или формулировку. Проверять локальные переходы отдельно; низкий общий CTR не является основанием полной переписи.</x:v>
      </x:c>
      <x:c r="G25" s="12" t="str">
        <x:v>Точечно: ответ и переход к услуге</x:v>
      </x:c>
      <x:c r="H25" s="12" t="str">
        <x:v>Релевантных запросов в текущем наборе Топвизора не выделено</x:v>
      </x:c>
      <x:c r="I25" s="15" t="str">
        <x:v>https://kozhaclinic.ru/migratsiya-gelya-iz-gub/</x:v>
      </x:c>
    </x:row>
    <x:row r="26" ht="105" customHeight="1">
      <x:c r="A26" s="14" t="str">
        <x:v>U20</x:v>
      </x:c>
      <x:c r="B26" s="14" t="str">
        <x:v>P3</x:v>
      </x:c>
      <x:c r="C26" s="14" t="str">
        <x:v>PRX-T33</x:v>
      </x:c>
      <x:c r="D26" s="14" t="str">
        <x:v>Проверка запроса и замера</x:v>
      </x:c>
      <x:c r="E26" s="14" t="str">
        <x:v>В Яндексе не найден единственный отслеживаемый вариант «пилинг prxt33 сургут», но Google показывает позицию 2. В GSC варианты PRX-T33 с городом имеют средние позиции 1,33–2,67.</x:v>
      </x:c>
      <x:c r="F26" s="14" t="str">
        <x:v>Проверить написания PRX-T33/PRXT33 и актуальную выдачу Яндекса, затем ссылки из каталога пилингов. Полностью переписывать работающую страницу по одному отсутствующему варианту запроса не требуется.</x:v>
      </x:c>
      <x:c r="G26" s="14" t="str">
        <x:v>Нет оснований для полной переписи</x:v>
      </x:c>
      <x:c r="H26" s="14" t="str">
        <x:v>пилинг prxt33 сургут: Яндекс не найдено; Google 2</x:v>
      </x:c>
      <x:c r="I26" s="16" t="str">
        <x:v>https://kozhaclinic.ru/uhodovye-procedury/pilingi/piling-prx-t33/</x:v>
      </x:c>
    </x:row>
  </x:sheetData>
  <x:conditionalFormatting sqref="B7:B26">
    <x:cfRule type="containsText" dxfId="2" priority="1" operator="containsText" text="P1"/>
    <x:cfRule type="containsText" dxfId="3" priority="2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1e06bf1e0a2749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.5" hidden="0" customWidth="1"/>
    <x:col min="2" max="2" width="67.5" hidden="0" customWidth="1"/>
    <x:col min="3" max="3" width="12.5" hidden="0" customWidth="1"/>
    <x:col min="4" max="4" width="13.75" hidden="0" customWidth="1"/>
    <x:col min="5" max="5" width="13.75" hidden="0" customWidth="1"/>
    <x:col min="6" max="6" width="12.5" hidden="0" customWidth="1"/>
    <x:col min="7" max="7" width="13.75" hidden="0" customWidth="1"/>
    <x:col min="8" max="8" width="12.5" hidden="0" customWidth="1"/>
    <x:col min="9" max="9" width="14.380000114440918" hidden="0" customWidth="1"/>
    <x:col min="10" max="10" width="12.5" hidden="0" customWidth="1"/>
    <x:col min="11" max="11" width="13.75" hidden="0" customWidth="1"/>
    <x:col min="12" max="12" width="12.5" hidden="0" customWidth="1"/>
    <x:col min="13" max="13" width="14.380000114440918" hidden="0" customWidth="1"/>
    <x:col min="14" max="14" width="45" hidden="0" customWidth="1"/>
    <x:col min="15" max="15" width="37.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Показатели страниц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Google: все страны и устройства. Яндекс.Вебмастер: все регионы и устройства. Периоды указаны в заголовках.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4" t="str">
        <x:v>Пусто — нет строки/нет доступного показателя. Нулевые показы записаны только при явном подтверждении источником. URL с параметрами не объединялись.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8" customHeight="1">
      <x:c r="A6" s="10" t="str">
        <x:v>Страница</x:v>
      </x:c>
      <x:c r="B6" s="10" t="str">
        <x:v>URL</x:v>
      </x:c>
      <x:c r="C6" s="10" t="str">
        <x:v>Google клики
15.07–14.10</x:v>
      </x:c>
      <x:c r="D6" s="10" t="str">
        <x:v>Google показы
15.07–14.10</x:v>
      </x:c>
      <x:c r="E6" s="10" t="str">
        <x:v>Google ср. позиция
15.07–14.10</x:v>
      </x:c>
      <x:c r="F6" s="10" t="str">
        <x:v>Google клики
17.09–14.10</x:v>
      </x:c>
      <x:c r="G6" s="10" t="str">
        <x:v>Google показы
17.09–14.10</x:v>
      </x:c>
      <x:c r="H6" s="10" t="str">
        <x:v>Google CTR
17.09–14.10</x:v>
      </x:c>
      <x:c r="I6" s="10" t="str">
        <x:v>Google ср. позиция
17.09–14.10</x:v>
      </x:c>
      <x:c r="J6" s="10" t="str">
        <x:v>Яндекс клики
сентябрь</x:v>
      </x:c>
      <x:c r="K6" s="10" t="str">
        <x:v>Яндекс показы
сентябрь</x:v>
      </x:c>
      <x:c r="L6" s="10" t="str">
        <x:v>Яндекс CTR
сентябрь</x:v>
      </x:c>
      <x:c r="M6" s="10" t="str">
        <x:v>Яндекс ср. позиция
сентябрь</x:v>
      </x:c>
      <x:c r="N6" s="10" t="str">
        <x:v>Индексация Google
срез 12.10</x:v>
      </x:c>
      <x:c r="O6" s="10" t="str">
        <x:v>Наличие данных Google</x:v>
      </x:c>
    </x:row>
    <x:row r="7" ht="52" customHeight="1">
      <x:c r="A7" s="12" t="str">
        <x:v>Клиника косметологии «Кожа»</x:v>
      </x:c>
      <x:c r="B7" s="15" t="str">
        <x:v>https://kozhaclinic.ru/</x:v>
      </x:c>
      <x:c r="C7" s="20" t="n">
        <x:v>640</x:v>
      </x:c>
      <x:c r="D7" s="20" t="n">
        <x:v>5525</x:v>
      </x:c>
      <x:c r="E7" s="22" t="n">
        <x:v>8.28</x:v>
      </x:c>
      <x:c r="F7" s="20" t="n">
        <x:v>178</x:v>
      </x:c>
      <x:c r="G7" s="20" t="n">
        <x:v>1865</x:v>
      </x:c>
      <x:c r="H7" s="24" t="n">
        <x:f>IF(AND(ISNUMBER(F7),ISNUMBER(G7),G7&gt;0),F7/G7,"")</x:f>
        <x:v>0.09544235924932976</x:v>
      </x:c>
      <x:c r="I7" s="22" t="n">
        <x:v>7.77</x:v>
      </x:c>
      <x:c r="J7" s="20" t="n">
        <x:v>142</x:v>
      </x:c>
      <x:c r="K7" s="20" t="n">
        <x:v>1780</x:v>
      </x:c>
      <x:c r="L7" s="24" t="n">
        <x:f>IF(AND(ISNUMBER(J7),ISNUMBER(K7),K7&gt;0),J7/K7,"")</x:f>
        <x:v>0.07977528089887641</x:v>
      </x:c>
      <x:c r="M7" s="22" t="n">
        <x:v>7.5</x:v>
      </x:c>
      <x:c r="N7" s="12" t="str">
        <x:v>Не входит в 7 примеров исключения; индивидуальный статус не проверялся</x:v>
      </x:c>
      <x:c r="O7" s="12" t="str">
        <x:v>Выгрузка страниц</x:v>
      </x:c>
    </x:row>
    <x:row r="8" ht="52" customHeight="1">
      <x:c r="A8" s="14" t="str">
        <x:v>Акции</x:v>
      </x:c>
      <x:c r="B8" s="16" t="str">
        <x:v>https://kozhaclinic.ru/akcii/</x:v>
      </x:c>
      <x:c r="C8" s="21" t="n">
        <x:v>7</x:v>
      </x:c>
      <x:c r="D8" s="21" t="n">
        <x:v>81</x:v>
      </x:c>
      <x:c r="E8" s="23" t="n">
        <x:v>6.91</x:v>
      </x:c>
      <x:c r="F8" s="21" t="n">
        <x:v>1</x:v>
      </x:c>
      <x:c r="G8" s="21" t="n">
        <x:v>10</x:v>
      </x:c>
      <x:c r="H8" s="25" t="n">
        <x:f>IF(AND(ISNUMBER(F8),ISNUMBER(G8),G8&gt;0),F8/G8,"")</x:f>
        <x:v>0.1</x:v>
      </x:c>
      <x:c r="I8" s="23" t="n">
        <x:v>3.5</x:v>
      </x:c>
      <x:c r="J8" s="21" t="n">
        <x:v>1</x:v>
      </x:c>
      <x:c r="K8" s="21" t="n">
        <x:v>51</x:v>
      </x:c>
      <x:c r="L8" s="25" t="n">
        <x:f>IF(AND(ISNUMBER(J8),ISNUMBER(K8),K8&gt;0),J8/K8,"")</x:f>
        <x:v>0.0196078431372549</x:v>
      </x:c>
      <x:c r="M8" s="23" t="n">
        <x:v>6.7</x:v>
      </x:c>
      <x:c r="N8" s="14" t="str">
        <x:v>Не входит в 7 примеров исключения; индивидуальный статус не проверялся</x:v>
      </x:c>
      <x:c r="O8" s="14" t="str">
        <x:v>Выгрузка страниц</x:v>
      </x:c>
    </x:row>
    <x:row r="9" ht="52" customHeight="1">
      <x:c r="A9" s="12" t="str">
        <x:v>Аппаратная косметология</x:v>
      </x:c>
      <x:c r="B9" s="15" t="str">
        <x:v>https://kozhaclinic.ru/apparatnaya-kosmetologiya/</x:v>
      </x:c>
      <x:c r="C9" s="20" t="n">
        <x:v>11</x:v>
      </x:c>
      <x:c r="D9" s="20" t="n">
        <x:v>942</x:v>
      </x:c>
      <x:c r="E9" s="22" t="n">
        <x:v>5.44</x:v>
      </x:c>
      <x:c r="F9" s="20" t="n">
        <x:v>2</x:v>
      </x:c>
      <x:c r="G9" s="20" t="n">
        <x:v>290</x:v>
      </x:c>
      <x:c r="H9" s="24" t="n">
        <x:f>IF(AND(ISNUMBER(F9),ISNUMBER(G9),G9&gt;0),F9/G9,"")</x:f>
        <x:v>0.006896551724137931</x:v>
      </x:c>
      <x:c r="I9" s="22" t="n">
        <x:v>4.95</x:v>
      </x:c>
      <x:c r="J9" s="20" t="n">
        <x:v>1</x:v>
      </x:c>
      <x:c r="K9" s="20" t="n">
        <x:v>26</x:v>
      </x:c>
      <x:c r="L9" s="24" t="n">
        <x:f>IF(AND(ISNUMBER(J9),ISNUMBER(K9),K9&gt;0),J9/K9,"")</x:f>
        <x:v>0.038461538461538464</x:v>
      </x:c>
      <x:c r="M9" s="22" t="n">
        <x:v>7.4</x:v>
      </x:c>
      <x:c r="N9" s="12" t="str">
        <x:v>Не входит в 7 примеров исключения; индивидуальный статус не проверялся</x:v>
      </x:c>
      <x:c r="O9" s="12" t="str">
        <x:v>Выгрузка страниц</x:v>
      </x:c>
    </x:row>
    <x:row r="10" ht="52" customHeight="1">
      <x:c r="A10" s="14" t="str">
        <x:v>Аппаратный массаж RSL Sculpting для коррекции фигуры</x:v>
      </x:c>
      <x:c r="B10" s="16" t="str">
        <x:v>https://kozhaclinic.ru/apparatnaya-kosmetologiya/apparatnyy-massazh-rsl-sculpting-dlya-korrektsii-figuryy/</x:v>
      </x:c>
      <x:c r="C10" s="21" t="n">
        <x:v>1</x:v>
      </x:c>
      <x:c r="D10" s="21" t="n">
        <x:v>17</x:v>
      </x:c>
      <x:c r="E10" s="23" t="n">
        <x:v>16.65</x:v>
      </x:c>
      <x:c r="F10" s="21" t="n">
        <x:v>0</x:v>
      </x:c>
      <x:c r="G10" s="21" t="n">
        <x:v>7</x:v>
      </x:c>
      <x:c r="H10" s="25" t="n">
        <x:f>IF(AND(ISNUMBER(F10),ISNUMBER(G10),G10&gt;0),F10/G10,"")</x:f>
        <x:v>0</x:v>
      </x:c>
      <x:c r="I10" s="23" t="n">
        <x:v>16.14</x:v>
      </x:c>
      <x:c r="J10" s="21" t="n">
        <x:v>0</x:v>
      </x:c>
      <x:c r="K10" s="21" t="n">
        <x:v>7</x:v>
      </x:c>
      <x:c r="L10" s="25" t="n">
        <x:f>IF(AND(ISNUMBER(J10),ISNUMBER(K10),K10&gt;0),J10/K10,"")</x:f>
        <x:v>0</x:v>
      </x:c>
      <x:c r="M10" s="23" t="n">
        <x:v>10.8</x:v>
      </x:c>
      <x:c r="N10" s="14" t="str">
        <x:v>Не входит в 7 примеров исключения; индивидуальный статус не проверялся</x:v>
      </x:c>
      <x:c r="O10" s="14" t="str">
        <x:v>Выгрузка страниц</x:v>
      </x:c>
    </x:row>
    <x:row r="11" ht="52" customHeight="1">
      <x:c r="A11" s="12" t="str">
        <x:v>Фотоомоложение Inmode</x:v>
      </x:c>
      <x:c r="B11" s="15" t="str">
        <x:v>https://kozhaclinic.ru/apparatnaya-kosmetologiya/fotoomolozhenie-inmode/</x:v>
      </x:c>
      <x:c r="C11" s="20" t="n">
        <x:v>47</x:v>
      </x:c>
      <x:c r="D11" s="20" t="n">
        <x:v>658</x:v>
      </x:c>
      <x:c r="E11" s="22" t="n">
        <x:v>14.4</x:v>
      </x:c>
      <x:c r="F11" s="20" t="n">
        <x:v>20</x:v>
      </x:c>
      <x:c r="G11" s="20" t="n">
        <x:v>242</x:v>
      </x:c>
      <x:c r="H11" s="24" t="n">
        <x:f>IF(AND(ISNUMBER(F11),ISNUMBER(G11),G11&gt;0),F11/G11,"")</x:f>
        <x:v>0.08264462809917356</x:v>
      </x:c>
      <x:c r="I11" s="22" t="n">
        <x:v>12.42</x:v>
      </x:c>
      <x:c r="J11" s="20" t="n">
        <x:v>15</x:v>
      </x:c>
      <x:c r="K11" s="20" t="n">
        <x:v>219</x:v>
      </x:c>
      <x:c r="L11" s="24" t="n">
        <x:f>IF(AND(ISNUMBER(J11),ISNUMBER(K11),K11&gt;0),J11/K11,"")</x:f>
        <x:v>0.0684931506849315</x:v>
      </x:c>
      <x:c r="M11" s="22" t="n">
        <x:v>6.3</x:v>
      </x:c>
      <x:c r="N11" s="12" t="str">
        <x:v>Не входит в 7 примеров исключения; индивидуальный статус не проверялся</x:v>
      </x:c>
      <x:c r="O11" s="12" t="str">
        <x:v>Выгрузка страниц</x:v>
      </x:c>
    </x:row>
    <x:row r="12" ht="52" customHeight="1">
      <x:c r="A12" s="14" t="str">
        <x:v>HELEO PRO LED — фотодинамическая терапия и фотобиомодуляция</x:v>
      </x:c>
      <x:c r="B12" s="16" t="str">
        <x:v>https://kozhaclinic.ru/apparatnaya-kosmetologiya/heleo-pro-led/</x:v>
      </x:c>
      <x:c r="C12" s="21"/>
      <x:c r="D12" s="21"/>
      <x:c r="E12" s="23"/>
      <x:c r="F12" s="21" t="n">
        <x:v>0</x:v>
      </x:c>
      <x:c r="G12" s="21" t="n">
        <x:v>0</x:v>
      </x:c>
      <x:c r="H12" s="25" t="str">
        <x:f>IF(AND(ISNUMBER(F12),ISNUMBER(G12),G12&gt;0),F12/G12,"")</x:f>
      </x:c>
      <x:c r="I12" s="23"/>
      <x:c r="J12" s="21" t="n">
        <x:v>4</x:v>
      </x:c>
      <x:c r="K12" s="21" t="n">
        <x:v>85</x:v>
      </x:c>
      <x:c r="L12" s="25" t="n">
        <x:f>IF(AND(ISNUMBER(J12),ISNUMBER(K12),K12&gt;0),J12/K12,"")</x:f>
        <x:v>0.047058823529411764</x:v>
      </x:c>
      <x:c r="M12" s="23" t="n">
        <x:v>7.1</x:v>
      </x:c>
      <x:c r="N12" s="14" t="str">
        <x:v>Обнаружена, не проиндексирована (отчёт 12.10)</x:v>
      </x:c>
      <x:c r="O12" s="14" t="str">
        <x:v>Точная фильтрация URL: показов нет</x:v>
      </x:c>
    </x:row>
    <x:row r="13" ht="52" customHeight="1">
      <x:c r="A13" s="12" t="str">
        <x:v>Игольчатый RF-лифтинг на Morpheus 8</x:v>
      </x:c>
      <x:c r="B13" s="15" t="str">
        <x:v>https://kozhaclinic.ru/apparatnaya-kosmetologiya/igolchatyy-rf-lifting-na-morpheus-8/</x:v>
      </x:c>
      <x:c r="C13" s="20" t="n">
        <x:v>50</x:v>
      </x:c>
      <x:c r="D13" s="20" t="n">
        <x:v>1291</x:v>
      </x:c>
      <x:c r="E13" s="22" t="n">
        <x:v>13.82</x:v>
      </x:c>
      <x:c r="F13" s="20" t="n">
        <x:v>14</x:v>
      </x:c>
      <x:c r="G13" s="20" t="n">
        <x:v>668</x:v>
      </x:c>
      <x:c r="H13" s="24" t="n">
        <x:f>IF(AND(ISNUMBER(F13),ISNUMBER(G13),G13&gt;0),F13/G13,"")</x:f>
        <x:v>0.020958083832335328</x:v>
      </x:c>
      <x:c r="I13" s="22" t="n">
        <x:v>19.84</x:v>
      </x:c>
      <x:c r="J13" s="20" t="n">
        <x:v>4</x:v>
      </x:c>
      <x:c r="K13" s="20" t="n">
        <x:v>249</x:v>
      </x:c>
      <x:c r="L13" s="24" t="n">
        <x:f>IF(AND(ISNUMBER(J13),ISNUMBER(K13),K13&gt;0),J13/K13,"")</x:f>
        <x:v>0.01606425702811245</x:v>
      </x:c>
      <x:c r="M13" s="22" t="n">
        <x:v>7</x:v>
      </x:c>
      <x:c r="N13" s="12" t="str">
        <x:v>Не входит в 7 примеров исключения; индивидуальный статус не проверялся</x:v>
      </x:c>
      <x:c r="O13" s="12" t="str">
        <x:v>Выгрузка страниц</x:v>
      </x:c>
    </x:row>
    <x:row r="14" ht="52" customHeight="1">
      <x:c r="A14" s="14" t="str">
        <x:v>Микротоковая терапия</x:v>
      </x:c>
      <x:c r="B14" s="16" t="str">
        <x:v>https://kozhaclinic.ru/apparatnaya-kosmetologiya/mikrotokovaya-terapiya/</x:v>
      </x:c>
      <x:c r="C14" s="21" t="n">
        <x:v>10</x:v>
      </x:c>
      <x:c r="D14" s="21" t="n">
        <x:v>204</x:v>
      </x:c>
      <x:c r="E14" s="23" t="n">
        <x:v>9.64</x:v>
      </x:c>
      <x:c r="F14" s="21" t="n">
        <x:v>5</x:v>
      </x:c>
      <x:c r="G14" s="21" t="n">
        <x:v>56</x:v>
      </x:c>
      <x:c r="H14" s="25" t="n">
        <x:f>IF(AND(ISNUMBER(F14),ISNUMBER(G14),G14&gt;0),F14/G14,"")</x:f>
        <x:v>0.08928571428571429</x:v>
      </x:c>
      <x:c r="I14" s="23" t="n">
        <x:v>10.64</x:v>
      </x:c>
      <x:c r="J14" s="21" t="n">
        <x:v>1</x:v>
      </x:c>
      <x:c r="K14" s="21" t="n">
        <x:v>26</x:v>
      </x:c>
      <x:c r="L14" s="25" t="n">
        <x:f>IF(AND(ISNUMBER(J14),ISNUMBER(K14),K14&gt;0),J14/K14,"")</x:f>
        <x:v>0.038461538461538464</x:v>
      </x:c>
      <x:c r="M14" s="23" t="n">
        <x:v>6.1</x:v>
      </x:c>
      <x:c r="N14" s="14" t="str">
        <x:v>Не входит в 7 примеров исключения; индивидуальный статус не проверялся</x:v>
      </x:c>
      <x:c r="O14" s="14" t="str">
        <x:v>Выгрузка страниц</x:v>
      </x:c>
    </x:row>
    <x:row r="15" ht="52" customHeight="1">
      <x:c r="A15" s="12" t="str">
        <x:v>Удаление новообразований</x:v>
      </x:c>
      <x:c r="B15" s="15" t="str">
        <x:v>https://kozhaclinic.ru/apparatnaya-kosmetologiya/udalenie-novoobrazovaniy/</x:v>
      </x:c>
      <x:c r="C15" s="20" t="n">
        <x:v>26</x:v>
      </x:c>
      <x:c r="D15" s="20" t="n">
        <x:v>633</x:v>
      </x:c>
      <x:c r="E15" s="22" t="n">
        <x:v>8.84</x:v>
      </x:c>
      <x:c r="F15" s="20" t="n">
        <x:v>6</x:v>
      </x:c>
      <x:c r="G15" s="20" t="n">
        <x:v>163</x:v>
      </x:c>
      <x:c r="H15" s="24" t="n">
        <x:f>IF(AND(ISNUMBER(F15),ISNUMBER(G15),G15&gt;0),F15/G15,"")</x:f>
        <x:v>0.03680981595092025</x:v>
      </x:c>
      <x:c r="I15" s="22" t="n">
        <x:v>9.04</x:v>
      </x:c>
      <x:c r="J15" s="20" t="n">
        <x:v>9</x:v>
      </x:c>
      <x:c r="K15" s="20" t="n">
        <x:v>194</x:v>
      </x:c>
      <x:c r="L15" s="24" t="n">
        <x:f>IF(AND(ISNUMBER(J15),ISNUMBER(K15),K15&gt;0),J15/K15,"")</x:f>
        <x:v>0.04639175257731959</x:v>
      </x:c>
      <x:c r="M15" s="22" t="n">
        <x:v>6.3</x:v>
      </x:c>
      <x:c r="N15" s="12" t="str">
        <x:v>Не входит в 7 примеров исключения; индивидуальный статус не проверялся</x:v>
      </x:c>
      <x:c r="O15" s="12" t="str">
        <x:v>Выгрузка страниц</x:v>
      </x:c>
    </x:row>
    <x:row r="16" ht="52" customHeight="1">
      <x:c r="A16" s="14" t="str">
        <x:v>Удаление шрама</x:v>
      </x:c>
      <x:c r="B16" s="16" t="str">
        <x:v>https://kozhaclinic.ru/apparatnaya-kosmetologiya/udalenie-shrama/</x:v>
      </x:c>
      <x:c r="C16" s="21"/>
      <x:c r="D16" s="21"/>
      <x:c r="E16" s="23"/>
      <x:c r="F16" s="21"/>
      <x:c r="G16" s="21"/>
      <x:c r="H16" s="25" t="str">
        <x:f>IF(AND(ISNUMBER(F16),ISNUMBER(G16),G16&gt;0),F16/G16,"")</x:f>
      </x:c>
      <x:c r="I16" s="23"/>
      <x:c r="J16" s="21" t="n">
        <x:v>0</x:v>
      </x:c>
      <x:c r="K16" s="21" t="n">
        <x:v>14</x:v>
      </x:c>
      <x:c r="L16" s="25" t="n">
        <x:f>IF(AND(ISNUMBER(J16),ISNUMBER(K16),K16&gt;0),J16/K16,"")</x:f>
        <x:v>0</x:v>
      </x:c>
      <x:c r="M16" s="23" t="n">
        <x:v>7.4</x:v>
      </x:c>
      <x:c r="N16" s="14" t="str">
        <x:v>Обнаружена, не проиндексирована (отчёт 12.10)</x:v>
      </x:c>
      <x:c r="O16" s="14" t="str">
        <x:v>Нет строки в выгрузке, не заменено нулём</x:v>
      </x:c>
    </x:row>
    <x:row r="17" ht="52" customHeight="1">
      <x:c r="A17" s="12" t="str">
        <x:v>Устранение гиперпигментации Inmode</x:v>
      </x:c>
      <x:c r="B17" s="15" t="str">
        <x:v>https://kozhaclinic.ru/apparatnaya-kosmetologiya/ustranenie-giperpigmentatsii-inmode/</x:v>
      </x:c>
      <x:c r="C17" s="20" t="n">
        <x:v>3</x:v>
      </x:c>
      <x:c r="D17" s="20" t="n">
        <x:v>178</x:v>
      </x:c>
      <x:c r="E17" s="22" t="n">
        <x:v>11.94</x:v>
      </x:c>
      <x:c r="F17" s="20" t="n">
        <x:v>2</x:v>
      </x:c>
      <x:c r="G17" s="20" t="n">
        <x:v>81</x:v>
      </x:c>
      <x:c r="H17" s="24" t="n">
        <x:f>IF(AND(ISNUMBER(F17),ISNUMBER(G17),G17&gt;0),F17/G17,"")</x:f>
        <x:v>0.024691358024691357</x:v>
      </x:c>
      <x:c r="I17" s="22" t="n">
        <x:v>13.46</x:v>
      </x:c>
      <x:c r="J17" s="20" t="n">
        <x:v>1</x:v>
      </x:c>
      <x:c r="K17" s="20" t="n">
        <x:v>10</x:v>
      </x:c>
      <x:c r="L17" s="24" t="n">
        <x:f>IF(AND(ISNUMBER(J17),ISNUMBER(K17),K17&gt;0),J17/K17,"")</x:f>
        <x:v>0.1</x:v>
      </x:c>
      <x:c r="M17" s="22" t="n">
        <x:v>8.2</x:v>
      </x:c>
      <x:c r="N17" s="12" t="str">
        <x:v>Не входит в 7 примеров исключения; индивидуальный статус не проверялся</x:v>
      </x:c>
      <x:c r="O17" s="12" t="str">
        <x:v>Выгрузка страниц</x:v>
      </x:c>
    </x:row>
    <x:row r="18" ht="52" customHeight="1">
      <x:c r="A18" s="14" t="str">
        <x:v>Удаление сосудистых звёздочек и купероза</x:v>
      </x:c>
      <x:c r="B18" s="16" t="str">
        <x:v>https://kozhaclinic.ru/apparatnaya-kosmetologiya/ustranenie-sosudistykh-zvyezdochek-kuperoz/</x:v>
      </x:c>
      <x:c r="C18" s="21" t="n">
        <x:v>28</x:v>
      </x:c>
      <x:c r="D18" s="21" t="n">
        <x:v>1150</x:v>
      </x:c>
      <x:c r="E18" s="23" t="n">
        <x:v>14.58</x:v>
      </x:c>
      <x:c r="F18" s="21" t="n">
        <x:v>6</x:v>
      </x:c>
      <x:c r="G18" s="21" t="n">
        <x:v>283</x:v>
      </x:c>
      <x:c r="H18" s="25" t="n">
        <x:f>IF(AND(ISNUMBER(F18),ISNUMBER(G18),G18&gt;0),F18/G18,"")</x:f>
        <x:v>0.02120141342756184</x:v>
      </x:c>
      <x:c r="I18" s="23" t="n">
        <x:v>14.07</x:v>
      </x:c>
      <x:c r="J18" s="21" t="n">
        <x:v>0</x:v>
      </x:c>
      <x:c r="K18" s="21" t="n">
        <x:v>60</x:v>
      </x:c>
      <x:c r="L18" s="25" t="n">
        <x:f>IF(AND(ISNUMBER(J18),ISNUMBER(K18),K18&gt;0),J18/K18,"")</x:f>
        <x:v>0</x:v>
      </x:c>
      <x:c r="M18" s="23" t="n">
        <x:v>7.5</x:v>
      </x:c>
      <x:c r="N18" s="14" t="str">
        <x:v>Не входит в 7 примеров исключения; индивидуальный статус не проверялся</x:v>
      </x:c>
      <x:c r="O18" s="14" t="str">
        <x:v>Выгрузка страниц</x:v>
      </x:c>
    </x:row>
    <x:row r="19" ht="52" customHeight="1">
      <x:c r="A19" s="12" t="str">
        <x:v>Прайс-лист</x:v>
      </x:c>
      <x:c r="B19" s="15" t="str">
        <x:v>https://kozhaclinic.ru/ceny-prajs-list/</x:v>
      </x:c>
      <x:c r="C19" s="20" t="n">
        <x:v>120</x:v>
      </x:c>
      <x:c r="D19" s="20" t="n">
        <x:v>1340</x:v>
      </x:c>
      <x:c r="E19" s="22" t="n">
        <x:v>5.93</x:v>
      </x:c>
      <x:c r="F19" s="20" t="n">
        <x:v>36</x:v>
      </x:c>
      <x:c r="G19" s="20" t="n">
        <x:v>443</x:v>
      </x:c>
      <x:c r="H19" s="24" t="n">
        <x:f>IF(AND(ISNUMBER(F19),ISNUMBER(G19),G19&gt;0),F19/G19,"")</x:f>
        <x:v>0.08126410835214447</x:v>
      </x:c>
      <x:c r="I19" s="22" t="n">
        <x:v>5.51</x:v>
      </x:c>
      <x:c r="J19" s="20" t="n">
        <x:v>7</x:v>
      </x:c>
      <x:c r="K19" s="20" t="n">
        <x:v>214</x:v>
      </x:c>
      <x:c r="L19" s="24" t="n">
        <x:f>IF(AND(ISNUMBER(J19),ISNUMBER(K19),K19&gt;0),J19/K19,"")</x:f>
        <x:v>0.03271028037383177</x:v>
      </x:c>
      <x:c r="M19" s="22" t="n">
        <x:v>7.6</x:v>
      </x:c>
      <x:c r="N19" s="12" t="str">
        <x:v>Не входит в 7 примеров исключения; индивидуальный статус не проверялся</x:v>
      </x:c>
      <x:c r="O19" s="12" t="str">
        <x:v>Выгрузка страниц</x:v>
      </x:c>
    </x:row>
    <x:row r="20" ht="52" customHeight="1">
      <x:c r="A20" s="14" t="str">
        <x:v>Гладкость и сияние кожи</x:v>
      </x:c>
      <x:c r="B20" s="16" t="str">
        <x:v>https://kozhaclinic.ru/gladkost-i-siyanie-kozhi/</x:v>
      </x:c>
      <x:c r="C20" s="21" t="n">
        <x:v>0</x:v>
      </x:c>
      <x:c r="D20" s="21" t="n">
        <x:v>261</x:v>
      </x:c>
      <x:c r="E20" s="23" t="n">
        <x:v>6.53</x:v>
      </x:c>
      <x:c r="F20" s="21" t="n">
        <x:v>0</x:v>
      </x:c>
      <x:c r="G20" s="21" t="n">
        <x:v>51</x:v>
      </x:c>
      <x:c r="H20" s="25" t="n">
        <x:f>IF(AND(ISNUMBER(F20),ISNUMBER(G20),G20&gt;0),F20/G20,"")</x:f>
        <x:v>0</x:v>
      </x:c>
      <x:c r="I20" s="23" t="n">
        <x:v>7.51</x:v>
      </x:c>
      <x:c r="J20" s="21" t="n">
        <x:v>7</x:v>
      </x:c>
      <x:c r="K20" s="21" t="n">
        <x:v>230</x:v>
      </x:c>
      <x:c r="L20" s="25" t="n">
        <x:f>IF(AND(ISNUMBER(J20),ISNUMBER(K20),K20&gt;0),J20/K20,"")</x:f>
        <x:v>0.030434782608695653</x:v>
      </x:c>
      <x:c r="M20" s="23" t="n">
        <x:v>7</x:v>
      </x:c>
      <x:c r="N20" s="14" t="str">
        <x:v>Не входит в 7 примеров исключения; индивидуальный статус не проверялся</x:v>
      </x:c>
      <x:c r="O20" s="14" t="str">
        <x:v>Выгрузка страниц</x:v>
      </x:c>
    </x:row>
    <x:row r="21" ht="52" customHeight="1">
      <x:c r="A21" s="12" t="str">
        <x:v>Инъекционная косметология</x:v>
      </x:c>
      <x:c r="B21" s="15" t="str">
        <x:v>https://kozhaclinic.ru/inekcionnaya-kosmetologiya/</x:v>
      </x:c>
      <x:c r="C21" s="20" t="n">
        <x:v>9</x:v>
      </x:c>
      <x:c r="D21" s="20" t="n">
        <x:v>1040</x:v>
      </x:c>
      <x:c r="E21" s="22" t="n">
        <x:v>3.72</x:v>
      </x:c>
      <x:c r="F21" s="20" t="n">
        <x:v>3</x:v>
      </x:c>
      <x:c r="G21" s="20" t="n">
        <x:v>268</x:v>
      </x:c>
      <x:c r="H21" s="24" t="n">
        <x:f>IF(AND(ISNUMBER(F21),ISNUMBER(G21),G21&gt;0),F21/G21,"")</x:f>
        <x:v>0.011194029850746268</x:v>
      </x:c>
      <x:c r="I21" s="22" t="n">
        <x:v>5.06</x:v>
      </x:c>
      <x:c r="J21" s="20" t="n">
        <x:v>2</x:v>
      </x:c>
      <x:c r="K21" s="20" t="n">
        <x:v>37</x:v>
      </x:c>
      <x:c r="L21" s="24" t="n">
        <x:f>IF(AND(ISNUMBER(J21),ISNUMBER(K21),K21&gt;0),J21/K21,"")</x:f>
        <x:v>0.05405405405405406</x:v>
      </x:c>
      <x:c r="M21" s="22" t="n">
        <x:v>6.2</x:v>
      </x:c>
      <x:c r="N21" s="12" t="str">
        <x:v>Не входит в 7 примеров исключения; индивидуальный статус не проверялся</x:v>
      </x:c>
      <x:c r="O21" s="12" t="str">
        <x:v>Выгрузка страниц</x:v>
      </x:c>
    </x:row>
    <x:row r="22" ht="52" customHeight="1">
      <x:c r="A22" s="14" t="str">
        <x:v>Ботулинотерапия</x:v>
      </x:c>
      <x:c r="B22" s="16" t="str">
        <x:v>https://kozhaclinic.ru/inekcionnaya-kosmetologiya/botulinoterapiya/</x:v>
      </x:c>
      <x:c r="C22" s="21" t="n">
        <x:v>46</x:v>
      </x:c>
      <x:c r="D22" s="21" t="n">
        <x:v>1102</x:v>
      </x:c>
      <x:c r="E22" s="23" t="n">
        <x:v>5.17</x:v>
      </x:c>
      <x:c r="F22" s="21" t="n">
        <x:v>14</x:v>
      </x:c>
      <x:c r="G22" s="21" t="n">
        <x:v>294</x:v>
      </x:c>
      <x:c r="H22" s="25" t="n">
        <x:f>IF(AND(ISNUMBER(F22),ISNUMBER(G22),G22&gt;0),F22/G22,"")</x:f>
        <x:v>0.047619047619047616</x:v>
      </x:c>
      <x:c r="I22" s="23" t="n">
        <x:v>4.85</x:v>
      </x:c>
      <x:c r="J22" s="21" t="n">
        <x:v>4</x:v>
      </x:c>
      <x:c r="K22" s="21" t="n">
        <x:v>127</x:v>
      </x:c>
      <x:c r="L22" s="25" t="n">
        <x:f>IF(AND(ISNUMBER(J22),ISNUMBER(K22),K22&gt;0),J22/K22,"")</x:f>
        <x:v>0.031496062992125984</x:v>
      </x:c>
      <x:c r="M22" s="23" t="n">
        <x:v>5.7</x:v>
      </x:c>
      <x:c r="N22" s="14" t="str">
        <x:v>Не входит в 7 примеров исключения; индивидуальный статус не проверялся</x:v>
      </x:c>
      <x:c r="O22" s="14" t="str">
        <x:v>Выгрузка страниц</x:v>
      </x:c>
    </x:row>
    <x:row r="23" ht="52" customHeight="1">
      <x:c r="A23" s="12" t="str">
        <x:v>Ботокс для лица и вокруг глаз</x:v>
      </x:c>
      <x:c r="B23" s="15" t="str">
        <x:v>https://kozhaclinic.ru/inekcionnaya-kosmetologiya/botulinoterapiya/botoks-dlya-litsa-i-vokrug-glaz/</x:v>
      </x:c>
      <x:c r="C23" s="20" t="n">
        <x:v>5</x:v>
      </x:c>
      <x:c r="D23" s="20" t="n">
        <x:v>1900</x:v>
      </x:c>
      <x:c r="E23" s="22" t="n">
        <x:v>12.11</x:v>
      </x:c>
      <x:c r="F23" s="20" t="n">
        <x:v>1</x:v>
      </x:c>
      <x:c r="G23" s="20" t="n">
        <x:v>501</x:v>
      </x:c>
      <x:c r="H23" s="24" t="n">
        <x:f>IF(AND(ISNUMBER(F23),ISNUMBER(G23),G23&gt;0),F23/G23,"")</x:f>
        <x:v>0.001996007984031936</x:v>
      </x:c>
      <x:c r="I23" s="22" t="n">
        <x:v>12.83</x:v>
      </x:c>
      <x:c r="J23" s="20" t="n">
        <x:v>1</x:v>
      </x:c>
      <x:c r="K23" s="20" t="n">
        <x:v>6</x:v>
      </x:c>
      <x:c r="L23" s="24" t="n">
        <x:f>IF(AND(ISNUMBER(J23),ISNUMBER(K23),K23&gt;0),J23/K23,"")</x:f>
        <x:v>0.16666666666666666</x:v>
      </x:c>
      <x:c r="M23" s="22" t="n">
        <x:v>7.1</x:v>
      </x:c>
      <x:c r="N23" s="12" t="str">
        <x:v>Не входит в 7 примеров исключения; индивидуальный статус не проверялся</x:v>
      </x:c>
      <x:c r="O23" s="12" t="str">
        <x:v>Выгрузка страниц</x:v>
      </x:c>
    </x:row>
    <x:row r="24" ht="52" customHeight="1">
      <x:c r="A24" s="14" t="str">
        <x:v>Ботокс для шеи и зоны декольте</x:v>
      </x:c>
      <x:c r="B24" s="16" t="str">
        <x:v>https://kozhaclinic.ru/inekcionnaya-kosmetologiya/botulinoterapiya/botoks-dlya-shei-i-zony-dekolte/</x:v>
      </x:c>
      <x:c r="C24" s="21" t="n">
        <x:v>13</x:v>
      </x:c>
      <x:c r="D24" s="21" t="n">
        <x:v>2777</x:v>
      </x:c>
      <x:c r="E24" s="23" t="n">
        <x:v>8.78</x:v>
      </x:c>
      <x:c r="F24" s="21" t="n">
        <x:v>6</x:v>
      </x:c>
      <x:c r="G24" s="21" t="n">
        <x:v>870</x:v>
      </x:c>
      <x:c r="H24" s="25" t="n">
        <x:f>IF(AND(ISNUMBER(F24),ISNUMBER(G24),G24&gt;0),F24/G24,"")</x:f>
        <x:v>0.006896551724137931</x:v>
      </x:c>
      <x:c r="I24" s="23" t="n">
        <x:v>9.07</x:v>
      </x:c>
      <x:c r="J24" s="21" t="n">
        <x:v>1</x:v>
      </x:c>
      <x:c r="K24" s="21" t="n">
        <x:v>68</x:v>
      </x:c>
      <x:c r="L24" s="25" t="n">
        <x:f>IF(AND(ISNUMBER(J24),ISNUMBER(K24),K24&gt;0),J24/K24,"")</x:f>
        <x:v>0.014705882352941176</x:v>
      </x:c>
      <x:c r="M24" s="23" t="n">
        <x:v>6.5</x:v>
      </x:c>
      <x:c r="N24" s="14" t="str">
        <x:v>Не входит в 7 примеров исключения; индивидуальный статус не проверялся</x:v>
      </x:c>
      <x:c r="O24" s="14" t="str">
        <x:v>Выгрузка страниц</x:v>
      </x:c>
    </x:row>
    <x:row r="25" ht="52" customHeight="1">
      <x:c r="A25" s="12" t="str">
        <x:v>Ботулинотерапия в лоб и межбровье</x:v>
      </x:c>
      <x:c r="B25" s="15" t="str">
        <x:v>https://kozhaclinic.ru/inekcionnaya-kosmetologiya/botulinoterapiya/botulinoterapiya-v-lob-i-mezhbrove/</x:v>
      </x:c>
      <x:c r="C25" s="20" t="n">
        <x:v>4</x:v>
      </x:c>
      <x:c r="D25" s="20" t="n">
        <x:v>390</x:v>
      </x:c>
      <x:c r="E25" s="22" t="n">
        <x:v>12.65</x:v>
      </x:c>
      <x:c r="F25" s="20" t="n">
        <x:v>1</x:v>
      </x:c>
      <x:c r="G25" s="20" t="n">
        <x:v>92</x:v>
      </x:c>
      <x:c r="H25" s="24" t="n">
        <x:f>IF(AND(ISNUMBER(F25),ISNUMBER(G25),G25&gt;0),F25/G25,"")</x:f>
        <x:v>0.010869565217391304</x:v>
      </x:c>
      <x:c r="I25" s="22" t="n">
        <x:v>14.18</x:v>
      </x:c>
      <x:c r="J25" s="20" t="n">
        <x:v>0</x:v>
      </x:c>
      <x:c r="K25" s="20" t="n">
        <x:v>32</x:v>
      </x:c>
      <x:c r="L25" s="24" t="n">
        <x:f>IF(AND(ISNUMBER(J25),ISNUMBER(K25),K25&gt;0),J25/K25,"")</x:f>
        <x:v>0</x:v>
      </x:c>
      <x:c r="M25" s="22" t="n">
        <x:v>5.7</x:v>
      </x:c>
      <x:c r="N25" s="12" t="str">
        <x:v>Не входит в 7 примеров исключения; индивидуальный статус не проверялся</x:v>
      </x:c>
      <x:c r="O25" s="12" t="str">
        <x:v>Выгрузка страниц</x:v>
      </x:c>
    </x:row>
    <x:row r="26" ht="52" customHeight="1">
      <x:c r="A26" s="14" t="str">
        <x:v>Disport</x:v>
      </x:c>
      <x:c r="B26" s="16" t="str">
        <x:v>https://kozhaclinic.ru/inekcionnaya-kosmetologiya/botulinoterapiya/disport/</x:v>
      </x:c>
      <x:c r="C26" s="21" t="n">
        <x:v>1</x:v>
      </x:c>
      <x:c r="D26" s="21" t="n">
        <x:v>145</x:v>
      </x:c>
      <x:c r="E26" s="23" t="n">
        <x:v>8.28</x:v>
      </x:c>
      <x:c r="F26" s="21" t="n">
        <x:v>0</x:v>
      </x:c>
      <x:c r="G26" s="21" t="n">
        <x:v>42</x:v>
      </x:c>
      <x:c r="H26" s="25" t="n">
        <x:f>IF(AND(ISNUMBER(F26),ISNUMBER(G26),G26&gt;0),F26/G26,"")</x:f>
        <x:v>0</x:v>
      </x:c>
      <x:c r="I26" s="23" t="n">
        <x:v>12.83</x:v>
      </x:c>
      <x:c r="J26" s="21" t="n">
        <x:v>0</x:v>
      </x:c>
      <x:c r="K26" s="21" t="n">
        <x:v>10</x:v>
      </x:c>
      <x:c r="L26" s="25" t="n">
        <x:f>IF(AND(ISNUMBER(J26),ISNUMBER(K26),K26&gt;0),J26/K26,"")</x:f>
        <x:v>0</x:v>
      </x:c>
      <x:c r="M26" s="23" t="n">
        <x:v>6.4</x:v>
      </x:c>
      <x:c r="N26" s="14" t="str">
        <x:v>Не входит в 7 примеров исключения; индивидуальный статус не проверялся</x:v>
      </x:c>
      <x:c r="O26" s="14" t="str">
        <x:v>Выгрузка страниц</x:v>
      </x:c>
    </x:row>
    <x:row r="27" ht="52" customHeight="1">
      <x:c r="A27" s="12" t="str">
        <x:v>Ботулинотерапия Full Face</x:v>
      </x:c>
      <x:c r="B27" s="15" t="str">
        <x:v>https://kozhaclinic.ru/inekcionnaya-kosmetologiya/botulinoterapiya/full-face/</x:v>
      </x:c>
      <x:c r="C27" s="20"/>
      <x:c r="D27" s="20"/>
      <x:c r="E27" s="22"/>
      <x:c r="F27" s="20" t="n">
        <x:v>0</x:v>
      </x:c>
      <x:c r="G27" s="20" t="n">
        <x:v>0</x:v>
      </x:c>
      <x:c r="H27" s="24" t="str">
        <x:f>IF(AND(ISNUMBER(F27),ISNUMBER(G27),G27&gt;0),F27/G27,"")</x:f>
      </x:c>
      <x:c r="I27" s="22"/>
      <x:c r="J27" s="20" t="n">
        <x:v>3</x:v>
      </x:c>
      <x:c r="K27" s="20" t="n">
        <x:v>50</x:v>
      </x:c>
      <x:c r="L27" s="24" t="n">
        <x:f>IF(AND(ISNUMBER(J27),ISNUMBER(K27),K27&gt;0),J27/K27,"")</x:f>
        <x:v>0.06</x:v>
      </x:c>
      <x:c r="M27" s="22" t="n">
        <x:v>6.1</x:v>
      </x:c>
      <x:c r="N27" s="12" t="str">
        <x:v>Обнаружена, не проиндексирована (отчёт 12.10)</x:v>
      </x:c>
      <x:c r="O27" s="12" t="str">
        <x:v>Точная фильтрация URL: показов нет</x:v>
      </x:c>
    </x:row>
    <x:row r="28" ht="52" customHeight="1">
      <x:c r="A28" s="14" t="str">
        <x:v>Коррекция десневой (гингивальной) улыбки</x:v>
      </x:c>
      <x:c r="B28" s="16" t="str">
        <x:v>https://kozhaclinic.ru/inekcionnaya-kosmetologiya/botulinoterapiya/korrektsiya-desnevoy-ulybki/</x:v>
      </x:c>
      <x:c r="C28" s="21" t="n">
        <x:v>1</x:v>
      </x:c>
      <x:c r="D28" s="21" t="n">
        <x:v>287</x:v>
      </x:c>
      <x:c r="E28" s="23" t="n">
        <x:v>11.05</x:v>
      </x:c>
      <x:c r="F28" s="21" t="n">
        <x:v>1</x:v>
      </x:c>
      <x:c r="G28" s="21" t="n">
        <x:v>287</x:v>
      </x:c>
      <x:c r="H28" s="25" t="n">
        <x:f>IF(AND(ISNUMBER(F28),ISNUMBER(G28),G28&gt;0),F28/G28,"")</x:f>
        <x:v>0.003484320557491289</x:v>
      </x:c>
      <x:c r="I28" s="23" t="n">
        <x:v>11.05</x:v>
      </x:c>
      <x:c r="J28" s="21" t="n">
        <x:v>0</x:v>
      </x:c>
      <x:c r="K28" s="21" t="n">
        <x:v>18</x:v>
      </x:c>
      <x:c r="L28" s="25" t="n">
        <x:f>IF(AND(ISNUMBER(J28),ISNUMBER(K28),K28&gt;0),J28/K28,"")</x:f>
        <x:v>0</x:v>
      </x:c>
      <x:c r="M28" s="23" t="n">
        <x:v>7.5</x:v>
      </x:c>
      <x:c r="N28" s="14" t="str">
        <x:v>Не входит в 7 примеров исключения; индивидуальный статус не проверялся</x:v>
      </x:c>
      <x:c r="O28" s="14" t="str">
        <x:v>Выгрузка страниц</x:v>
      </x:c>
    </x:row>
    <x:row r="29" ht="52" customHeight="1">
      <x:c r="A29" s="12" t="str">
        <x:v>Инъекции миотокса</x:v>
      </x:c>
      <x:c r="B29" s="15" t="str">
        <x:v>https://kozhaclinic.ru/inekcionnaya-kosmetologiya/botulinoterapiya/miotoks/</x:v>
      </x:c>
      <x:c r="C29" s="20" t="n">
        <x:v>6</x:v>
      </x:c>
      <x:c r="D29" s="20" t="n">
        <x:v>420</x:v>
      </x:c>
      <x:c r="E29" s="22" t="n">
        <x:v>11.62</x:v>
      </x:c>
      <x:c r="F29" s="20" t="n">
        <x:v>2</x:v>
      </x:c>
      <x:c r="G29" s="20" t="n">
        <x:v>108</x:v>
      </x:c>
      <x:c r="H29" s="24" t="n">
        <x:f>IF(AND(ISNUMBER(F29),ISNUMBER(G29),G29&gt;0),F29/G29,"")</x:f>
        <x:v>0.018518518518518517</x:v>
      </x:c>
      <x:c r="I29" s="22" t="n">
        <x:v>16.42</x:v>
      </x:c>
      <x:c r="J29" s="20" t="n">
        <x:v>0</x:v>
      </x:c>
      <x:c r="K29" s="20" t="n">
        <x:v>4</x:v>
      </x:c>
      <x:c r="L29" s="24" t="n">
        <x:f>IF(AND(ISNUMBER(J29),ISNUMBER(K29),K29&gt;0),J29/K29,"")</x:f>
        <x:v>0</x:v>
      </x:c>
      <x:c r="M29" s="22" t="n">
        <x:v>6.7</x:v>
      </x:c>
      <x:c r="N29" s="12" t="str">
        <x:v>Не входит в 7 примеров исключения; индивидуальный статус не проверялся</x:v>
      </x:c>
      <x:c r="O29" s="12" t="str">
        <x:v>Выгрузка страниц</x:v>
      </x:c>
    </x:row>
    <x:row r="30" ht="52" customHeight="1">
      <x:c r="A30" s="14" t="str">
        <x:v>Relatox</x:v>
      </x:c>
      <x:c r="B30" s="16" t="str">
        <x:v>https://kozhaclinic.ru/inekcionnaya-kosmetologiya/botulinoterapiya/relatox/</x:v>
      </x:c>
      <x:c r="C30" s="21" t="n">
        <x:v>3</x:v>
      </x:c>
      <x:c r="D30" s="21" t="n">
        <x:v>522</x:v>
      </x:c>
      <x:c r="E30" s="23" t="n">
        <x:v>12.65</x:v>
      </x:c>
      <x:c r="F30" s="21" t="n">
        <x:v>2</x:v>
      </x:c>
      <x:c r="G30" s="21" t="n">
        <x:v>219</x:v>
      </x:c>
      <x:c r="H30" s="25" t="n">
        <x:f>IF(AND(ISNUMBER(F30),ISNUMBER(G30),G30&gt;0),F30/G30,"")</x:f>
        <x:v>0.0091324200913242</x:v>
      </x:c>
      <x:c r="I30" s="23" t="n">
        <x:v>11.8</x:v>
      </x:c>
      <x:c r="J30" s="21" t="n">
        <x:v>1</x:v>
      </x:c>
      <x:c r="K30" s="21" t="n">
        <x:v>17</x:v>
      </x:c>
      <x:c r="L30" s="25" t="n">
        <x:f>IF(AND(ISNUMBER(J30),ISNUMBER(K30),K30&gt;0),J30/K30,"")</x:f>
        <x:v>0.058823529411764705</x:v>
      </x:c>
      <x:c r="M30" s="23" t="n">
        <x:v>9</x:v>
      </x:c>
      <x:c r="N30" s="14" t="str">
        <x:v>Не входит в 7 примеров исключения; индивидуальный статус не проверялся</x:v>
      </x:c>
      <x:c r="O30" s="14" t="str">
        <x:v>Выгрузка страниц</x:v>
      </x:c>
    </x:row>
    <x:row r="31" ht="52" customHeight="1">
      <x:c r="A31" s="12" t="str">
        <x:v>Инъекции Ксеомина (Xeomin)</x:v>
      </x:c>
      <x:c r="B31" s="15" t="str">
        <x:v>https://kozhaclinic.ru/inekcionnaya-kosmetologiya/botulinoterapiya/xeomin/</x:v>
      </x:c>
      <x:c r="C31" s="20" t="n">
        <x:v>0</x:v>
      </x:c>
      <x:c r="D31" s="20" t="n">
        <x:v>63</x:v>
      </x:c>
      <x:c r="E31" s="22" t="n">
        <x:v>7.71</x:v>
      </x:c>
      <x:c r="F31" s="20" t="n">
        <x:v>0</x:v>
      </x:c>
      <x:c r="G31" s="20" t="n">
        <x:v>11</x:v>
      </x:c>
      <x:c r="H31" s="24" t="n">
        <x:f>IF(AND(ISNUMBER(F31),ISNUMBER(G31),G31&gt;0),F31/G31,"")</x:f>
        <x:v>0</x:v>
      </x:c>
      <x:c r="I31" s="22" t="n">
        <x:v>13.73</x:v>
      </x:c>
      <x:c r="J31" s="20" t="n">
        <x:v>0</x:v>
      </x:c>
      <x:c r="K31" s="20" t="n">
        <x:v>0</x:v>
      </x:c>
      <x:c r="L31" s="24" t="str">
        <x:f>IF(AND(ISNUMBER(J31),ISNUMBER(K31),K31&gt;0),J31/K31,"")</x:f>
      </x:c>
      <x:c r="M31" s="22"/>
      <x:c r="N31" s="12" t="str">
        <x:v>Не входит в 7 примеров исключения; индивидуальный статус не проверялся</x:v>
      </x:c>
      <x:c r="O31" s="12" t="str">
        <x:v>Выгрузка страниц</x:v>
      </x:c>
    </x:row>
    <x:row r="32" ht="52" customHeight="1">
      <x:c r="A32" s="14" t="str">
        <x:v>Филлеры Belotero</x:v>
      </x:c>
      <x:c r="B32" s="16" t="str">
        <x:v>https://kozhaclinic.ru/inekcionnaya-kosmetologiya/fillery-belotero/</x:v>
      </x:c>
      <x:c r="C32" s="21" t="n">
        <x:v>16</x:v>
      </x:c>
      <x:c r="D32" s="21" t="n">
        <x:v>1077</x:v>
      </x:c>
      <x:c r="E32" s="23" t="n">
        <x:v>6.74</x:v>
      </x:c>
      <x:c r="F32" s="21" t="n">
        <x:v>3</x:v>
      </x:c>
      <x:c r="G32" s="21" t="n">
        <x:v>512</x:v>
      </x:c>
      <x:c r="H32" s="25" t="n">
        <x:f>IF(AND(ISNUMBER(F32),ISNUMBER(G32),G32&gt;0),F32/G32,"")</x:f>
        <x:v>0.005859375</x:v>
      </x:c>
      <x:c r="I32" s="23" t="n">
        <x:v>6.44</x:v>
      </x:c>
      <x:c r="J32" s="21" t="n">
        <x:v>0</x:v>
      </x:c>
      <x:c r="K32" s="21" t="n">
        <x:v>1</x:v>
      </x:c>
      <x:c r="L32" s="25" t="n">
        <x:f>IF(AND(ISNUMBER(J32),ISNUMBER(K32),K32&gt;0),J32/K32,"")</x:f>
        <x:v>0</x:v>
      </x:c>
      <x:c r="M32" s="23" t="n">
        <x:v>10</x:v>
      </x:c>
      <x:c r="N32" s="14" t="str">
        <x:v>Не входит в 7 примеров исключения; индивидуальный статус не проверялся</x:v>
      </x:c>
      <x:c r="O32" s="14" t="str">
        <x:v>Выгрузка страниц</x:v>
      </x:c>
    </x:row>
    <x:row r="33" ht="52" customHeight="1">
      <x:c r="A33" s="12" t="str">
        <x:v>Коллагенотерапия</x:v>
      </x:c>
      <x:c r="B33" s="15" t="str">
        <x:v>https://kozhaclinic.ru/inekcionnaya-kosmetologiya/kollagenoterapiya/</x:v>
      </x:c>
      <x:c r="C33" s="20" t="n">
        <x:v>5</x:v>
      </x:c>
      <x:c r="D33" s="20" t="n">
        <x:v>418</x:v>
      </x:c>
      <x:c r="E33" s="22" t="n">
        <x:v>8.76</x:v>
      </x:c>
      <x:c r="F33" s="20" t="n">
        <x:v>1</x:v>
      </x:c>
      <x:c r="G33" s="20" t="n">
        <x:v>136</x:v>
      </x:c>
      <x:c r="H33" s="24" t="n">
        <x:f>IF(AND(ISNUMBER(F33),ISNUMBER(G33),G33&gt;0),F33/G33,"")</x:f>
        <x:v>0.007352941176470588</x:v>
      </x:c>
      <x:c r="I33" s="22" t="n">
        <x:v>9.11</x:v>
      </x:c>
      <x:c r="J33" s="20" t="n">
        <x:v>0</x:v>
      </x:c>
      <x:c r="K33" s="20" t="n">
        <x:v>16</x:v>
      </x:c>
      <x:c r="L33" s="24" t="n">
        <x:f>IF(AND(ISNUMBER(J33),ISNUMBER(K33),K33&gt;0),J33/K33,"")</x:f>
        <x:v>0</x:v>
      </x:c>
      <x:c r="M33" s="22" t="n">
        <x:v>7.1</x:v>
      </x:c>
      <x:c r="N33" s="12" t="str">
        <x:v>Не входит в 7 примеров исключения; индивидуальный статус не проверялся</x:v>
      </x:c>
      <x:c r="O33" s="12" t="str">
        <x:v>Выгрузка страниц</x:v>
      </x:c>
    </x:row>
    <x:row r="34" ht="52" customHeight="1">
      <x:c r="A34" s="14" t="str">
        <x:v>Коллагенотерапия вокруг глаз</x:v>
      </x:c>
      <x:c r="B34" s="16" t="str">
        <x:v>https://kozhaclinic.ru/inekcionnaya-kosmetologiya/kollagenoterapiya/kollagenoterapiya-vokrug-glaz/</x:v>
      </x:c>
      <x:c r="C34" s="21" t="n">
        <x:v>73</x:v>
      </x:c>
      <x:c r="D34" s="21" t="n">
        <x:v>12329</x:v>
      </x:c>
      <x:c r="E34" s="23" t="n">
        <x:v>6.5</x:v>
      </x:c>
      <x:c r="F34" s="21" t="n">
        <x:v>21</x:v>
      </x:c>
      <x:c r="G34" s="21" t="n">
        <x:v>4575</x:v>
      </x:c>
      <x:c r="H34" s="25" t="n">
        <x:f>IF(AND(ISNUMBER(F34),ISNUMBER(G34),G34&gt;0),F34/G34,"")</x:f>
        <x:v>0.0045901639344262295</x:v>
      </x:c>
      <x:c r="I34" s="23" t="n">
        <x:v>6.39</x:v>
      </x:c>
      <x:c r="J34" s="21" t="n">
        <x:v>1</x:v>
      </x:c>
      <x:c r="K34" s="21" t="n">
        <x:v>100</x:v>
      </x:c>
      <x:c r="L34" s="25" t="n">
        <x:f>IF(AND(ISNUMBER(J34),ISNUMBER(K34),K34&gt;0),J34/K34,"")</x:f>
        <x:v>0.01</x:v>
      </x:c>
      <x:c r="M34" s="23" t="n">
        <x:v>8.7</x:v>
      </x:c>
      <x:c r="N34" s="14" t="str">
        <x:v>Не входит в 7 примеров исключения; индивидуальный статус не проверялся</x:v>
      </x:c>
      <x:c r="O34" s="14" t="str">
        <x:v>Выгрузка страниц</x:v>
      </x:c>
    </x:row>
    <x:row r="35" ht="52" customHeight="1">
      <x:c r="A35" s="12" t="str">
        <x:v>Контурная пластика</x:v>
      </x:c>
      <x:c r="B35" s="15" t="str">
        <x:v>https://kozhaclinic.ru/inekcionnaya-kosmetologiya/konturnaya-plastika/</x:v>
      </x:c>
      <x:c r="C35" s="20" t="n">
        <x:v>6</x:v>
      </x:c>
      <x:c r="D35" s="20" t="n">
        <x:v>252</x:v>
      </x:c>
      <x:c r="E35" s="22" t="n">
        <x:v>17.83</x:v>
      </x:c>
      <x:c r="F35" s="20" t="n">
        <x:v>4</x:v>
      </x:c>
      <x:c r="G35" s="20" t="n">
        <x:v>107</x:v>
      </x:c>
      <x:c r="H35" s="24" t="n">
        <x:f>IF(AND(ISNUMBER(F35),ISNUMBER(G35),G35&gt;0),F35/G35,"")</x:f>
        <x:v>0.037383177570093455</x:v>
      </x:c>
      <x:c r="I35" s="22" t="n">
        <x:v>12.47</x:v>
      </x:c>
      <x:c r="J35" s="20" t="n">
        <x:v>0</x:v>
      </x:c>
      <x:c r="K35" s="20" t="n">
        <x:v>17</x:v>
      </x:c>
      <x:c r="L35" s="24" t="n">
        <x:f>IF(AND(ISNUMBER(J35),ISNUMBER(K35),K35&gt;0),J35/K35,"")</x:f>
        <x:v>0</x:v>
      </x:c>
      <x:c r="M35" s="22" t="n">
        <x:v>9.4</x:v>
      </x:c>
      <x:c r="N35" s="12" t="str">
        <x:v>Не входит в 7 примеров исключения; индивидуальный статус не проверялся</x:v>
      </x:c>
      <x:c r="O35" s="12" t="str">
        <x:v>Выгрузка страниц</x:v>
      </x:c>
    </x:row>
    <x:row r="36" ht="52" customHeight="1">
      <x:c r="A36" s="14" t="str">
        <x:v>Бланширование</x:v>
      </x:c>
      <x:c r="B36" s="16" t="str">
        <x:v>https://kozhaclinic.ru/inekcionnaya-kosmetologiya/konturnaya-plastika/blanshirovanie/</x:v>
      </x:c>
      <x:c r="C36" s="21" t="n">
        <x:v>8</x:v>
      </x:c>
      <x:c r="D36" s="21" t="n">
        <x:v>1268</x:v>
      </x:c>
      <x:c r="E36" s="23" t="n">
        <x:v>7.3</x:v>
      </x:c>
      <x:c r="F36" s="21" t="n">
        <x:v>1</x:v>
      </x:c>
      <x:c r="G36" s="21" t="n">
        <x:v>330</x:v>
      </x:c>
      <x:c r="H36" s="25" t="n">
        <x:f>IF(AND(ISNUMBER(F36),ISNUMBER(G36),G36&gt;0),F36/G36,"")</x:f>
        <x:v>0.0030303030303030303</x:v>
      </x:c>
      <x:c r="I36" s="23" t="n">
        <x:v>7.81</x:v>
      </x:c>
      <x:c r="J36" s="21" t="n">
        <x:v>0</x:v>
      </x:c>
      <x:c r="K36" s="21" t="n">
        <x:v>14</x:v>
      </x:c>
      <x:c r="L36" s="25" t="n">
        <x:f>IF(AND(ISNUMBER(J36),ISNUMBER(K36),K36&gt;0),J36/K36,"")</x:f>
        <x:v>0</x:v>
      </x:c>
      <x:c r="M36" s="23" t="n">
        <x:v>8.3</x:v>
      </x:c>
      <x:c r="N36" s="14" t="str">
        <x:v>Не входит в 7 примеров исключения; индивидуальный статус не проверялся</x:v>
      </x:c>
      <x:c r="O36" s="14" t="str">
        <x:v>Выгрузка страниц</x:v>
      </x:c>
    </x:row>
    <x:row r="37" ht="52" customHeight="1">
      <x:c r="A37" s="12" t="str">
        <x:v>Контурная пластика лица</x:v>
      </x:c>
      <x:c r="B37" s="15" t="str">
        <x:v>https://kozhaclinic.ru/inekcionnaya-kosmetologiya/konturnaya-plastika/konturnaya-plastika-litsa/</x:v>
      </x:c>
      <x:c r="C37" s="20" t="n">
        <x:v>14</x:v>
      </x:c>
      <x:c r="D37" s="20" t="n">
        <x:v>727</x:v>
      </x:c>
      <x:c r="E37" s="22" t="n">
        <x:v>8.41</x:v>
      </x:c>
      <x:c r="F37" s="20" t="n">
        <x:v>4</x:v>
      </x:c>
      <x:c r="G37" s="20" t="n">
        <x:v>193</x:v>
      </x:c>
      <x:c r="H37" s="24" t="n">
        <x:f>IF(AND(ISNUMBER(F37),ISNUMBER(G37),G37&gt;0),F37/G37,"")</x:f>
        <x:v>0.02072538860103627</x:v>
      </x:c>
      <x:c r="I37" s="22" t="n">
        <x:v>8.16</x:v>
      </x:c>
      <x:c r="J37" s="20" t="n">
        <x:v>2</x:v>
      </x:c>
      <x:c r="K37" s="20" t="n">
        <x:v>57</x:v>
      </x:c>
      <x:c r="L37" s="24" t="n">
        <x:f>IF(AND(ISNUMBER(J37),ISNUMBER(K37),K37&gt;0),J37/K37,"")</x:f>
        <x:v>0.03508771929824561</x:v>
      </x:c>
      <x:c r="M37" s="22" t="n">
        <x:v>6.4</x:v>
      </x:c>
      <x:c r="N37" s="12" t="str">
        <x:v>Не входит в 7 примеров исключения; индивидуальный статус не проверялся</x:v>
      </x:c>
      <x:c r="O37" s="12" t="str">
        <x:v>Выгрузка страниц</x:v>
      </x:c>
    </x:row>
    <x:row r="38" ht="52" customHeight="1">
      <x:c r="A38" s="14" t="str">
        <x:v>Коррекция носогубных складок в Сургуте</x:v>
      </x:c>
      <x:c r="B38" s="16" t="str">
        <x:v>https://kozhaclinic.ru/inekcionnaya-kosmetologiya/konturnaya-plastika/korrektsiya-nosogubnykh-skladok/</x:v>
      </x:c>
      <x:c r="C38" s="21" t="n">
        <x:v>4</x:v>
      </x:c>
      <x:c r="D38" s="21" t="n">
        <x:v>315</x:v>
      </x:c>
      <x:c r="E38" s="23" t="n">
        <x:v>17.19</x:v>
      </x:c>
      <x:c r="F38" s="21" t="n">
        <x:v>0</x:v>
      </x:c>
      <x:c r="G38" s="21" t="n">
        <x:v>61</x:v>
      </x:c>
      <x:c r="H38" s="25" t="n">
        <x:f>IF(AND(ISNUMBER(F38),ISNUMBER(G38),G38&gt;0),F38/G38,"")</x:f>
        <x:v>0</x:v>
      </x:c>
      <x:c r="I38" s="23" t="n">
        <x:v>21.49</x:v>
      </x:c>
      <x:c r="J38" s="21" t="n">
        <x:v>3</x:v>
      </x:c>
      <x:c r="K38" s="21" t="n">
        <x:v>32</x:v>
      </x:c>
      <x:c r="L38" s="25" t="n">
        <x:f>IF(AND(ISNUMBER(J38),ISNUMBER(K38),K38&gt;0),J38/K38,"")</x:f>
        <x:v>0.09375</x:v>
      </x:c>
      <x:c r="M38" s="23" t="n">
        <x:v>3.7</x:v>
      </x:c>
      <x:c r="N38" s="14" t="str">
        <x:v>Не входит в 7 примеров исключения; индивидуальный статус не проверялся</x:v>
      </x:c>
      <x:c r="O38" s="14" t="str">
        <x:v>Выгрузка страниц</x:v>
      </x:c>
    </x:row>
    <x:row r="39" ht="52" customHeight="1">
      <x:c r="A39" s="12" t="str">
        <x:v>Коррекция носослезной борозды</x:v>
      </x:c>
      <x:c r="B39" s="15" t="str">
        <x:v>https://kozhaclinic.ru/inekcionnaya-kosmetologiya/konturnaya-plastika/korrektsiya-nososleznoy-borozdy/</x:v>
      </x:c>
      <x:c r="C39" s="20" t="n">
        <x:v>10</x:v>
      </x:c>
      <x:c r="D39" s="20" t="n">
        <x:v>1502</x:v>
      </x:c>
      <x:c r="E39" s="22" t="n">
        <x:v>24.17</x:v>
      </x:c>
      <x:c r="F39" s="20" t="n">
        <x:v>2</x:v>
      </x:c>
      <x:c r="G39" s="20" t="n">
        <x:v>319</x:v>
      </x:c>
      <x:c r="H39" s="24" t="n">
        <x:f>IF(AND(ISNUMBER(F39),ISNUMBER(G39),G39&gt;0),F39/G39,"")</x:f>
        <x:v>0.006269592476489028</x:v>
      </x:c>
      <x:c r="I39" s="22" t="n">
        <x:v>33.82</x:v>
      </x:c>
      <x:c r="J39" s="20" t="n">
        <x:v>2</x:v>
      </x:c>
      <x:c r="K39" s="20" t="n">
        <x:v>11</x:v>
      </x:c>
      <x:c r="L39" s="24" t="n">
        <x:f>IF(AND(ISNUMBER(J39),ISNUMBER(K39),K39&gt;0),J39/K39,"")</x:f>
        <x:v>0.18181818181818182</x:v>
      </x:c>
      <x:c r="M39" s="22" t="n">
        <x:v>6</x:v>
      </x:c>
      <x:c r="N39" s="12" t="str">
        <x:v>Не входит в 7 примеров исключения; индивидуальный статус не проверялся</x:v>
      </x:c>
      <x:c r="O39" s="12" t="str">
        <x:v>Выгрузка страниц</x:v>
      </x:c>
    </x:row>
    <x:row r="40" ht="52" customHeight="1">
      <x:c r="A40" s="14" t="str">
        <x:v>Объемное моделирование (скулы, подбородок)</x:v>
      </x:c>
      <x:c r="B40" s="16" t="str">
        <x:v>https://kozhaclinic.ru/inekcionnaya-kosmetologiya/konturnaya-plastika/obemnoe-modelirovanie-skuly-podborodok-/</x:v>
      </x:c>
      <x:c r="C40" s="21" t="n">
        <x:v>3</x:v>
      </x:c>
      <x:c r="D40" s="21" t="n">
        <x:v>499</x:v>
      </x:c>
      <x:c r="E40" s="23" t="n">
        <x:v>13.97</x:v>
      </x:c>
      <x:c r="F40" s="21" t="n">
        <x:v>1</x:v>
      </x:c>
      <x:c r="G40" s="21" t="n">
        <x:v>132</x:v>
      </x:c>
      <x:c r="H40" s="25" t="n">
        <x:f>IF(AND(ISNUMBER(F40),ISNUMBER(G40),G40&gt;0),F40/G40,"")</x:f>
        <x:v>0.007575757575757576</x:v>
      </x:c>
      <x:c r="I40" s="23" t="n">
        <x:v>14.61</x:v>
      </x:c>
      <x:c r="J40" s="21" t="n">
        <x:v>1</x:v>
      </x:c>
      <x:c r="K40" s="21" t="n">
        <x:v>11</x:v>
      </x:c>
      <x:c r="L40" s="25" t="n">
        <x:f>IF(AND(ISNUMBER(J40),ISNUMBER(K40),K40&gt;0),J40/K40,"")</x:f>
        <x:v>0.09090909090909091</x:v>
      </x:c>
      <x:c r="M40" s="23" t="n">
        <x:v>8.7</x:v>
      </x:c>
      <x:c r="N40" s="14" t="str">
        <x:v>Не входит в 7 примеров исключения; индивидуальный статус не проверялся</x:v>
      </x:c>
      <x:c r="O40" s="14" t="str">
        <x:v>Выгрузка страниц</x:v>
      </x:c>
    </x:row>
    <x:row r="41" ht="52" customHeight="1">
      <x:c r="A41" s="12" t="str">
        <x:v>Увеличение губ и контурная пластика губ</x:v>
      </x:c>
      <x:c r="B41" s="15" t="str">
        <x:v>https://kozhaclinic.ru/inekcionnaya-kosmetologiya/konturnaya-plastika/uvelichenie-gub/</x:v>
      </x:c>
      <x:c r="C41" s="20" t="n">
        <x:v>70</x:v>
      </x:c>
      <x:c r="D41" s="20" t="n">
        <x:v>1255</x:v>
      </x:c>
      <x:c r="E41" s="22" t="n">
        <x:v>8.99</x:v>
      </x:c>
      <x:c r="F41" s="20" t="n">
        <x:v>18</x:v>
      </x:c>
      <x:c r="G41" s="20" t="n">
        <x:v>326</x:v>
      </x:c>
      <x:c r="H41" s="24" t="n">
        <x:f>IF(AND(ISNUMBER(F41),ISNUMBER(G41),G41&gt;0),F41/G41,"")</x:f>
        <x:v>0.05521472392638037</x:v>
      </x:c>
      <x:c r="I41" s="22" t="n">
        <x:v>8.16</x:v>
      </x:c>
      <x:c r="J41" s="20" t="n">
        <x:v>6</x:v>
      </x:c>
      <x:c r="K41" s="20" t="n">
        <x:v>201</x:v>
      </x:c>
      <x:c r="L41" s="24" t="n">
        <x:f>IF(AND(ISNUMBER(J41),ISNUMBER(K41),K41&gt;0),J41/K41,"")</x:f>
        <x:v>0.029850746268656716</x:v>
      </x:c>
      <x:c r="M41" s="22" t="n">
        <x:v>6.6</x:v>
      </x:c>
      <x:c r="N41" s="12" t="str">
        <x:v>Не входит в 7 примеров исключения; индивидуальный статус не проверялся</x:v>
      </x:c>
      <x:c r="O41" s="12" t="str">
        <x:v>Выгрузка страниц</x:v>
      </x:c>
    </x:row>
    <x:row r="42" ht="52" customHeight="1">
      <x:c r="A42" s="14" t="str">
        <x:v>Увлажнение губ</x:v>
      </x:c>
      <x:c r="B42" s="16" t="str">
        <x:v>https://kozhaclinic.ru/inekcionnaya-kosmetologiya/konturnaya-plastika/uvlazhnenie-gub/</x:v>
      </x:c>
      <x:c r="C42" s="21" t="n">
        <x:v>70</x:v>
      </x:c>
      <x:c r="D42" s="21" t="n">
        <x:v>16621</x:v>
      </x:c>
      <x:c r="E42" s="23" t="n">
        <x:v>5.99</x:v>
      </x:c>
      <x:c r="F42" s="21" t="n">
        <x:v>22</x:v>
      </x:c>
      <x:c r="G42" s="21" t="n">
        <x:v>5316</x:v>
      </x:c>
      <x:c r="H42" s="25" t="n">
        <x:f>IF(AND(ISNUMBER(F42),ISNUMBER(G42),G42&gt;0),F42/G42,"")</x:f>
        <x:v>0.004138449962377728</x:v>
      </x:c>
      <x:c r="I42" s="23" t="n">
        <x:v>6.15</x:v>
      </x:c>
      <x:c r="J42" s="21" t="n">
        <x:v>0</x:v>
      </x:c>
      <x:c r="K42" s="21" t="n">
        <x:v>25</x:v>
      </x:c>
      <x:c r="L42" s="25" t="n">
        <x:f>IF(AND(ISNUMBER(J42),ISNUMBER(K42),K42&gt;0),J42/K42,"")</x:f>
        <x:v>0</x:v>
      </x:c>
      <x:c r="M42" s="23" t="n">
        <x:v>10</x:v>
      </x:c>
      <x:c r="N42" s="14" t="str">
        <x:v>Не входит в 7 примеров исключения; индивидуальный статус не проверялся</x:v>
      </x:c>
      <x:c r="O42" s="14" t="str">
        <x:v>Выгрузка страниц</x:v>
      </x:c>
    </x:row>
    <x:row r="43" ht="52" customHeight="1">
      <x:c r="A43" s="12" t="str">
        <x:v>Лечение гипергидроза</x:v>
      </x:c>
      <x:c r="B43" s="15" t="str">
        <x:v>https://kozhaclinic.ru/inekcionnaya-kosmetologiya/lechenie-gipergidroza/</x:v>
      </x:c>
      <x:c r="C43" s="20" t="n">
        <x:v>14</x:v>
      </x:c>
      <x:c r="D43" s="20" t="n">
        <x:v>2168</x:v>
      </x:c>
      <x:c r="E43" s="22" t="n">
        <x:v>18.58</x:v>
      </x:c>
      <x:c r="F43" s="20" t="n">
        <x:v>1</x:v>
      </x:c>
      <x:c r="G43" s="20" t="n">
        <x:v>606</x:v>
      </x:c>
      <x:c r="H43" s="24" t="n">
        <x:f>IF(AND(ISNUMBER(F43),ISNUMBER(G43),G43&gt;0),F43/G43,"")</x:f>
        <x:v>0.0016501650165016502</x:v>
      </x:c>
      <x:c r="I43" s="22" t="n">
        <x:v>23.08</x:v>
      </x:c>
      <x:c r="J43" s="20" t="n">
        <x:v>0</x:v>
      </x:c>
      <x:c r="K43" s="20" t="n">
        <x:v>14</x:v>
      </x:c>
      <x:c r="L43" s="24" t="n">
        <x:f>IF(AND(ISNUMBER(J43),ISNUMBER(K43),K43&gt;0),J43/K43,"")</x:f>
        <x:v>0</x:v>
      </x:c>
      <x:c r="M43" s="22" t="n">
        <x:v>4.1</x:v>
      </x:c>
      <x:c r="N43" s="12" t="str">
        <x:v>Не входит в 7 примеров исключения; индивидуальный статус не проверялся</x:v>
      </x:c>
      <x:c r="O43" s="12" t="str">
        <x:v>Выгрузка страниц</x:v>
      </x:c>
    </x:row>
    <x:row r="44" ht="52" customHeight="1">
      <x:c r="A44" s="14" t="str">
        <x:v>Ботулинотерапия подмышек</x:v>
      </x:c>
      <x:c r="B44" s="16" t="str">
        <x:v>https://kozhaclinic.ru/inekcionnaya-kosmetologiya/lechenie-gipergidroza/botulinoterapiya-podmyshek/</x:v>
      </x:c>
      <x:c r="C44" s="21" t="n">
        <x:v>8</x:v>
      </x:c>
      <x:c r="D44" s="21" t="n">
        <x:v>547</x:v>
      </x:c>
      <x:c r="E44" s="23" t="n">
        <x:v>9.84</x:v>
      </x:c>
      <x:c r="F44" s="21" t="n">
        <x:v>4</x:v>
      </x:c>
      <x:c r="G44" s="21" t="n">
        <x:v>100</x:v>
      </x:c>
      <x:c r="H44" s="25" t="n">
        <x:f>IF(AND(ISNUMBER(F44),ISNUMBER(G44),G44&gt;0),F44/G44,"")</x:f>
        <x:v>0.04</x:v>
      </x:c>
      <x:c r="I44" s="23" t="n">
        <x:v>11.3</x:v>
      </x:c>
      <x:c r="J44" s="21" t="n">
        <x:v>2</x:v>
      </x:c>
      <x:c r="K44" s="21" t="n">
        <x:v>16</x:v>
      </x:c>
      <x:c r="L44" s="25" t="n">
        <x:f>IF(AND(ISNUMBER(J44),ISNUMBER(K44),K44&gt;0),J44/K44,"")</x:f>
        <x:v>0.125</x:v>
      </x:c>
      <x:c r="M44" s="23" t="n">
        <x:v>4.1</x:v>
      </x:c>
      <x:c r="N44" s="14" t="str">
        <x:v>Не входит в 7 примеров исключения; индивидуальный статус не проверялся</x:v>
      </x:c>
      <x:c r="O44" s="14" t="str">
        <x:v>Выгрузка страниц</x:v>
      </x:c>
    </x:row>
    <x:row r="45" ht="52" customHeight="1">
      <x:c r="A45" s="12" t="str">
        <x:v>Гипергидроз ладоней</x:v>
      </x:c>
      <x:c r="B45" s="15" t="str">
        <x:v>https://kozhaclinic.ru/inekcionnaya-kosmetologiya/lechenie-gipergidroza/gipergidroz-ladoney/</x:v>
      </x:c>
      <x:c r="C45" s="20" t="n">
        <x:v>2</x:v>
      </x:c>
      <x:c r="D45" s="20" t="n">
        <x:v>856</x:v>
      </x:c>
      <x:c r="E45" s="22" t="n">
        <x:v>35.69</x:v>
      </x:c>
      <x:c r="F45" s="20" t="n">
        <x:v>1</x:v>
      </x:c>
      <x:c r="G45" s="20" t="n">
        <x:v>244</x:v>
      </x:c>
      <x:c r="H45" s="24" t="n">
        <x:f>IF(AND(ISNUMBER(F45),ISNUMBER(G45),G45&gt;0),F45/G45,"")</x:f>
        <x:v>0.004098360655737705</x:v>
      </x:c>
      <x:c r="I45" s="22" t="n">
        <x:v>37.68</x:v>
      </x:c>
      <x:c r="J45" s="20" t="n">
        <x:v>0</x:v>
      </x:c>
      <x:c r="K45" s="20" t="n">
        <x:v>12</x:v>
      </x:c>
      <x:c r="L45" s="24" t="n">
        <x:f>IF(AND(ISNUMBER(J45),ISNUMBER(K45),K45&gt;0),J45/K45,"")</x:f>
        <x:v>0</x:v>
      </x:c>
      <x:c r="M45" s="22" t="n">
        <x:v>8.1</x:v>
      </x:c>
      <x:c r="N45" s="12" t="str">
        <x:v>Не входит в 7 примеров исключения; индивидуальный статус не проверялся</x:v>
      </x:c>
      <x:c r="O45" s="12" t="str">
        <x:v>Выгрузка страниц</x:v>
      </x:c>
    </x:row>
    <x:row r="46" ht="52" customHeight="1">
      <x:c r="A46" s="14" t="str">
        <x:v>Гипергидроз стоп</x:v>
      </x:c>
      <x:c r="B46" s="16" t="str">
        <x:v>https://kozhaclinic.ru/inekcionnaya-kosmetologiya/lechenie-gipergidroza/gipergidroz-stop/</x:v>
      </x:c>
      <x:c r="C46" s="21" t="n">
        <x:v>7</x:v>
      </x:c>
      <x:c r="D46" s="21" t="n">
        <x:v>838</x:v>
      </x:c>
      <x:c r="E46" s="23" t="n">
        <x:v>13.12</x:v>
      </x:c>
      <x:c r="F46" s="21" t="n">
        <x:v>2</x:v>
      </x:c>
      <x:c r="G46" s="21" t="n">
        <x:v>185</x:v>
      </x:c>
      <x:c r="H46" s="25" t="n">
        <x:f>IF(AND(ISNUMBER(F46),ISNUMBER(G46),G46&gt;0),F46/G46,"")</x:f>
        <x:v>0.010810810810810811</x:v>
      </x:c>
      <x:c r="I46" s="23" t="n">
        <x:v>15.56</x:v>
      </x:c>
      <x:c r="J46" s="21" t="n">
        <x:v>2</x:v>
      </x:c>
      <x:c r="K46" s="21" t="n">
        <x:v>13</x:v>
      </x:c>
      <x:c r="L46" s="25" t="n">
        <x:f>IF(AND(ISNUMBER(J46),ISNUMBER(K46),K46&gt;0),J46/K46,"")</x:f>
        <x:v>0.15384615384615385</x:v>
      </x:c>
      <x:c r="M46" s="23" t="n">
        <x:v>4</x:v>
      </x:c>
      <x:c r="N46" s="14" t="str">
        <x:v>Не входит в 7 примеров исключения; индивидуальный статус не проверялся</x:v>
      </x:c>
      <x:c r="O46" s="14" t="str">
        <x:v>Выгрузка страниц</x:v>
      </x:c>
    </x:row>
    <x:row r="47" ht="52" customHeight="1">
      <x:c r="A47" s="12" t="str">
        <x:v>Инъекции липолитиков</x:v>
      </x:c>
      <x:c r="B47" s="15" t="str">
        <x:v>https://kozhaclinic.ru/inekcionnaya-kosmetologiya/lipolitiki/</x:v>
      </x:c>
      <x:c r="C47" s="20" t="n">
        <x:v>42</x:v>
      </x:c>
      <x:c r="D47" s="20" t="n">
        <x:v>602</x:v>
      </x:c>
      <x:c r="E47" s="22" t="n">
        <x:v>8.27</x:v>
      </x:c>
      <x:c r="F47" s="20" t="n">
        <x:v>16</x:v>
      </x:c>
      <x:c r="G47" s="20" t="n">
        <x:v>203</x:v>
      </x:c>
      <x:c r="H47" s="24" t="n">
        <x:f>IF(AND(ISNUMBER(F47),ISNUMBER(G47),G47&gt;0),F47/G47,"")</x:f>
        <x:v>0.07881773399014778</x:v>
      </x:c>
      <x:c r="I47" s="22" t="n">
        <x:v>6.5</x:v>
      </x:c>
      <x:c r="J47" s="20" t="n">
        <x:v>6</x:v>
      </x:c>
      <x:c r="K47" s="20" t="n">
        <x:v>105</x:v>
      </x:c>
      <x:c r="L47" s="24" t="n">
        <x:f>IF(AND(ISNUMBER(J47),ISNUMBER(K47),K47&gt;0),J47/K47,"")</x:f>
        <x:v>0.05714285714285714</x:v>
      </x:c>
      <x:c r="M47" s="22" t="n">
        <x:v>5.7</x:v>
      </x:c>
      <x:c r="N47" s="12" t="str">
        <x:v>Не входит в 7 примеров исключения; индивидуальный статус не проверялся</x:v>
      </x:c>
      <x:c r="O47" s="12" t="str">
        <x:v>Выгрузка страниц</x:v>
      </x:c>
    </x:row>
    <x:row r="48" ht="52" customHeight="1">
      <x:c r="A48" s="14" t="str">
        <x:v>Омоложение и питание кожи</x:v>
      </x:c>
      <x:c r="B48" s="16" t="str">
        <x:v>https://kozhaclinic.ru/inekcionnaya-kosmetologiya/omolozhenie-i-pitanie-kozhi/</x:v>
      </x:c>
      <x:c r="C48" s="21" t="n">
        <x:v>1</x:v>
      </x:c>
      <x:c r="D48" s="21" t="n">
        <x:v>88</x:v>
      </x:c>
      <x:c r="E48" s="23" t="n">
        <x:v>7.5</x:v>
      </x:c>
      <x:c r="F48" s="21" t="n">
        <x:v>0</x:v>
      </x:c>
      <x:c r="G48" s="21" t="n">
        <x:v>17</x:v>
      </x:c>
      <x:c r="H48" s="25" t="n">
        <x:f>IF(AND(ISNUMBER(F48),ISNUMBER(G48),G48&gt;0),F48/G48,"")</x:f>
        <x:v>0</x:v>
      </x:c>
      <x:c r="I48" s="23" t="n">
        <x:v>7.82</x:v>
      </x:c>
      <x:c r="J48" s="21" t="n">
        <x:v>0</x:v>
      </x:c>
      <x:c r="K48" s="21" t="n">
        <x:v>15</x:v>
      </x:c>
      <x:c r="L48" s="25" t="n">
        <x:f>IF(AND(ISNUMBER(J48),ISNUMBER(K48),K48&gt;0),J48/K48,"")</x:f>
        <x:v>0</x:v>
      </x:c>
      <x:c r="M48" s="23" t="n">
        <x:v>6</x:v>
      </x:c>
      <x:c r="N48" s="14" t="str">
        <x:v>Не входит в 7 примеров исключения; индивидуальный статус не проверялся</x:v>
      </x:c>
      <x:c r="O48" s="14" t="str">
        <x:v>Выгрузка страниц</x:v>
      </x:c>
    </x:row>
    <x:row r="49" ht="52" customHeight="1">
      <x:c r="A49" s="12" t="str">
        <x:v>Биоревитализация шеи и декольте</x:v>
      </x:c>
      <x:c r="B49" s="15" t="str">
        <x:v>https://kozhaclinic.ru/inekcionnaya-kosmetologiya/omolozhenie-i-pitanie-kozhi/biorevitalizatsiya-shei-i-dekolte/</x:v>
      </x:c>
      <x:c r="C49" s="20" t="n">
        <x:v>8</x:v>
      </x:c>
      <x:c r="D49" s="20" t="n">
        <x:v>5406</x:v>
      </x:c>
      <x:c r="E49" s="22" t="n">
        <x:v>8.27</x:v>
      </x:c>
      <x:c r="F49" s="20" t="n">
        <x:v>0</x:v>
      </x:c>
      <x:c r="G49" s="20" t="n">
        <x:v>1351</x:v>
      </x:c>
      <x:c r="H49" s="24" t="n">
        <x:f>IF(AND(ISNUMBER(F49),ISNUMBER(G49),G49&gt;0),F49/G49,"")</x:f>
        <x:v>0</x:v>
      </x:c>
      <x:c r="I49" s="22" t="n">
        <x:v>8.7</x:v>
      </x:c>
      <x:c r="J49" s="20" t="n">
        <x:v>0</x:v>
      </x:c>
      <x:c r="K49" s="20" t="n">
        <x:v>2</x:v>
      </x:c>
      <x:c r="L49" s="24" t="n">
        <x:f>IF(AND(ISNUMBER(J49),ISNUMBER(K49),K49&gt;0),J49/K49,"")</x:f>
        <x:v>0</x:v>
      </x:c>
      <x:c r="M49" s="22" t="n">
        <x:v>6.5</x:v>
      </x:c>
      <x:c r="N49" s="12" t="str">
        <x:v>Не входит в 7 примеров исключения; индивидуальный статус не проверялся</x:v>
      </x:c>
      <x:c r="O49" s="12" t="str">
        <x:v>Выгрузка страниц</x:v>
      </x:c>
    </x:row>
    <x:row r="50" ht="52" customHeight="1">
      <x:c r="A50" s="14" t="str">
        <x:v>Биоревитализация зоны вокруг глаз</x:v>
      </x:c>
      <x:c r="B50" s="16" t="str">
        <x:v>https://kozhaclinic.ru/inekcionnaya-kosmetologiya/omolozhenie-i-pitanie-kozhi/biorevitalizatsiya-zony-vokrug-glaz/</x:v>
      </x:c>
      <x:c r="C50" s="21" t="n">
        <x:v>12</x:v>
      </x:c>
      <x:c r="D50" s="21" t="n">
        <x:v>4904</x:v>
      </x:c>
      <x:c r="E50" s="23" t="n">
        <x:v>10.4</x:v>
      </x:c>
      <x:c r="F50" s="21" t="n">
        <x:v>2</x:v>
      </x:c>
      <x:c r="G50" s="21" t="n">
        <x:v>949</x:v>
      </x:c>
      <x:c r="H50" s="25" t="n">
        <x:f>IF(AND(ISNUMBER(F50),ISNUMBER(G50),G50&gt;0),F50/G50,"")</x:f>
        <x:v>0.002107481559536354</x:v>
      </x:c>
      <x:c r="I50" s="23" t="n">
        <x:v>10.6</x:v>
      </x:c>
      <x:c r="J50" s="21" t="n">
        <x:v>0</x:v>
      </x:c>
      <x:c r="K50" s="21" t="n">
        <x:v>5</x:v>
      </x:c>
      <x:c r="L50" s="25" t="n">
        <x:f>IF(AND(ISNUMBER(J50),ISNUMBER(K50),K50&gt;0),J50/K50,"")</x:f>
        <x:v>0</x:v>
      </x:c>
      <x:c r="M50" s="23" t="n">
        <x:v>5.4</x:v>
      </x:c>
      <x:c r="N50" s="14" t="str">
        <x:v>Не входит в 7 примеров исключения; индивидуальный статус не проверялся</x:v>
      </x:c>
      <x:c r="O50" s="14" t="str">
        <x:v>Выгрузка страниц</x:v>
      </x:c>
    </x:row>
    <x:row r="51" ht="52" customHeight="1">
      <x:c r="A51" s="12" t="str">
        <x:v>Биоревитализация</x:v>
      </x:c>
      <x:c r="B51" s="15" t="str">
        <x:v>https://kozhaclinic.ru/inekcionnaya-kosmetologiya/omolozhenie-i-pitanie-kozhi/biorevitalizatsiya/</x:v>
      </x:c>
      <x:c r="C51" s="20" t="n">
        <x:v>19</x:v>
      </x:c>
      <x:c r="D51" s="20" t="n">
        <x:v>571</x:v>
      </x:c>
      <x:c r="E51" s="22" t="n">
        <x:v>6.31</x:v>
      </x:c>
      <x:c r="F51" s="20" t="n">
        <x:v>8</x:v>
      </x:c>
      <x:c r="G51" s="20" t="n">
        <x:v>169</x:v>
      </x:c>
      <x:c r="H51" s="24" t="n">
        <x:f>IF(AND(ISNUMBER(F51),ISNUMBER(G51),G51&gt;0),F51/G51,"")</x:f>
        <x:v>0.047337278106508875</x:v>
      </x:c>
      <x:c r="I51" s="22" t="n">
        <x:v>8.04</x:v>
      </x:c>
      <x:c r="J51" s="20" t="n">
        <x:v>3</x:v>
      </x:c>
      <x:c r="K51" s="20" t="n">
        <x:v>100</x:v>
      </x:c>
      <x:c r="L51" s="24" t="n">
        <x:f>IF(AND(ISNUMBER(J51),ISNUMBER(K51),K51&gt;0),J51/K51,"")</x:f>
        <x:v>0.03</x:v>
      </x:c>
      <x:c r="M51" s="22" t="n">
        <x:v>5.8</x:v>
      </x:c>
      <x:c r="N51" s="12" t="str">
        <x:v>Не входит в 7 примеров исключения; индивидуальный статус не проверялся</x:v>
      </x:c>
      <x:c r="O51" s="12" t="str">
        <x:v>Выгрузка страниц</x:v>
      </x:c>
    </x:row>
    <x:row r="52" ht="52" customHeight="1">
      <x:c r="A52" s="14" t="str">
        <x:v>Карбокситерапия инъекционная</x:v>
      </x:c>
      <x:c r="B52" s="16" t="str">
        <x:v>https://kozhaclinic.ru/inekcionnaya-kosmetologiya/omolozhenie-i-pitanie-kozhi/karboksiterapiya-inektsionnaya/</x:v>
      </x:c>
      <x:c r="C52" s="21" t="n">
        <x:v>10</x:v>
      </x:c>
      <x:c r="D52" s="21" t="n">
        <x:v>335</x:v>
      </x:c>
      <x:c r="E52" s="23" t="n">
        <x:v>19.12</x:v>
      </x:c>
      <x:c r="F52" s="21" t="n">
        <x:v>2</x:v>
      </x:c>
      <x:c r="G52" s="21" t="n">
        <x:v>76</x:v>
      </x:c>
      <x:c r="H52" s="25" t="n">
        <x:f>IF(AND(ISNUMBER(F52),ISNUMBER(G52),G52&gt;0),F52/G52,"")</x:f>
        <x:v>0.02631578947368421</x:v>
      </x:c>
      <x:c r="I52" s="23" t="n">
        <x:v>19.17</x:v>
      </x:c>
      <x:c r="J52" s="21" t="n">
        <x:v>12</x:v>
      </x:c>
      <x:c r="K52" s="21" t="n">
        <x:v>41</x:v>
      </x:c>
      <x:c r="L52" s="25" t="n">
        <x:f>IF(AND(ISNUMBER(J52),ISNUMBER(K52),K52&gt;0),J52/K52,"")</x:f>
        <x:v>0.2926829268292683</x:v>
      </x:c>
      <x:c r="M52" s="23" t="n">
        <x:v>3.9</x:v>
      </x:c>
      <x:c r="N52" s="14" t="str">
        <x:v>Не входит в 7 примеров исключения; индивидуальный статус не проверялся</x:v>
      </x:c>
      <x:c r="O52" s="14" t="str">
        <x:v>Выгрузка страниц</x:v>
      </x:c>
    </x:row>
    <x:row r="53" ht="52" customHeight="1">
      <x:c r="A53" s="12" t="str">
        <x:v>Мезотерапия для волос</x:v>
      </x:c>
      <x:c r="B53" s="15" t="str">
        <x:v>https://kozhaclinic.ru/inekcionnaya-kosmetologiya/omolozhenie-i-pitanie-kozhi/mezoterapiya-dlya-volos/</x:v>
      </x:c>
      <x:c r="C53" s="20" t="n">
        <x:v>8</x:v>
      </x:c>
      <x:c r="D53" s="20" t="n">
        <x:v>468</x:v>
      </x:c>
      <x:c r="E53" s="22" t="n">
        <x:v>20.87</x:v>
      </x:c>
      <x:c r="F53" s="20" t="n">
        <x:v>0</x:v>
      </x:c>
      <x:c r="G53" s="20" t="n">
        <x:v>92</x:v>
      </x:c>
      <x:c r="H53" s="24" t="n">
        <x:f>IF(AND(ISNUMBER(F53),ISNUMBER(G53),G53&gt;0),F53/G53,"")</x:f>
        <x:v>0</x:v>
      </x:c>
      <x:c r="I53" s="22" t="n">
        <x:v>20.09</x:v>
      </x:c>
      <x:c r="J53" s="20" t="n">
        <x:v>2</x:v>
      </x:c>
      <x:c r="K53" s="20" t="n">
        <x:v>21</x:v>
      </x:c>
      <x:c r="L53" s="24" t="n">
        <x:f>IF(AND(ISNUMBER(J53),ISNUMBER(K53),K53&gt;0),J53/K53,"")</x:f>
        <x:v>0.09523809523809523</x:v>
      </x:c>
      <x:c r="M53" s="22" t="n">
        <x:v>5.8</x:v>
      </x:c>
      <x:c r="N53" s="12" t="str">
        <x:v>Не входит в 7 примеров исключения; индивидуальный статус не проверялся</x:v>
      </x:c>
      <x:c r="O53" s="12" t="str">
        <x:v>Выгрузка страниц</x:v>
      </x:c>
    </x:row>
    <x:row r="54" ht="52" customHeight="1">
      <x:c r="A54" s="14" t="str">
        <x:v>Мезотерапия</x:v>
      </x:c>
      <x:c r="B54" s="16" t="str">
        <x:v>https://kozhaclinic.ru/inekcionnaya-kosmetologiya/omolozhenie-i-pitanie-kozhi/mezoterapiya/</x:v>
      </x:c>
      <x:c r="C54" s="21" t="n">
        <x:v>11</x:v>
      </x:c>
      <x:c r="D54" s="21" t="n">
        <x:v>405</x:v>
      </x:c>
      <x:c r="E54" s="23" t="n">
        <x:v>24.27</x:v>
      </x:c>
      <x:c r="F54" s="21" t="n">
        <x:v>1</x:v>
      </x:c>
      <x:c r="G54" s="21" t="n">
        <x:v>115</x:v>
      </x:c>
      <x:c r="H54" s="25" t="n">
        <x:f>IF(AND(ISNUMBER(F54),ISNUMBER(G54),G54&gt;0),F54/G54,"")</x:f>
        <x:v>0.008695652173913044</x:v>
      </x:c>
      <x:c r="I54" s="23" t="n">
        <x:v>40.01</x:v>
      </x:c>
      <x:c r="J54" s="21" t="n">
        <x:v>0</x:v>
      </x:c>
      <x:c r="K54" s="21" t="n">
        <x:v>3</x:v>
      </x:c>
      <x:c r="L54" s="25" t="n">
        <x:f>IF(AND(ISNUMBER(J54),ISNUMBER(K54),K54&gt;0),J54/K54,"")</x:f>
        <x:v>0</x:v>
      </x:c>
      <x:c r="M54" s="23" t="n">
        <x:v>5.6</x:v>
      </x:c>
      <x:c r="N54" s="14" t="str">
        <x:v>Не входит в 7 примеров исключения; индивидуальный статус не проверялся</x:v>
      </x:c>
      <x:c r="O54" s="14" t="str">
        <x:v>Выгрузка страниц</x:v>
      </x:c>
    </x:row>
    <x:row r="55" ht="52" customHeight="1">
      <x:c r="A55" s="12" t="str">
        <x:v>Плазмолифтинг для волос</x:v>
      </x:c>
      <x:c r="B55" s="15" t="str">
        <x:v>https://kozhaclinic.ru/inekcionnaya-kosmetologiya/omolozhenie-i-pitanie-kozhi/plazmolifting-dlya-volos/</x:v>
      </x:c>
      <x:c r="C55" s="20" t="n">
        <x:v>12</x:v>
      </x:c>
      <x:c r="D55" s="20" t="n">
        <x:v>261</x:v>
      </x:c>
      <x:c r="E55" s="22" t="n">
        <x:v>13.36</x:v>
      </x:c>
      <x:c r="F55" s="20" t="n">
        <x:v>3</x:v>
      </x:c>
      <x:c r="G55" s="20" t="n">
        <x:v>63</x:v>
      </x:c>
      <x:c r="H55" s="24" t="n">
        <x:f>IF(AND(ISNUMBER(F55),ISNUMBER(G55),G55&gt;0),F55/G55,"")</x:f>
        <x:v>0.047619047619047616</x:v>
      </x:c>
      <x:c r="I55" s="22" t="n">
        <x:v>11.49</x:v>
      </x:c>
      <x:c r="J55" s="20" t="n">
        <x:v>0</x:v>
      </x:c>
      <x:c r="K55" s="20" t="n">
        <x:v>53</x:v>
      </x:c>
      <x:c r="L55" s="24" t="n">
        <x:f>IF(AND(ISNUMBER(J55),ISNUMBER(K55),K55&gt;0),J55/K55,"")</x:f>
        <x:v>0</x:v>
      </x:c>
      <x:c r="M55" s="22" t="n">
        <x:v>7.4</x:v>
      </x:c>
      <x:c r="N55" s="12" t="str">
        <x:v>Не входит в 7 примеров исключения; индивидуальный статус не проверялся</x:v>
      </x:c>
      <x:c r="O55" s="12" t="str">
        <x:v>Выгрузка страниц</x:v>
      </x:c>
    </x:row>
    <x:row r="56" ht="52" customHeight="1">
      <x:c r="A56" s="14" t="str">
        <x:v>Полимолочная кислота</x:v>
      </x:c>
      <x:c r="B56" s="16" t="str">
        <x:v>https://kozhaclinic.ru/inekcionnaya-kosmetologiya/omolozhenie-i-pitanie-kozhi/polimolochnaya-kislota/</x:v>
      </x:c>
      <x:c r="C56" s="21" t="n">
        <x:v>13</x:v>
      </x:c>
      <x:c r="D56" s="21" t="n">
        <x:v>139</x:v>
      </x:c>
      <x:c r="E56" s="23" t="n">
        <x:v>5.77</x:v>
      </x:c>
      <x:c r="F56" s="21" t="n">
        <x:v>4</x:v>
      </x:c>
      <x:c r="G56" s="21" t="n">
        <x:v>44</x:v>
      </x:c>
      <x:c r="H56" s="25" t="n">
        <x:f>IF(AND(ISNUMBER(F56),ISNUMBER(G56),G56&gt;0),F56/G56,"")</x:f>
        <x:v>0.09090909090909091</x:v>
      </x:c>
      <x:c r="I56" s="23" t="n">
        <x:v>5.73</x:v>
      </x:c>
      <x:c r="J56" s="21" t="n">
        <x:v>10</x:v>
      </x:c>
      <x:c r="K56" s="21" t="n">
        <x:v>53</x:v>
      </x:c>
      <x:c r="L56" s="25" t="n">
        <x:f>IF(AND(ISNUMBER(J56),ISNUMBER(K56),K56&gt;0),J56/K56,"")</x:f>
        <x:v>0.18867924528301888</x:v>
      </x:c>
      <x:c r="M56" s="23" t="n">
        <x:v>5.4</x:v>
      </x:c>
      <x:c r="N56" s="14" t="str">
        <x:v>Не входит в 7 примеров исключения; индивидуальный статус не проверялся</x:v>
      </x:c>
      <x:c r="O56" s="14" t="str">
        <x:v>Выгрузка страниц</x:v>
      </x:c>
    </x:row>
    <x:row r="57" ht="52" customHeight="1">
      <x:c r="A57" s="12" t="str">
        <x:v>Процедура филлером Radiesse (Радиесс)</x:v>
      </x:c>
      <x:c r="B57" s="15" t="str">
        <x:v>https://kozhaclinic.ru/inekcionnaya-kosmetologiya/omolozhenie-i-pitanie-kozhi/protsedura-fillerom-radiesse-radiess/</x:v>
      </x:c>
      <x:c r="C57" s="20" t="n">
        <x:v>11</x:v>
      </x:c>
      <x:c r="D57" s="20" t="n">
        <x:v>184</x:v>
      </x:c>
      <x:c r="E57" s="22" t="n">
        <x:v>6.1</x:v>
      </x:c>
      <x:c r="F57" s="20" t="n">
        <x:v>1</x:v>
      </x:c>
      <x:c r="G57" s="20" t="n">
        <x:v>35</x:v>
      </x:c>
      <x:c r="H57" s="24" t="n">
        <x:f>IF(AND(ISNUMBER(F57),ISNUMBER(G57),G57&gt;0),F57/G57,"")</x:f>
        <x:v>0.02857142857142857</x:v>
      </x:c>
      <x:c r="I57" s="22" t="n">
        <x:v>4.77</x:v>
      </x:c>
      <x:c r="J57" s="20" t="n">
        <x:v>3</x:v>
      </x:c>
      <x:c r="K57" s="20" t="n">
        <x:v>24</x:v>
      </x:c>
      <x:c r="L57" s="24" t="n">
        <x:f>IF(AND(ISNUMBER(J57),ISNUMBER(K57),K57&gt;0),J57/K57,"")</x:f>
        <x:v>0.125</x:v>
      </x:c>
      <x:c r="M57" s="22" t="n">
        <x:v>6.9</x:v>
      </x:c>
      <x:c r="N57" s="12" t="str">
        <x:v>Не входит в 7 примеров исключения; индивидуальный статус не проверялся</x:v>
      </x:c>
      <x:c r="O57" s="12" t="str">
        <x:v>Выгрузка страниц</x:v>
      </x:c>
    </x:row>
    <x:row r="58" ht="52" customHeight="1">
      <x:c r="A58" s="14" t="str">
        <x:v>PRP-терапия (Cortexil)</x:v>
      </x:c>
      <x:c r="B58" s="16" t="str">
        <x:v>https://kozhaclinic.ru/inekcionnaya-kosmetologiya/omolozhenie-i-pitanie-kozhi/prp-terapiya-cortexil/</x:v>
      </x:c>
      <x:c r="C58" s="21" t="n">
        <x:v>6</x:v>
      </x:c>
      <x:c r="D58" s="21" t="n">
        <x:v>413</x:v>
      </x:c>
      <x:c r="E58" s="23" t="n">
        <x:v>10.75</x:v>
      </x:c>
      <x:c r="F58" s="21" t="n">
        <x:v>1</x:v>
      </x:c>
      <x:c r="G58" s="21" t="n">
        <x:v>120</x:v>
      </x:c>
      <x:c r="H58" s="25" t="n">
        <x:f>IF(AND(ISNUMBER(F58),ISNUMBER(G58),G58&gt;0),F58/G58,"")</x:f>
        <x:v>0.008333333333333333</x:v>
      </x:c>
      <x:c r="I58" s="23" t="n">
        <x:v>10.61</x:v>
      </x:c>
      <x:c r="J58" s="21" t="n">
        <x:v>1</x:v>
      </x:c>
      <x:c r="K58" s="21" t="n">
        <x:v>14</x:v>
      </x:c>
      <x:c r="L58" s="25" t="n">
        <x:f>IF(AND(ISNUMBER(J58),ISNUMBER(K58),K58&gt;0),J58/K58,"")</x:f>
        <x:v>0.07142857142857142</x:v>
      </x:c>
      <x:c r="M58" s="23" t="n">
        <x:v>7.1</x:v>
      </x:c>
      <x:c r="N58" s="14" t="str">
        <x:v>Не входит в 7 примеров исключения; индивидуальный статус не проверялся</x:v>
      </x:c>
      <x:c r="O58" s="14" t="str">
        <x:v>Выгрузка страниц</x:v>
      </x:c>
    </x:row>
    <x:row r="59" ht="52" customHeight="1">
      <x:c r="A59" s="12" t="str">
        <x:v>Плацентарная терапия</x:v>
      </x:c>
      <x:c r="B59" s="15" t="str">
        <x:v>https://kozhaclinic.ru/inekcionnaya-kosmetologiya/platsentarnaya-terapiya/</x:v>
      </x:c>
      <x:c r="C59" s="20" t="n">
        <x:v>2</x:v>
      </x:c>
      <x:c r="D59" s="20" t="n">
        <x:v>242</x:v>
      </x:c>
      <x:c r="E59" s="22" t="n">
        <x:v>9.95</x:v>
      </x:c>
      <x:c r="F59" s="20" t="n">
        <x:v>0</x:v>
      </x:c>
      <x:c r="G59" s="20" t="n">
        <x:v>23</x:v>
      </x:c>
      <x:c r="H59" s="24" t="n">
        <x:f>IF(AND(ISNUMBER(F59),ISNUMBER(G59),G59&gt;0),F59/G59,"")</x:f>
        <x:v>0</x:v>
      </x:c>
      <x:c r="I59" s="22" t="n">
        <x:v>10.35</x:v>
      </x:c>
      <x:c r="J59" s="20" t="n">
        <x:v>0</x:v>
      </x:c>
      <x:c r="K59" s="20" t="n">
        <x:v>0</x:v>
      </x:c>
      <x:c r="L59" s="24" t="str">
        <x:f>IF(AND(ISNUMBER(J59),ISNUMBER(K59),K59&gt;0),J59/K59,"")</x:f>
      </x:c>
      <x:c r="M59" s="22"/>
      <x:c r="N59" s="12" t="str">
        <x:v>Не входит в 7 примеров исключения; индивидуальный статус не проверялся</x:v>
      </x:c>
      <x:c r="O59" s="12" t="str">
        <x:v>Выгрузка страниц</x:v>
      </x:c>
    </x:row>
    <x:row r="60" ht="52" customHeight="1">
      <x:c r="A60" s="14" t="str">
        <x:v>Выведение филлера на основе гиалуроновой кислоты</x:v>
      </x:c>
      <x:c r="B60" s="16" t="str">
        <x:v>https://kozhaclinic.ru/inekcionnaya-kosmetologiya/vyvedenie-fillera/</x:v>
      </x:c>
      <x:c r="C60" s="21" t="n">
        <x:v>18</x:v>
      </x:c>
      <x:c r="D60" s="21" t="n">
        <x:v>2608</x:v>
      </x:c>
      <x:c r="E60" s="23" t="n">
        <x:v>6.38</x:v>
      </x:c>
      <x:c r="F60" s="21" t="n">
        <x:v>7</x:v>
      </x:c>
      <x:c r="G60" s="21" t="n">
        <x:v>996</x:v>
      </x:c>
      <x:c r="H60" s="25" t="n">
        <x:f>IF(AND(ISNUMBER(F60),ISNUMBER(G60),G60&gt;0),F60/G60,"")</x:f>
        <x:v>0.007028112449799197</x:v>
      </x:c>
      <x:c r="I60" s="23" t="n">
        <x:v>6.35</x:v>
      </x:c>
      <x:c r="J60" s="21" t="n">
        <x:v>2</x:v>
      </x:c>
      <x:c r="K60" s="21" t="n">
        <x:v>31</x:v>
      </x:c>
      <x:c r="L60" s="25" t="n">
        <x:f>IF(AND(ISNUMBER(J60),ISNUMBER(K60),K60&gt;0),J60/K60,"")</x:f>
        <x:v>0.06451612903225806</x:v>
      </x:c>
      <x:c r="M60" s="23" t="n">
        <x:v>7.8</x:v>
      </x:c>
      <x:c r="N60" s="14" t="str">
        <x:v>Не входит в 7 примеров исключения; индивидуальный статус не проверялся</x:v>
      </x:c>
      <x:c r="O60" s="14" t="str">
        <x:v>Выгрузка страниц</x:v>
      </x:c>
    </x:row>
    <x:row r="61" ht="52" customHeight="1">
      <x:c r="A61" s="12" t="str">
        <x:v>Витаминные капельницы (IV терапия)</x:v>
      </x:c>
      <x:c r="B61" s="15" t="str">
        <x:v>https://kozhaclinic.ru/iv-terapiya/</x:v>
      </x:c>
      <x:c r="C61" s="20" t="n">
        <x:v>6</x:v>
      </x:c>
      <x:c r="D61" s="20" t="n">
        <x:v>217</x:v>
      </x:c>
      <x:c r="E61" s="22" t="n">
        <x:v>11.61</x:v>
      </x:c>
      <x:c r="F61" s="20" t="n">
        <x:v>2</x:v>
      </x:c>
      <x:c r="G61" s="20" t="n">
        <x:v>90</x:v>
      </x:c>
      <x:c r="H61" s="24" t="n">
        <x:f>IF(AND(ISNUMBER(F61),ISNUMBER(G61),G61&gt;0),F61/G61,"")</x:f>
        <x:v>0.022222222222222223</x:v>
      </x:c>
      <x:c r="I61" s="22" t="n">
        <x:v>16.31</x:v>
      </x:c>
      <x:c r="J61" s="20" t="n">
        <x:v>0</x:v>
      </x:c>
      <x:c r="K61" s="20" t="n">
        <x:v>13</x:v>
      </x:c>
      <x:c r="L61" s="24" t="n">
        <x:f>IF(AND(ISNUMBER(J61),ISNUMBER(K61),K61&gt;0),J61/K61,"")</x:f>
        <x:v>0</x:v>
      </x:c>
      <x:c r="M61" s="22" t="n">
        <x:v>8</x:v>
      </x:c>
      <x:c r="N61" s="12" t="str">
        <x:v>Не входит в 7 примеров исключения; индивидуальный статус не проверялся</x:v>
      </x:c>
      <x:c r="O61" s="12" t="str">
        <x:v>Выгрузка страниц</x:v>
      </x:c>
    </x:row>
    <x:row r="62" ht="52" customHeight="1">
      <x:c r="A62" s="14" t="str">
        <x:v>Детоксикация</x:v>
      </x:c>
      <x:c r="B62" s="16" t="str">
        <x:v>https://kozhaclinic.ru/iv-terapiya/detoksikatsiya/</x:v>
      </x:c>
      <x:c r="C62" s="21" t="n">
        <x:v>4</x:v>
      </x:c>
      <x:c r="D62" s="21" t="n">
        <x:v>143</x:v>
      </x:c>
      <x:c r="E62" s="23" t="n">
        <x:v>9.71</x:v>
      </x:c>
      <x:c r="F62" s="21" t="n">
        <x:v>2</x:v>
      </x:c>
      <x:c r="G62" s="21" t="n">
        <x:v>49</x:v>
      </x:c>
      <x:c r="H62" s="25" t="n">
        <x:f>IF(AND(ISNUMBER(F62),ISNUMBER(G62),G62&gt;0),F62/G62,"")</x:f>
        <x:v>0.04081632653061224</x:v>
      </x:c>
      <x:c r="I62" s="23" t="n">
        <x:v>9.88</x:v>
      </x:c>
      <x:c r="J62" s="21" t="n">
        <x:v>0</x:v>
      </x:c>
      <x:c r="K62" s="21" t="n">
        <x:v>16</x:v>
      </x:c>
      <x:c r="L62" s="25" t="n">
        <x:f>IF(AND(ISNUMBER(J62),ISNUMBER(K62),K62&gt;0),J62/K62,"")</x:f>
        <x:v>0</x:v>
      </x:c>
      <x:c r="M62" s="23" t="n">
        <x:v>8.4</x:v>
      </x:c>
      <x:c r="N62" s="14" t="str">
        <x:v>Не входит в 7 примеров исключения; индивидуальный статус не проверялся</x:v>
      </x:c>
      <x:c r="O62" s="14" t="str">
        <x:v>Выгрузка страниц</x:v>
      </x:c>
    </x:row>
    <x:row r="63" ht="52" customHeight="1">
      <x:c r="A63" s="12" t="str">
        <x:v>Иммуностимуляция</x:v>
      </x:c>
      <x:c r="B63" s="15" t="str">
        <x:v>https://kozhaclinic.ru/iv-terapiya/immunostimulyatsiya/</x:v>
      </x:c>
      <x:c r="C63" s="20" t="n">
        <x:v>0</x:v>
      </x:c>
      <x:c r="D63" s="20" t="n">
        <x:v>101</x:v>
      </x:c>
      <x:c r="E63" s="22" t="n">
        <x:v>6.52</x:v>
      </x:c>
      <x:c r="F63" s="20" t="n">
        <x:v>0</x:v>
      </x:c>
      <x:c r="G63" s="20" t="n">
        <x:v>39</x:v>
      </x:c>
      <x:c r="H63" s="24" t="n">
        <x:f>IF(AND(ISNUMBER(F63),ISNUMBER(G63),G63&gt;0),F63/G63,"")</x:f>
        <x:v>0</x:v>
      </x:c>
      <x:c r="I63" s="22" t="n">
        <x:v>7.46</x:v>
      </x:c>
      <x:c r="J63" s="20" t="n">
        <x:v>0</x:v>
      </x:c>
      <x:c r="K63" s="20" t="n">
        <x:v>13</x:v>
      </x:c>
      <x:c r="L63" s="24" t="n">
        <x:f>IF(AND(ISNUMBER(J63),ISNUMBER(K63),K63&gt;0),J63/K63,"")</x:f>
        <x:v>0</x:v>
      </x:c>
      <x:c r="M63" s="22" t="n">
        <x:v>8</x:v>
      </x:c>
      <x:c r="N63" s="12" t="str">
        <x:v>Не входит в 7 примеров исключения; индивидуальный статус не проверялся</x:v>
      </x:c>
      <x:c r="O63" s="12" t="str">
        <x:v>Выгрузка страниц</x:v>
      </x:c>
    </x:row>
    <x:row r="64" ht="52" customHeight="1">
      <x:c r="A64" s="14" t="str">
        <x:v>Капельницы «Лаеннек»</x:v>
      </x:c>
      <x:c r="B64" s="16" t="str">
        <x:v>https://kozhaclinic.ru/iv-terapiya/vosstanovlenie/</x:v>
      </x:c>
      <x:c r="C64" s="21" t="n">
        <x:v>3</x:v>
      </x:c>
      <x:c r="D64" s="21" t="n">
        <x:v>102</x:v>
      </x:c>
      <x:c r="E64" s="23" t="n">
        <x:v>6.9</x:v>
      </x:c>
      <x:c r="F64" s="21" t="n">
        <x:v>0</x:v>
      </x:c>
      <x:c r="G64" s="21" t="n">
        <x:v>30</x:v>
      </x:c>
      <x:c r="H64" s="25" t="n">
        <x:f>IF(AND(ISNUMBER(F64),ISNUMBER(G64),G64&gt;0),F64/G64,"")</x:f>
        <x:v>0</x:v>
      </x:c>
      <x:c r="I64" s="23" t="n">
        <x:v>6.03</x:v>
      </x:c>
      <x:c r="J64" s="21" t="n">
        <x:v>0</x:v>
      </x:c>
      <x:c r="K64" s="21" t="n">
        <x:v>2</x:v>
      </x:c>
      <x:c r="L64" s="25" t="n">
        <x:f>IF(AND(ISNUMBER(J64),ISNUMBER(K64),K64&gt;0),J64/K64,"")</x:f>
        <x:v>0</x:v>
      </x:c>
      <x:c r="M64" s="23" t="n">
        <x:v>7</x:v>
      </x:c>
      <x:c r="N64" s="14" t="str">
        <x:v>Не входит в 7 примеров исключения; индивидуальный статус не проверялся</x:v>
      </x:c>
      <x:c r="O64" s="14" t="str">
        <x:v>Выгрузка страниц</x:v>
      </x:c>
    </x:row>
    <x:row r="65" ht="52" customHeight="1">
      <x:c r="A65" s="12" t="str">
        <x:v>Избавление от пигментации</x:v>
      </x:c>
      <x:c r="B65" s="15" t="str">
        <x:v>https://kozhaclinic.ru/izbavlenie-ot-pigmentatsii/</x:v>
      </x:c>
      <x:c r="C65" s="20" t="n">
        <x:v>26</x:v>
      </x:c>
      <x:c r="D65" s="20" t="n">
        <x:v>457</x:v>
      </x:c>
      <x:c r="E65" s="22" t="n">
        <x:v>4.63</x:v>
      </x:c>
      <x:c r="F65" s="20" t="n">
        <x:v>4</x:v>
      </x:c>
      <x:c r="G65" s="20" t="n">
        <x:v>96</x:v>
      </x:c>
      <x:c r="H65" s="24" t="n">
        <x:f>IF(AND(ISNUMBER(F65),ISNUMBER(G65),G65&gt;0),F65/G65,"")</x:f>
        <x:v>0.041666666666666664</x:v>
      </x:c>
      <x:c r="I65" s="22" t="n">
        <x:v>3.9</x:v>
      </x:c>
      <x:c r="J65" s="20" t="n">
        <x:v>2</x:v>
      </x:c>
      <x:c r="K65" s="20" t="n">
        <x:v>52</x:v>
      </x:c>
      <x:c r="L65" s="24" t="n">
        <x:f>IF(AND(ISNUMBER(J65),ISNUMBER(K65),K65&gt;0),J65/K65,"")</x:f>
        <x:v>0.038461538461538464</x:v>
      </x:c>
      <x:c r="M65" s="22" t="n">
        <x:v>6</x:v>
      </x:c>
      <x:c r="N65" s="12" t="str">
        <x:v>Не входит в 7 примеров исключения; индивидуальный статус не проверялся</x:v>
      </x:c>
      <x:c r="O65" s="12" t="str">
        <x:v>Выгрузка страниц</x:v>
      </x:c>
    </x:row>
    <x:row r="66" ht="52" customHeight="1">
      <x:c r="A66" s="14" t="str">
        <x:v>Контакты</x:v>
      </x:c>
      <x:c r="B66" s="16" t="str">
        <x:v>https://kozhaclinic.ru/kontakty/</x:v>
      </x:c>
      <x:c r="C66" s="21" t="n">
        <x:v>25</x:v>
      </x:c>
      <x:c r="D66" s="21" t="n">
        <x:v>855</x:v>
      </x:c>
      <x:c r="E66" s="23" t="n">
        <x:v>3.33</x:v>
      </x:c>
      <x:c r="F66" s="21" t="n">
        <x:v>9</x:v>
      </x:c>
      <x:c r="G66" s="21" t="n">
        <x:v>252</x:v>
      </x:c>
      <x:c r="H66" s="25" t="n">
        <x:f>IF(AND(ISNUMBER(F66),ISNUMBER(G66),G66&gt;0),F66/G66,"")</x:f>
        <x:v>0.03571428571428571</x:v>
      </x:c>
      <x:c r="I66" s="23" t="n">
        <x:v>2.47</x:v>
      </x:c>
      <x:c r="J66" s="21" t="n">
        <x:v>0</x:v>
      </x:c>
      <x:c r="K66" s="21" t="n">
        <x:v>11</x:v>
      </x:c>
      <x:c r="L66" s="25" t="n">
        <x:f>IF(AND(ISNUMBER(J66),ISNUMBER(K66),K66&gt;0),J66/K66,"")</x:f>
        <x:v>0</x:v>
      </x:c>
      <x:c r="M66" s="23" t="n">
        <x:v>6</x:v>
      </x:c>
      <x:c r="N66" s="14" t="str">
        <x:v>Не входит в 7 примеров исключения; индивидуальный статус не проверялся</x:v>
      </x:c>
      <x:c r="O66" s="14" t="str">
        <x:v>Выгрузка страниц</x:v>
      </x:c>
    </x:row>
    <x:row r="67" ht="52" customHeight="1">
      <x:c r="A67" s="12" t="str">
        <x:v>Коррекция растяжек (стрий)</x:v>
      </x:c>
      <x:c r="B67" s="15" t="str">
        <x:v>https://kozhaclinic.ru/korrektsiya-rastyazhek/</x:v>
      </x:c>
      <x:c r="C67" s="20" t="n">
        <x:v>3</x:v>
      </x:c>
      <x:c r="D67" s="20" t="n">
        <x:v>403</x:v>
      </x:c>
      <x:c r="E67" s="22" t="n">
        <x:v>7.15</x:v>
      </x:c>
      <x:c r="F67" s="20" t="n">
        <x:v>0</x:v>
      </x:c>
      <x:c r="G67" s="20" t="n">
        <x:v>157</x:v>
      </x:c>
      <x:c r="H67" s="24" t="n">
        <x:f>IF(AND(ISNUMBER(F67),ISNUMBER(G67),G67&gt;0),F67/G67,"")</x:f>
        <x:v>0</x:v>
      </x:c>
      <x:c r="I67" s="22" t="n">
        <x:v>7.45</x:v>
      </x:c>
      <x:c r="J67" s="20" t="n">
        <x:v>0</x:v>
      </x:c>
      <x:c r="K67" s="20" t="n">
        <x:v>16</x:v>
      </x:c>
      <x:c r="L67" s="24" t="n">
        <x:f>IF(AND(ISNUMBER(J67),ISNUMBER(K67),K67&gt;0),J67/K67,"")</x:f>
        <x:v>0</x:v>
      </x:c>
      <x:c r="M67" s="22" t="n">
        <x:v>6.4</x:v>
      </x:c>
      <x:c r="N67" s="12" t="str">
        <x:v>Не входит в 7 примеров исключения; индивидуальный статус не проверялся</x:v>
      </x:c>
      <x:c r="O67" s="12" t="str">
        <x:v>Выгрузка страниц</x:v>
      </x:c>
    </x:row>
    <x:row r="68" ht="52" customHeight="1">
      <x:c r="A68" s="14" t="str">
        <x:v>Лазерная косметология</x:v>
      </x:c>
      <x:c r="B68" s="16" t="str">
        <x:v>https://kozhaclinic.ru/lazernaya-kosmetologiya/</x:v>
      </x:c>
      <x:c r="C68" s="21" t="n">
        <x:v>6</x:v>
      </x:c>
      <x:c r="D68" s="21" t="n">
        <x:v>702</x:v>
      </x:c>
      <x:c r="E68" s="23" t="n">
        <x:v>19.85</x:v>
      </x:c>
      <x:c r="F68" s="21" t="n">
        <x:v>2</x:v>
      </x:c>
      <x:c r="G68" s="21" t="n">
        <x:v>232</x:v>
      </x:c>
      <x:c r="H68" s="25" t="n">
        <x:f>IF(AND(ISNUMBER(F68),ISNUMBER(G68),G68&gt;0),F68/G68,"")</x:f>
        <x:v>0.008620689655172414</x:v>
      </x:c>
      <x:c r="I68" s="23" t="n">
        <x:v>18.1</x:v>
      </x:c>
      <x:c r="J68" s="21" t="n">
        <x:v>1</x:v>
      </x:c>
      <x:c r="K68" s="21" t="n">
        <x:v>11</x:v>
      </x:c>
      <x:c r="L68" s="25" t="n">
        <x:f>IF(AND(ISNUMBER(J68),ISNUMBER(K68),K68&gt;0),J68/K68,"")</x:f>
        <x:v>0.09090909090909091</x:v>
      </x:c>
      <x:c r="M68" s="23" t="n">
        <x:v>9.5</x:v>
      </x:c>
      <x:c r="N68" s="14" t="str">
        <x:v>Не входит в 7 примеров исключения; индивидуальный статус не проверялся</x:v>
      </x:c>
      <x:c r="O68" s="14" t="str">
        <x:v>Выгрузка страниц</x:v>
      </x:c>
    </x:row>
    <x:row r="69" ht="52" customHeight="1">
      <x:c r="A69" s="12" t="str">
        <x:v>Лазерная эпиляция</x:v>
      </x:c>
      <x:c r="B69" s="15" t="str">
        <x:v>https://kozhaclinic.ru/lazernaya-kosmetologiya/lazernaya-epilyaciya/</x:v>
      </x:c>
      <x:c r="C69" s="20" t="n">
        <x:v>25</x:v>
      </x:c>
      <x:c r="D69" s="20" t="n">
        <x:v>3482</x:v>
      </x:c>
      <x:c r="E69" s="22" t="n">
        <x:v>12.28</x:v>
      </x:c>
      <x:c r="F69" s="20" t="n">
        <x:v>15</x:v>
      </x:c>
      <x:c r="G69" s="20" t="n">
        <x:v>1536</x:v>
      </x:c>
      <x:c r="H69" s="24" t="n">
        <x:f>IF(AND(ISNUMBER(F69),ISNUMBER(G69),G69&gt;0),F69/G69,"")</x:f>
        <x:v>0.009765625</x:v>
      </x:c>
      <x:c r="I69" s="22" t="n">
        <x:v>11.74</x:v>
      </x:c>
      <x:c r="J69" s="20" t="n">
        <x:v>2</x:v>
      </x:c>
      <x:c r="K69" s="20" t="n">
        <x:v>318</x:v>
      </x:c>
      <x:c r="L69" s="24" t="n">
        <x:f>IF(AND(ISNUMBER(J69),ISNUMBER(K69),K69&gt;0),J69/K69,"")</x:f>
        <x:v>0.006289308176100629</x:v>
      </x:c>
      <x:c r="M69" s="22" t="n">
        <x:v>10.2</x:v>
      </x:c>
      <x:c r="N69" s="12" t="str">
        <x:v>Не входит в 7 примеров исключения; индивидуальный статус не проверялся</x:v>
      </x:c>
      <x:c r="O69" s="12" t="str">
        <x:v>Выгрузка страниц</x:v>
      </x:c>
    </x:row>
    <x:row r="70" ht="52" customHeight="1">
      <x:c r="A70" s="14" t="str">
        <x:v>Лазерная эпиляция для мужчин</x:v>
      </x:c>
      <x:c r="B70" s="16" t="str">
        <x:v>https://kozhaclinic.ru/lazernaya-kosmetologiya/lazernaya-epilyaciya/dlya-muzhchin/</x:v>
      </x:c>
      <x:c r="C70" s="21" t="n">
        <x:v>16</x:v>
      </x:c>
      <x:c r="D70" s="21" t="n">
        <x:v>733</x:v>
      </x:c>
      <x:c r="E70" s="23" t="n">
        <x:v>11.74</x:v>
      </x:c>
      <x:c r="F70" s="21" t="n">
        <x:v>11</x:v>
      </x:c>
      <x:c r="G70" s="21" t="n">
        <x:v>295</x:v>
      </x:c>
      <x:c r="H70" s="25" t="n">
        <x:f>IF(AND(ISNUMBER(F70),ISNUMBER(G70),G70&gt;0),F70/G70,"")</x:f>
        <x:v>0.03728813559322034</x:v>
      </x:c>
      <x:c r="I70" s="23" t="n">
        <x:v>11.97</x:v>
      </x:c>
      <x:c r="J70" s="21" t="n">
        <x:v>2</x:v>
      </x:c>
      <x:c r="K70" s="21" t="n">
        <x:v>84</x:v>
      </x:c>
      <x:c r="L70" s="25" t="n">
        <x:f>IF(AND(ISNUMBER(J70),ISNUMBER(K70),K70&gt;0),J70/K70,"")</x:f>
        <x:v>0.023809523809523808</x:v>
      </x:c>
      <x:c r="M70" s="23" t="n">
        <x:v>7.7</x:v>
      </x:c>
      <x:c r="N70" s="14" t="str">
        <x:v>Не входит в 7 примеров исключения; индивидуальный статус не проверялся</x:v>
      </x:c>
      <x:c r="O70" s="14" t="str">
        <x:v>Выгрузка страниц</x:v>
      </x:c>
    </x:row>
    <x:row r="71" ht="52" customHeight="1">
      <x:c r="A71" s="12" t="str">
        <x:v>Лазерная эпиляция для женщин</x:v>
      </x:c>
      <x:c r="B71" s="15" t="str">
        <x:v>https://kozhaclinic.ru/lazernaya-kosmetologiya/lazernaya-epilyaciya/dlya-zhenshchin/</x:v>
      </x:c>
      <x:c r="C71" s="20" t="n">
        <x:v>22</x:v>
      </x:c>
      <x:c r="D71" s="20" t="n">
        <x:v>4691</x:v>
      </x:c>
      <x:c r="E71" s="22" t="n">
        <x:v>10.7</x:v>
      </x:c>
      <x:c r="F71" s="20" t="n">
        <x:v>5</x:v>
      </x:c>
      <x:c r="G71" s="20" t="n">
        <x:v>821</x:v>
      </x:c>
      <x:c r="H71" s="24" t="n">
        <x:f>IF(AND(ISNUMBER(F71),ISNUMBER(G71),G71&gt;0),F71/G71,"")</x:f>
        <x:v>0.0060901339829476245</x:v>
      </x:c>
      <x:c r="I71" s="22" t="n">
        <x:v>11.6</x:v>
      </x:c>
      <x:c r="J71" s="20" t="n">
        <x:v>0</x:v>
      </x:c>
      <x:c r="K71" s="20" t="n">
        <x:v>66</x:v>
      </x:c>
      <x:c r="L71" s="24" t="n">
        <x:f>IF(AND(ISNUMBER(J71),ISNUMBER(K71),K71&gt;0),J71/K71,"")</x:f>
        <x:v>0</x:v>
      </x:c>
      <x:c r="M71" s="22" t="n">
        <x:v>9.9</x:v>
      </x:c>
      <x:c r="N71" s="12" t="str">
        <x:v>Не входит в 7 примеров исключения; индивидуальный статус не проверялся</x:v>
      </x:c>
      <x:c r="O71" s="12" t="str">
        <x:v>Выгрузка страниц</x:v>
      </x:c>
    </x:row>
    <x:row r="72" ht="52" customHeight="1">
      <x:c r="A72" s="14" t="str">
        <x:v>Лазерная эпиляция глубокого бикини</x:v>
      </x:c>
      <x:c r="B72" s="16" t="str">
        <x:v>https://kozhaclinic.ru/lazernaya-kosmetologiya/lazernaya-epilyaciya/glubokogo-bikini/</x:v>
      </x:c>
      <x:c r="C72" s="21" t="n">
        <x:v>0</x:v>
      </x:c>
      <x:c r="D72" s="21" t="n">
        <x:v>315</x:v>
      </x:c>
      <x:c r="E72" s="23" t="n">
        <x:v>27.54</x:v>
      </x:c>
      <x:c r="F72" s="21" t="n">
        <x:v>0</x:v>
      </x:c>
      <x:c r="G72" s="21" t="n">
        <x:v>68</x:v>
      </x:c>
      <x:c r="H72" s="25" t="n">
        <x:f>IF(AND(ISNUMBER(F72),ISNUMBER(G72),G72&gt;0),F72/G72,"")</x:f>
        <x:v>0</x:v>
      </x:c>
      <x:c r="I72" s="23" t="n">
        <x:v>28.01</x:v>
      </x:c>
      <x:c r="J72" s="21" t="n">
        <x:v>0</x:v>
      </x:c>
      <x:c r="K72" s="21" t="n">
        <x:v>18</x:v>
      </x:c>
      <x:c r="L72" s="25" t="n">
        <x:f>IF(AND(ISNUMBER(J72),ISNUMBER(K72),K72&gt;0),J72/K72,"")</x:f>
        <x:v>0</x:v>
      </x:c>
      <x:c r="M72" s="23" t="n">
        <x:v>8.2</x:v>
      </x:c>
      <x:c r="N72" s="14" t="str">
        <x:v>Не входит в 7 примеров исключения; индивидуальный статус не проверялся</x:v>
      </x:c>
      <x:c r="O72" s="14" t="str">
        <x:v>Выгрузка страниц</x:v>
      </x:c>
    </x:row>
    <x:row r="73" ht="52" customHeight="1">
      <x:c r="A73" s="12" t="str">
        <x:v>Лазерная эпиляция лица для мужчин</x:v>
      </x:c>
      <x:c r="B73" s="15" t="str">
        <x:v>https://kozhaclinic.ru/lazernaya-kosmetologiya/lazernaya-epilyaciya/litsa-dlya-muzhchin/</x:v>
      </x:c>
      <x:c r="C73" s="20" t="n">
        <x:v>10</x:v>
      </x:c>
      <x:c r="D73" s="20" t="n">
        <x:v>1316</x:v>
      </x:c>
      <x:c r="E73" s="22" t="n">
        <x:v>15.46</x:v>
      </x:c>
      <x:c r="F73" s="20" t="n">
        <x:v>3</x:v>
      </x:c>
      <x:c r="G73" s="20" t="n">
        <x:v>352</x:v>
      </x:c>
      <x:c r="H73" s="24" t="n">
        <x:f>IF(AND(ISNUMBER(F73),ISNUMBER(G73),G73&gt;0),F73/G73,"")</x:f>
        <x:v>0.008522727272727272</x:v>
      </x:c>
      <x:c r="I73" s="22" t="n">
        <x:v>21.95</x:v>
      </x:c>
      <x:c r="J73" s="20" t="n">
        <x:v>0</x:v>
      </x:c>
      <x:c r="K73" s="20" t="n">
        <x:v>14</x:v>
      </x:c>
      <x:c r="L73" s="24" t="n">
        <x:f>IF(AND(ISNUMBER(J73),ISNUMBER(K73),K73&gt;0),J73/K73,"")</x:f>
        <x:v>0</x:v>
      </x:c>
      <x:c r="M73" s="22" t="n">
        <x:v>7.5</x:v>
      </x:c>
      <x:c r="N73" s="12" t="str">
        <x:v>Не входит в 7 примеров исключения; индивидуальный статус не проверялся</x:v>
      </x:c>
      <x:c r="O73" s="12" t="str">
        <x:v>Выгрузка страниц</x:v>
      </x:c>
    </x:row>
    <x:row r="74" ht="52" customHeight="1">
      <x:c r="A74" s="14" t="str">
        <x:v>Лазерная эпиляция лица для женщин</x:v>
      </x:c>
      <x:c r="B74" s="16" t="str">
        <x:v>https://kozhaclinic.ru/lazernaya-kosmetologiya/lazernaya-epilyaciya/litsa-dlya-zhenshchin/</x:v>
      </x:c>
      <x:c r="C74" s="21" t="n">
        <x:v>2</x:v>
      </x:c>
      <x:c r="D74" s="21" t="n">
        <x:v>430</x:v>
      </x:c>
      <x:c r="E74" s="23" t="n">
        <x:v>17.59</x:v>
      </x:c>
      <x:c r="F74" s="21" t="n">
        <x:v>0</x:v>
      </x:c>
      <x:c r="G74" s="21" t="n">
        <x:v>89</x:v>
      </x:c>
      <x:c r="H74" s="25" t="n">
        <x:f>IF(AND(ISNUMBER(F74),ISNUMBER(G74),G74&gt;0),F74/G74,"")</x:f>
        <x:v>0</x:v>
      </x:c>
      <x:c r="I74" s="23" t="n">
        <x:v>24.49</x:v>
      </x:c>
      <x:c r="J74" s="21" t="n">
        <x:v>1</x:v>
      </x:c>
      <x:c r="K74" s="21" t="n">
        <x:v>7</x:v>
      </x:c>
      <x:c r="L74" s="25" t="n">
        <x:f>IF(AND(ISNUMBER(J74),ISNUMBER(K74),K74&gt;0),J74/K74,"")</x:f>
        <x:v>0.14285714285714285</x:v>
      </x:c>
      <x:c r="M74" s="23" t="n">
        <x:v>4.7</x:v>
      </x:c>
      <x:c r="N74" s="14" t="str">
        <x:v>Не входит в 7 примеров исключения; индивидуальный статус не проверялся</x:v>
      </x:c>
      <x:c r="O74" s="14" t="str">
        <x:v>Выгрузка страниц</x:v>
      </x:c>
    </x:row>
    <x:row r="75" ht="52" customHeight="1">
      <x:c r="A75" s="12" t="str">
        <x:v>Лазерная эпиляция ног</x:v>
      </x:c>
      <x:c r="B75" s="15" t="str">
        <x:v>https://kozhaclinic.ru/lazernaya-kosmetologiya/lazernaya-epilyaciya/nog/</x:v>
      </x:c>
      <x:c r="C75" s="20" t="n">
        <x:v>2</x:v>
      </x:c>
      <x:c r="D75" s="20" t="n">
        <x:v>243</x:v>
      </x:c>
      <x:c r="E75" s="22" t="n">
        <x:v>23.95</x:v>
      </x:c>
      <x:c r="F75" s="20" t="n">
        <x:v>0</x:v>
      </x:c>
      <x:c r="G75" s="20" t="n">
        <x:v>69</x:v>
      </x:c>
      <x:c r="H75" s="24" t="n">
        <x:f>IF(AND(ISNUMBER(F75),ISNUMBER(G75),G75&gt;0),F75/G75,"")</x:f>
        <x:v>0</x:v>
      </x:c>
      <x:c r="I75" s="22" t="n">
        <x:v>37.51</x:v>
      </x:c>
      <x:c r="J75" s="20"/>
      <x:c r="K75" s="20"/>
      <x:c r="L75" s="24" t="str">
        <x:f>IF(AND(ISNUMBER(J75),ISNUMBER(K75),K75&gt;0),J75/K75,"")</x:f>
      </x:c>
      <x:c r="M75" s="22"/>
      <x:c r="N75" s="12" t="str">
        <x:v>Не входит в 7 примеров исключения; индивидуальный статус не проверялся</x:v>
      </x:c>
      <x:c r="O75" s="12" t="str">
        <x:v>Выгрузка страниц</x:v>
      </x:c>
    </x:row>
    <x:row r="76" ht="52" customHeight="1">
      <x:c r="A76" s="14" t="str">
        <x:v>Лазерная эпиляция подмышек</x:v>
      </x:c>
      <x:c r="B76" s="16" t="str">
        <x:v>https://kozhaclinic.ru/lazernaya-kosmetologiya/lazernaya-epilyaciya/podmyshek/</x:v>
      </x:c>
      <x:c r="C76" s="21" t="n">
        <x:v>3</x:v>
      </x:c>
      <x:c r="D76" s="21" t="n">
        <x:v>402</x:v>
      </x:c>
      <x:c r="E76" s="23" t="n">
        <x:v>13.21</x:v>
      </x:c>
      <x:c r="F76" s="21" t="n">
        <x:v>1</x:v>
      </x:c>
      <x:c r="G76" s="21" t="n">
        <x:v>136</x:v>
      </x:c>
      <x:c r="H76" s="25" t="n">
        <x:f>IF(AND(ISNUMBER(F76),ISNUMBER(G76),G76&gt;0),F76/G76,"")</x:f>
        <x:v>0.007352941176470588</x:v>
      </x:c>
      <x:c r="I76" s="23" t="n">
        <x:v>4.76</x:v>
      </x:c>
      <x:c r="J76" s="21" t="n">
        <x:v>0</x:v>
      </x:c>
      <x:c r="K76" s="21" t="n">
        <x:v>4</x:v>
      </x:c>
      <x:c r="L76" s="25" t="n">
        <x:f>IF(AND(ISNUMBER(J76),ISNUMBER(K76),K76&gt;0),J76/K76,"")</x:f>
        <x:v>0</x:v>
      </x:c>
      <x:c r="M76" s="23" t="n">
        <x:v>6.5</x:v>
      </x:c>
      <x:c r="N76" s="14" t="str">
        <x:v>Не входит в 7 примеров исключения; индивидуальный статус не проверялся</x:v>
      </x:c>
      <x:c r="O76" s="14" t="str">
        <x:v>Выгрузка страниц</x:v>
      </x:c>
    </x:row>
    <x:row r="77" ht="52" customHeight="1">
      <x:c r="A77" s="12" t="str">
        <x:v>Лазерная эпиляция рук</x:v>
      </x:c>
      <x:c r="B77" s="15" t="str">
        <x:v>https://kozhaclinic.ru/lazernaya-kosmetologiya/lazernaya-epilyaciya/ruk/</x:v>
      </x:c>
      <x:c r="C77" s="20" t="n">
        <x:v>0</x:v>
      </x:c>
      <x:c r="D77" s="20" t="n">
        <x:v>483</x:v>
      </x:c>
      <x:c r="E77" s="22" t="n">
        <x:v>20.39</x:v>
      </x:c>
      <x:c r="F77" s="20" t="n">
        <x:v>0</x:v>
      </x:c>
      <x:c r="G77" s="20" t="n">
        <x:v>294</x:v>
      </x:c>
      <x:c r="H77" s="24" t="n">
        <x:f>IF(AND(ISNUMBER(F77),ISNUMBER(G77),G77&gt;0),F77/G77,"")</x:f>
        <x:v>0</x:v>
      </x:c>
      <x:c r="I77" s="22" t="n">
        <x:v>20.99</x:v>
      </x:c>
      <x:c r="J77" s="20" t="n">
        <x:v>0</x:v>
      </x:c>
      <x:c r="K77" s="20" t="n">
        <x:v>5</x:v>
      </x:c>
      <x:c r="L77" s="24" t="n">
        <x:f>IF(AND(ISNUMBER(J77),ISNUMBER(K77),K77&gt;0),J77/K77,"")</x:f>
        <x:v>0</x:v>
      </x:c>
      <x:c r="M77" s="22" t="n">
        <x:v>5.8</x:v>
      </x:c>
      <x:c r="N77" s="12" t="str">
        <x:v>Не входит в 7 примеров исключения; индивидуальный статус не проверялся</x:v>
      </x:c>
      <x:c r="O77" s="12" t="str">
        <x:v>Выгрузка страниц</x:v>
      </x:c>
    </x:row>
    <x:row r="78" ht="52" customHeight="1">
      <x:c r="A78" s="14" t="str">
        <x:v>Лазерная эпиляция спины</x:v>
      </x:c>
      <x:c r="B78" s="16" t="str">
        <x:v>https://kozhaclinic.ru/lazernaya-kosmetologiya/lazernaya-epilyaciya/spiny/</x:v>
      </x:c>
      <x:c r="C78" s="21" t="n">
        <x:v>0</x:v>
      </x:c>
      <x:c r="D78" s="21" t="n">
        <x:v>670</x:v>
      </x:c>
      <x:c r="E78" s="23" t="n">
        <x:v>17.26</x:v>
      </x:c>
      <x:c r="F78" s="21" t="n">
        <x:v>0</x:v>
      </x:c>
      <x:c r="G78" s="21" t="n">
        <x:v>313</x:v>
      </x:c>
      <x:c r="H78" s="25" t="n">
        <x:f>IF(AND(ISNUMBER(F78),ISNUMBER(G78),G78&gt;0),F78/G78,"")</x:f>
        <x:v>0</x:v>
      </x:c>
      <x:c r="I78" s="23" t="n">
        <x:v>20.04</x:v>
      </x:c>
      <x:c r="J78" s="21" t="n">
        <x:v>0</x:v>
      </x:c>
      <x:c r="K78" s="21" t="n">
        <x:v>6</x:v>
      </x:c>
      <x:c r="L78" s="25" t="n">
        <x:f>IF(AND(ISNUMBER(J78),ISNUMBER(K78),K78&gt;0),J78/K78,"")</x:f>
        <x:v>0</x:v>
      </x:c>
      <x:c r="M78" s="23" t="n">
        <x:v>3</x:v>
      </x:c>
      <x:c r="N78" s="14" t="str">
        <x:v>Не входит в 7 примеров исключения; индивидуальный статус не проверялся</x:v>
      </x:c>
      <x:c r="O78" s="14" t="str">
        <x:v>Выгрузка страниц</x:v>
      </x:c>
    </x:row>
    <x:row r="79" ht="52" customHeight="1">
      <x:c r="A79" s="12" t="str">
        <x:v>Лазерная эпиляция всего тела</x:v>
      </x:c>
      <x:c r="B79" s="15" t="str">
        <x:v>https://kozhaclinic.ru/lazernaya-kosmetologiya/lazernaya-epilyaciya/vsego-tela/</x:v>
      </x:c>
      <x:c r="C79" s="20" t="n">
        <x:v>3</x:v>
      </x:c>
      <x:c r="D79" s="20" t="n">
        <x:v>576</x:v>
      </x:c>
      <x:c r="E79" s="22" t="n">
        <x:v>12.82</x:v>
      </x:c>
      <x:c r="F79" s="20" t="n">
        <x:v>3</x:v>
      </x:c>
      <x:c r="G79" s="20" t="n">
        <x:v>576</x:v>
      </x:c>
      <x:c r="H79" s="24" t="n">
        <x:f>IF(AND(ISNUMBER(F79),ISNUMBER(G79),G79&gt;0),F79/G79,"")</x:f>
        <x:v>0.005208333333333333</x:v>
      </x:c>
      <x:c r="I79" s="22" t="n">
        <x:v>12.82</x:v>
      </x:c>
      <x:c r="J79" s="20"/>
      <x:c r="K79" s="20"/>
      <x:c r="L79" s="24" t="str">
        <x:f>IF(AND(ISNUMBER(J79),ISNUMBER(K79),K79&gt;0),J79/K79,"")</x:f>
      </x:c>
      <x:c r="M79" s="22"/>
      <x:c r="N79" s="12" t="str">
        <x:v>Не входит в 7 примеров исключения; индивидуальный статус не проверялся</x:v>
      </x:c>
      <x:c r="O79" s="12" t="str">
        <x:v>Выгрузка страниц</x:v>
      </x:c>
    </x:row>
    <x:row r="80" ht="52" customHeight="1">
      <x:c r="A80" s="14" t="str">
        <x:v>Лечение акне</x:v>
      </x:c>
      <x:c r="B80" s="16" t="str">
        <x:v>https://kozhaclinic.ru/lechenie-akne/</x:v>
      </x:c>
      <x:c r="C80" s="21" t="n">
        <x:v>7</x:v>
      </x:c>
      <x:c r="D80" s="21" t="n">
        <x:v>194</x:v>
      </x:c>
      <x:c r="E80" s="23" t="n">
        <x:v>7.56</x:v>
      </x:c>
      <x:c r="F80" s="21" t="n">
        <x:v>3</x:v>
      </x:c>
      <x:c r="G80" s="21" t="n">
        <x:v>126</x:v>
      </x:c>
      <x:c r="H80" s="25" t="n">
        <x:f>IF(AND(ISNUMBER(F80),ISNUMBER(G80),G80&gt;0),F80/G80,"")</x:f>
        <x:v>0.023809523809523808</x:v>
      </x:c>
      <x:c r="I80" s="23" t="n">
        <x:v>7.26</x:v>
      </x:c>
      <x:c r="J80" s="21" t="n">
        <x:v>10</x:v>
      </x:c>
      <x:c r="K80" s="21" t="n">
        <x:v>67</x:v>
      </x:c>
      <x:c r="L80" s="25" t="n">
        <x:f>IF(AND(ISNUMBER(J80),ISNUMBER(K80),K80&gt;0),J80/K80,"")</x:f>
        <x:v>0.14925373134328357</x:v>
      </x:c>
      <x:c r="M80" s="23" t="n">
        <x:v>3.9</x:v>
      </x:c>
      <x:c r="N80" s="14" t="str">
        <x:v>Не входит в 7 примеров исключения; индивидуальный статус не проверялся</x:v>
      </x:c>
      <x:c r="O80" s="14" t="str">
        <x:v>Выгрузка страниц</x:v>
      </x:c>
    </x:row>
    <x:row r="81" ht="52" customHeight="1">
      <x:c r="A81" s="12" t="str">
        <x:v>Лечение повышенного потоотделения</x:v>
      </x:c>
      <x:c r="B81" s="15" t="str">
        <x:v>https://kozhaclinic.ru/lechenie-povyshennogo-potootdeleniya/</x:v>
      </x:c>
      <x:c r="C81" s="20" t="n">
        <x:v>2</x:v>
      </x:c>
      <x:c r="D81" s="20" t="n">
        <x:v>523</x:v>
      </x:c>
      <x:c r="E81" s="22" t="n">
        <x:v>7.3</x:v>
      </x:c>
      <x:c r="F81" s="20" t="n">
        <x:v>1</x:v>
      </x:c>
      <x:c r="G81" s="20" t="n">
        <x:v>113</x:v>
      </x:c>
      <x:c r="H81" s="24" t="n">
        <x:f>IF(AND(ISNUMBER(F81),ISNUMBER(G81),G81&gt;0),F81/G81,"")</x:f>
        <x:v>0.008849557522123894</x:v>
      </x:c>
      <x:c r="I81" s="22" t="n">
        <x:v>5.29</x:v>
      </x:c>
      <x:c r="J81" s="20" t="n">
        <x:v>0</x:v>
      </x:c>
      <x:c r="K81" s="20" t="n">
        <x:v>0</x:v>
      </x:c>
      <x:c r="L81" s="24" t="str">
        <x:f>IF(AND(ISNUMBER(J81),ISNUMBER(K81),K81&gt;0),J81/K81,"")</x:f>
      </x:c>
      <x:c r="M81" s="22"/>
      <x:c r="N81" s="12" t="str">
        <x:v>Не входит в 7 примеров исключения; индивидуальный статус не проверялся</x:v>
      </x:c>
      <x:c r="O81" s="12" t="str">
        <x:v>Выгрузка страниц</x:v>
      </x:c>
    </x:row>
    <x:row r="82" ht="52" customHeight="1">
      <x:c r="A82" s="14" t="str">
        <x:v>Лечение целлюлита</x:v>
      </x:c>
      <x:c r="B82" s="16" t="str">
        <x:v>https://kozhaclinic.ru/lechenie-tsellyulita/</x:v>
      </x:c>
      <x:c r="C82" s="21" t="n">
        <x:v>8</x:v>
      </x:c>
      <x:c r="D82" s="21" t="n">
        <x:v>374</x:v>
      </x:c>
      <x:c r="E82" s="23" t="n">
        <x:v>9.52</x:v>
      </x:c>
      <x:c r="F82" s="21" t="n">
        <x:v>1</x:v>
      </x:c>
      <x:c r="G82" s="21" t="n">
        <x:v>72</x:v>
      </x:c>
      <x:c r="H82" s="25" t="n">
        <x:f>IF(AND(ISNUMBER(F82),ISNUMBER(G82),G82&gt;0),F82/G82,"")</x:f>
        <x:v>0.013888888888888888</x:v>
      </x:c>
      <x:c r="I82" s="23" t="n">
        <x:v>10.69</x:v>
      </x:c>
      <x:c r="J82" s="21" t="n">
        <x:v>2</x:v>
      </x:c>
      <x:c r="K82" s="21" t="n">
        <x:v>9</x:v>
      </x:c>
      <x:c r="L82" s="25" t="n">
        <x:f>IF(AND(ISNUMBER(J82),ISNUMBER(K82),K82&gt;0),J82/K82,"")</x:f>
        <x:v>0.2222222222222222</x:v>
      </x:c>
      <x:c r="M82" s="23" t="n">
        <x:v>5.2</x:v>
      </x:c>
      <x:c r="N82" s="14" t="str">
        <x:v>Не входит в 7 примеров исключения; индивидуальный статус не проверялся</x:v>
      </x:c>
      <x:c r="O82" s="14" t="str">
        <x:v>Выгрузка страниц</x:v>
      </x:c>
    </x:row>
    <x:row r="83" ht="52" customHeight="1">
      <x:c r="A83" s="12" t="str">
        <x:v>Устранение мешков и отёков под глазами</x:v>
      </x:c>
      <x:c r="B83" s="15" t="str">
        <x:v>https://kozhaclinic.ru/meshki-i-oteki-pod-glazami/</x:v>
      </x:c>
      <x:c r="C83" s="20" t="n">
        <x:v>1</x:v>
      </x:c>
      <x:c r="D83" s="20" t="n">
        <x:v>201</x:v>
      </x:c>
      <x:c r="E83" s="22" t="n">
        <x:v>11.2</x:v>
      </x:c>
      <x:c r="F83" s="20" t="n">
        <x:v>0</x:v>
      </x:c>
      <x:c r="G83" s="20" t="n">
        <x:v>95</x:v>
      </x:c>
      <x:c r="H83" s="24" t="n">
        <x:f>IF(AND(ISNUMBER(F83),ISNUMBER(G83),G83&gt;0),F83/G83,"")</x:f>
        <x:v>0</x:v>
      </x:c>
      <x:c r="I83" s="22" t="n">
        <x:v>7.91</x:v>
      </x:c>
      <x:c r="J83" s="20" t="n">
        <x:v>4</x:v>
      </x:c>
      <x:c r="K83" s="20" t="n">
        <x:v>25</x:v>
      </x:c>
      <x:c r="L83" s="24" t="n">
        <x:f>IF(AND(ISNUMBER(J83),ISNUMBER(K83),K83&gt;0),J83/K83,"")</x:f>
        <x:v>0.16</x:v>
      </x:c>
      <x:c r="M83" s="22" t="n">
        <x:v>5.9</x:v>
      </x:c>
      <x:c r="N83" s="12" t="str">
        <x:v>Не входит в 7 примеров исключения; индивидуальный статус не проверялся</x:v>
      </x:c>
      <x:c r="O83" s="12" t="str">
        <x:v>Выгрузка страниц</x:v>
      </x:c>
    </x:row>
    <x:row r="84" ht="52" customHeight="1">
      <x:c r="A84" s="14" t="str">
        <x:v>Миграция геля из губ</x:v>
      </x:c>
      <x:c r="B84" s="16" t="str">
        <x:v>https://kozhaclinic.ru/migratsiya-gelya-iz-gub/</x:v>
      </x:c>
      <x:c r="C84" s="21" t="n">
        <x:v>28</x:v>
      </x:c>
      <x:c r="D84" s="21" t="n">
        <x:v>8508</x:v>
      </x:c>
      <x:c r="E84" s="23" t="n">
        <x:v>7.96</x:v>
      </x:c>
      <x:c r="F84" s="21" t="n">
        <x:v>6</x:v>
      </x:c>
      <x:c r="G84" s="21" t="n">
        <x:v>2353</x:v>
      </x:c>
      <x:c r="H84" s="25" t="n">
        <x:f>IF(AND(ISNUMBER(F84),ISNUMBER(G84),G84&gt;0),F84/G84,"")</x:f>
        <x:v>0.0025499362515937103</x:v>
      </x:c>
      <x:c r="I84" s="23" t="n">
        <x:v>8</x:v>
      </x:c>
      <x:c r="J84" s="21" t="n">
        <x:v>69</x:v>
      </x:c>
      <x:c r="K84" s="21" t="n">
        <x:v>3807</x:v>
      </x:c>
      <x:c r="L84" s="25" t="n">
        <x:f>IF(AND(ISNUMBER(J84),ISNUMBER(K84),K84&gt;0),J84/K84,"")</x:f>
        <x:v>0.018124507486209612</x:v>
      </x:c>
      <x:c r="M84" s="23" t="n">
        <x:v>7.7</x:v>
      </x:c>
      <x:c r="N84" s="14" t="str">
        <x:v>Не входит в 7 примеров исключения; индивидуальный статус не проверялся</x:v>
      </x:c>
      <x:c r="O84" s="14" t="str">
        <x:v>Выгрузка страниц</x:v>
      </x:c>
    </x:row>
    <x:row r="85" ht="52" customHeight="1">
      <x:c r="A85" s="12" t="str">
        <x:v>О клинике «Кожа»</x:v>
      </x:c>
      <x:c r="B85" s="15" t="str">
        <x:v>https://kozhaclinic.ru/o-nas/</x:v>
      </x:c>
      <x:c r="C85" s="20" t="n">
        <x:v>5</x:v>
      </x:c>
      <x:c r="D85" s="20" t="n">
        <x:v>547</x:v>
      </x:c>
      <x:c r="E85" s="22" t="n">
        <x:v>6.05</x:v>
      </x:c>
      <x:c r="F85" s="20" t="n">
        <x:v>3</x:v>
      </x:c>
      <x:c r="G85" s="20" t="n">
        <x:v>191</x:v>
      </x:c>
      <x:c r="H85" s="24" t="n">
        <x:f>IF(AND(ISNUMBER(F85),ISNUMBER(G85),G85&gt;0),F85/G85,"")</x:f>
        <x:v>0.015706806282722512</x:v>
      </x:c>
      <x:c r="I85" s="22" t="n">
        <x:v>5.88</x:v>
      </x:c>
      <x:c r="J85" s="20" t="n">
        <x:v>0</x:v>
      </x:c>
      <x:c r="K85" s="20" t="n">
        <x:v>22</x:v>
      </x:c>
      <x:c r="L85" s="24" t="n">
        <x:f>IF(AND(ISNUMBER(J85),ISNUMBER(K85),K85&gt;0),J85/K85,"")</x:f>
        <x:v>0</x:v>
      </x:c>
      <x:c r="M85" s="22" t="n">
        <x:v>5.7</x:v>
      </x:c>
      <x:c r="N85" s="12" t="str">
        <x:v>Не входит в 7 примеров исключения; индивидуальный статус не проверялся</x:v>
      </x:c>
      <x:c r="O85" s="12" t="str">
        <x:v>Выгрузка страниц</x:v>
      </x:c>
    </x:row>
    <x:row r="86" ht="52" customHeight="1">
      <x:c r="A86" s="14" t="str">
        <x:v>Оборудование клиники</x:v>
      </x:c>
      <x:c r="B86" s="16" t="str">
        <x:v>https://kozhaclinic.ru/o-nas/apparaty/</x:v>
      </x:c>
      <x:c r="C86" s="21" t="n">
        <x:v>0</x:v>
      </x:c>
      <x:c r="D86" s="21" t="n">
        <x:v>22</x:v>
      </x:c>
      <x:c r="E86" s="23" t="n">
        <x:v>32.36</x:v>
      </x:c>
      <x:c r="F86" s="21" t="n">
        <x:v>0</x:v>
      </x:c>
      <x:c r="G86" s="21" t="n">
        <x:v>6</x:v>
      </x:c>
      <x:c r="H86" s="25" t="n">
        <x:f>IF(AND(ISNUMBER(F86),ISNUMBER(G86),G86&gt;0),F86/G86,"")</x:f>
        <x:v>0</x:v>
      </x:c>
      <x:c r="I86" s="23" t="n">
        <x:v>30.33</x:v>
      </x:c>
      <x:c r="J86" s="21"/>
      <x:c r="K86" s="21"/>
      <x:c r="L86" s="25" t="str">
        <x:f>IF(AND(ISNUMBER(J86),ISNUMBER(K86),K86&gt;0),J86/K86,"")</x:f>
      </x:c>
      <x:c r="M86" s="23"/>
      <x:c r="N86" s="14" t="str">
        <x:v>Не входит в 7 примеров исключения; индивидуальный статус не проверялся</x:v>
      </x:c>
      <x:c r="O86" s="14" t="str">
        <x:v>Выгрузка страниц</x:v>
      </x:c>
    </x:row>
    <x:row r="87" ht="52" customHeight="1">
      <x:c r="A87" s="12" t="str">
        <x:v>Лицензии и сертификаты</x:v>
      </x:c>
      <x:c r="B87" s="15" t="str">
        <x:v>https://kozhaclinic.ru/o-nas/licenzii-i-sertifikaty/</x:v>
      </x:c>
      <x:c r="C87" s="20" t="n">
        <x:v>0</x:v>
      </x:c>
      <x:c r="D87" s="20" t="n">
        <x:v>17</x:v>
      </x:c>
      <x:c r="E87" s="22" t="n">
        <x:v>7.53</x:v>
      </x:c>
      <x:c r="F87" s="20" t="n">
        <x:v>0</x:v>
      </x:c>
      <x:c r="G87" s="20" t="n">
        <x:v>5</x:v>
      </x:c>
      <x:c r="H87" s="24" t="n">
        <x:f>IF(AND(ISNUMBER(F87),ISNUMBER(G87),G87&gt;0),F87/G87,"")</x:f>
        <x:v>0</x:v>
      </x:c>
      <x:c r="I87" s="22" t="n">
        <x:v>8</x:v>
      </x:c>
      <x:c r="J87" s="20" t="n">
        <x:v>0</x:v>
      </x:c>
      <x:c r="K87" s="20" t="n">
        <x:v>0</x:v>
      </x:c>
      <x:c r="L87" s="24" t="str">
        <x:f>IF(AND(ISNUMBER(J87),ISNUMBER(K87),K87&gt;0),J87/K87,"")</x:f>
      </x:c>
      <x:c r="M87" s="22"/>
      <x:c r="N87" s="12" t="str">
        <x:v>Не входит в 7 примеров исключения; индивидуальный статус не проверялся</x:v>
      </x:c>
      <x:c r="O87" s="12" t="str">
        <x:v>Выгрузка страниц</x:v>
      </x:c>
    </x:row>
    <x:row r="88" ht="52" customHeight="1">
      <x:c r="A88" s="14" t="str">
        <x:v>Отзывы пациентов</x:v>
      </x:c>
      <x:c r="B88" s="16" t="str">
        <x:v>https://kozhaclinic.ru/o-nas/otzyvy/</x:v>
      </x:c>
      <x:c r="C88" s="21" t="n">
        <x:v>5</x:v>
      </x:c>
      <x:c r="D88" s="21" t="n">
        <x:v>313</x:v>
      </x:c>
      <x:c r="E88" s="23" t="n">
        <x:v>7.69</x:v>
      </x:c>
      <x:c r="F88" s="21" t="n">
        <x:v>1</x:v>
      </x:c>
      <x:c r="G88" s="21" t="n">
        <x:v>104</x:v>
      </x:c>
      <x:c r="H88" s="25" t="n">
        <x:f>IF(AND(ISNUMBER(F88),ISNUMBER(G88),G88&gt;0),F88/G88,"")</x:f>
        <x:v>0.009615384615384616</x:v>
      </x:c>
      <x:c r="I88" s="23" t="n">
        <x:v>7.65</x:v>
      </x:c>
      <x:c r="J88" s="21" t="n">
        <x:v>1</x:v>
      </x:c>
      <x:c r="K88" s="21" t="n">
        <x:v>68</x:v>
      </x:c>
      <x:c r="L88" s="25" t="n">
        <x:f>IF(AND(ISNUMBER(J88),ISNUMBER(K88),K88&gt;0),J88/K88,"")</x:f>
        <x:v>0.014705882352941176</x:v>
      </x:c>
      <x:c r="M88" s="23" t="n">
        <x:v>6.4</x:v>
      </x:c>
      <x:c r="N88" s="14" t="str">
        <x:v>Не входит в 7 примеров исключения; индивидуальный статус не проверялся</x:v>
      </x:c>
      <x:c r="O88" s="14" t="str">
        <x:v>Выгрузка страниц</x:v>
      </x:c>
    </x:row>
    <x:row r="89" ht="52" customHeight="1">
      <x:c r="A89" s="12" t="str">
        <x:v>Специалисты</x:v>
      </x:c>
      <x:c r="B89" s="15" t="str">
        <x:v>https://kozhaclinic.ru/o-nas/specialisty/</x:v>
      </x:c>
      <x:c r="C89" s="20" t="n">
        <x:v>9</x:v>
      </x:c>
      <x:c r="D89" s="20" t="n">
        <x:v>411</x:v>
      </x:c>
      <x:c r="E89" s="22" t="n">
        <x:v>2.6</x:v>
      </x:c>
      <x:c r="F89" s="20" t="n">
        <x:v>3</x:v>
      </x:c>
      <x:c r="G89" s="20" t="n">
        <x:v>91</x:v>
      </x:c>
      <x:c r="H89" s="24" t="n">
        <x:f>IF(AND(ISNUMBER(F89),ISNUMBER(G89),G89&gt;0),F89/G89,"")</x:f>
        <x:v>0.03296703296703297</x:v>
      </x:c>
      <x:c r="I89" s="22" t="n">
        <x:v>2.24</x:v>
      </x:c>
      <x:c r="J89" s="20" t="n">
        <x:v>0</x:v>
      </x:c>
      <x:c r="K89" s="20" t="n">
        <x:v>20</x:v>
      </x:c>
      <x:c r="L89" s="24" t="n">
        <x:f>IF(AND(ISNUMBER(J89),ISNUMBER(K89),K89&gt;0),J89/K89,"")</x:f>
        <x:v>0</x:v>
      </x:c>
      <x:c r="M89" s="22" t="n">
        <x:v>6.4</x:v>
      </x:c>
      <x:c r="N89" s="12" t="str">
        <x:v>Не входит в 7 примеров исключения; индивидуальный статус не проверялся</x:v>
      </x:c>
      <x:c r="O89" s="12" t="str">
        <x:v>Выгрузка страниц</x:v>
      </x:c>
    </x:row>
    <x:row r="90" ht="52" customHeight="1">
      <x:c r="A90" s="14" t="str">
        <x:v>Аманова Юлия Вадимовна</x:v>
      </x:c>
      <x:c r="B90" s="16" t="str">
        <x:v>https://kozhaclinic.ru/o-nas/specialisty/amanova-yuliya-vadimovna/</x:v>
      </x:c>
      <x:c r="C90" s="21" t="n">
        <x:v>6</x:v>
      </x:c>
      <x:c r="D90" s="21" t="n">
        <x:v>107</x:v>
      </x:c>
      <x:c r="E90" s="23" t="n">
        <x:v>4.24</x:v>
      </x:c>
      <x:c r="F90" s="21" t="n">
        <x:v>2</x:v>
      </x:c>
      <x:c r="G90" s="21" t="n">
        <x:v>26</x:v>
      </x:c>
      <x:c r="H90" s="25" t="n">
        <x:f>IF(AND(ISNUMBER(F90),ISNUMBER(G90),G90&gt;0),F90/G90,"")</x:f>
        <x:v>0.07692307692307693</x:v>
      </x:c>
      <x:c r="I90" s="23" t="n">
        <x:v>5</x:v>
      </x:c>
      <x:c r="J90" s="21" t="n">
        <x:v>4</x:v>
      </x:c>
      <x:c r="K90" s="21" t="n">
        <x:v>18</x:v>
      </x:c>
      <x:c r="L90" s="25" t="n">
        <x:f>IF(AND(ISNUMBER(J90),ISNUMBER(K90),K90&gt;0),J90/K90,"")</x:f>
        <x:v>0.2222222222222222</x:v>
      </x:c>
      <x:c r="M90" s="23" t="n">
        <x:v>3.6</x:v>
      </x:c>
      <x:c r="N90" s="14" t="str">
        <x:v>Не входит в 7 примеров исключения; индивидуальный статус не проверялся</x:v>
      </x:c>
      <x:c r="O90" s="14" t="str">
        <x:v>Выгрузка страниц</x:v>
      </x:c>
    </x:row>
    <x:row r="91" ht="52" customHeight="1">
      <x:c r="A91" s="12" t="str">
        <x:v>Михайлова Анастасия Петровна</x:v>
      </x:c>
      <x:c r="B91" s="15" t="str">
        <x:v>https://kozhaclinic.ru/o-nas/specialisty/mikhaylova-anastasiya-petrovna/</x:v>
      </x:c>
      <x:c r="C91" s="20" t="n">
        <x:v>3</x:v>
      </x:c>
      <x:c r="D91" s="20" t="n">
        <x:v>133</x:v>
      </x:c>
      <x:c r="E91" s="22" t="n">
        <x:v>5.68</x:v>
      </x:c>
      <x:c r="F91" s="20" t="n">
        <x:v>1</x:v>
      </x:c>
      <x:c r="G91" s="20" t="n">
        <x:v>48</x:v>
      </x:c>
      <x:c r="H91" s="24" t="n">
        <x:f>IF(AND(ISNUMBER(F91),ISNUMBER(G91),G91&gt;0),F91/G91,"")</x:f>
        <x:v>0.020833333333333332</x:v>
      </x:c>
      <x:c r="I91" s="22" t="n">
        <x:v>6.02</x:v>
      </x:c>
      <x:c r="J91" s="20" t="n">
        <x:v>11</x:v>
      </x:c>
      <x:c r="K91" s="20" t="n">
        <x:v>34</x:v>
      </x:c>
      <x:c r="L91" s="24" t="n">
        <x:f>IF(AND(ISNUMBER(J91),ISNUMBER(K91),K91&gt;0),J91/K91,"")</x:f>
        <x:v>0.3235294117647059</x:v>
      </x:c>
      <x:c r="M91" s="22" t="n">
        <x:v>5</x:v>
      </x:c>
      <x:c r="N91" s="12" t="str">
        <x:v>Не входит в 7 примеров исключения; индивидуальный статус не проверялся</x:v>
      </x:c>
      <x:c r="O91" s="12" t="str">
        <x:v>Выгрузка страниц</x:v>
      </x:c>
    </x:row>
    <x:row r="92" ht="52" customHeight="1">
      <x:c r="A92" s="14" t="str">
        <x:v>Симонян Лусинэ Эдиковна</x:v>
      </x:c>
      <x:c r="B92" s="16" t="str">
        <x:v>https://kozhaclinic.ru/o-nas/specialisty/simonyan-lusine-edikovna/</x:v>
      </x:c>
      <x:c r="C92" s="21" t="n">
        <x:v>4</x:v>
      </x:c>
      <x:c r="D92" s="21" t="n">
        <x:v>67</x:v>
      </x:c>
      <x:c r="E92" s="23" t="n">
        <x:v>4.82</x:v>
      </x:c>
      <x:c r="F92" s="21" t="n">
        <x:v>0</x:v>
      </x:c>
      <x:c r="G92" s="21" t="n">
        <x:v>25</x:v>
      </x:c>
      <x:c r="H92" s="25" t="n">
        <x:f>IF(AND(ISNUMBER(F92),ISNUMBER(G92),G92&gt;0),F92/G92,"")</x:f>
        <x:v>0</x:v>
      </x:c>
      <x:c r="I92" s="23" t="n">
        <x:v>4.6</x:v>
      </x:c>
      <x:c r="J92" s="21" t="n">
        <x:v>8</x:v>
      </x:c>
      <x:c r="K92" s="21" t="n">
        <x:v>32</x:v>
      </x:c>
      <x:c r="L92" s="25" t="n">
        <x:f>IF(AND(ISNUMBER(J92),ISNUMBER(K92),K92&gt;0),J92/K92,"")</x:f>
        <x:v>0.25</x:v>
      </x:c>
      <x:c r="M92" s="23" t="n">
        <x:v>3.6</x:v>
      </x:c>
      <x:c r="N92" s="14" t="str">
        <x:v>Не входит в 7 примеров исключения; индивидуальный статус не проверялся</x:v>
      </x:c>
      <x:c r="O92" s="14" t="str">
        <x:v>Выгрузка страниц</x:v>
      </x:c>
    </x:row>
    <x:row r="93" ht="52" customHeight="1">
      <x:c r="A93" s="12" t="str">
        <x:v>Устименко Ирина Александровна</x:v>
      </x:c>
      <x:c r="B93" s="15" t="str">
        <x:v>https://kozhaclinic.ru/o-nas/specialisty/ustimenko-irina-aleksandrovna/</x:v>
      </x:c>
      <x:c r="C93" s="20"/>
      <x:c r="D93" s="20"/>
      <x:c r="E93" s="22"/>
      <x:c r="F93" s="20"/>
      <x:c r="G93" s="20"/>
      <x:c r="H93" s="24" t="str">
        <x:f>IF(AND(ISNUMBER(F93),ISNUMBER(G93),G93&gt;0),F93/G93,"")</x:f>
      </x:c>
      <x:c r="I93" s="22"/>
      <x:c r="J93" s="20" t="n">
        <x:v>0</x:v>
      </x:c>
      <x:c r="K93" s="20" t="n">
        <x:v>10</x:v>
      </x:c>
      <x:c r="L93" s="24" t="n">
        <x:f>IF(AND(ISNUMBER(J93),ISNUMBER(K93),K93&gt;0),J93/K93,"")</x:f>
        <x:v>0</x:v>
      </x:c>
      <x:c r="M93" s="22" t="n">
        <x:v>7.3</x:v>
      </x:c>
      <x:c r="N93" s="12" t="str">
        <x:v>Обнаружена, не проиндексирована (отчёт 12.10)</x:v>
      </x:c>
      <x:c r="O93" s="12" t="str">
        <x:v>Нет строки в выгрузке, не заменено нулём</x:v>
      </x:c>
    </x:row>
    <x:row r="94" ht="52" customHeight="1">
      <x:c r="A94" s="14" t="str">
        <x:v>Вакансии</x:v>
      </x:c>
      <x:c r="B94" s="16" t="str">
        <x:v>https://kozhaclinic.ru/o-nas/vakansii/</x:v>
      </x:c>
      <x:c r="C94" s="21" t="n">
        <x:v>6</x:v>
      </x:c>
      <x:c r="D94" s="21" t="n">
        <x:v>72</x:v>
      </x:c>
      <x:c r="E94" s="23" t="n">
        <x:v>12.53</x:v>
      </x:c>
      <x:c r="F94" s="21" t="n">
        <x:v>3</x:v>
      </x:c>
      <x:c r="G94" s="21" t="n">
        <x:v>17</x:v>
      </x:c>
      <x:c r="H94" s="25" t="n">
        <x:f>IF(AND(ISNUMBER(F94),ISNUMBER(G94),G94&gt;0),F94/G94,"")</x:f>
        <x:v>0.17647058823529413</x:v>
      </x:c>
      <x:c r="I94" s="23" t="n">
        <x:v>12.35</x:v>
      </x:c>
      <x:c r="J94" s="21" t="n">
        <x:v>7</x:v>
      </x:c>
      <x:c r="K94" s="21" t="n">
        <x:v>50</x:v>
      </x:c>
      <x:c r="L94" s="25" t="n">
        <x:f>IF(AND(ISNUMBER(J94),ISNUMBER(K94),K94&gt;0),J94/K94,"")</x:f>
        <x:v>0.14</x:v>
      </x:c>
      <x:c r="M94" s="23" t="n">
        <x:v>8.6</x:v>
      </x:c>
      <x:c r="N94" s="14" t="str">
        <x:v>Не входит в 7 примеров исключения; индивидуальный статус не проверялся</x:v>
      </x:c>
      <x:c r="O94" s="14" t="str">
        <x:v>Выгрузка страниц</x:v>
      </x:c>
    </x:row>
    <x:row r="95" ht="52" customHeight="1">
      <x:c r="A95" s="12" t="str">
        <x:v>Омоложение кожи лица</x:v>
      </x:c>
      <x:c r="B95" s="15" t="str">
        <x:v>https://kozhaclinic.ru/omolozhenie-kozhi-litsa/</x:v>
      </x:c>
      <x:c r="C95" s="20" t="n">
        <x:v>0</x:v>
      </x:c>
      <x:c r="D95" s="20" t="n">
        <x:v>33</x:v>
      </x:c>
      <x:c r="E95" s="22" t="n">
        <x:v>7.45</x:v>
      </x:c>
      <x:c r="F95" s="20" t="n">
        <x:v>0</x:v>
      </x:c>
      <x:c r="G95" s="20" t="n">
        <x:v>6</x:v>
      </x:c>
      <x:c r="H95" s="24" t="n">
        <x:f>IF(AND(ISNUMBER(F95),ISNUMBER(G95),G95&gt;0),F95/G95,"")</x:f>
        <x:v>0</x:v>
      </x:c>
      <x:c r="I95" s="22" t="n">
        <x:v>7.83</x:v>
      </x:c>
      <x:c r="J95" s="20" t="n">
        <x:v>2</x:v>
      </x:c>
      <x:c r="K95" s="20" t="n">
        <x:v>15</x:v>
      </x:c>
      <x:c r="L95" s="24" t="n">
        <x:f>IF(AND(ISNUMBER(J95),ISNUMBER(K95),K95&gt;0),J95/K95,"")</x:f>
        <x:v>0.13333333333333333</x:v>
      </x:c>
      <x:c r="M95" s="22" t="n">
        <x:v>7.5</x:v>
      </x:c>
      <x:c r="N95" s="12" t="str">
        <x:v>Не входит в 7 примеров исключения; индивидуальный статус не проверялся</x:v>
      </x:c>
      <x:c r="O95" s="12" t="str">
        <x:v>Выгрузка страниц</x:v>
      </x:c>
    </x:row>
    <x:row r="96" ht="52" customHeight="1">
      <x:c r="A96" s="14" t="str">
        <x:v>Омоложение кожи рук</x:v>
      </x:c>
      <x:c r="B96" s="16" t="str">
        <x:v>https://kozhaclinic.ru/omolozhenie-kozhi-ruk/</x:v>
      </x:c>
      <x:c r="C96" s="21" t="n">
        <x:v>1</x:v>
      </x:c>
      <x:c r="D96" s="21" t="n">
        <x:v>185</x:v>
      </x:c>
      <x:c r="E96" s="23" t="n">
        <x:v>7.83</x:v>
      </x:c>
      <x:c r="F96" s="21" t="n">
        <x:v>0</x:v>
      </x:c>
      <x:c r="G96" s="21" t="n">
        <x:v>92</x:v>
      </x:c>
      <x:c r="H96" s="25" t="n">
        <x:f>IF(AND(ISNUMBER(F96),ISNUMBER(G96),G96&gt;0),F96/G96,"")</x:f>
        <x:v>0</x:v>
      </x:c>
      <x:c r="I96" s="23" t="n">
        <x:v>6.6</x:v>
      </x:c>
      <x:c r="J96" s="21" t="n">
        <x:v>0</x:v>
      </x:c>
      <x:c r="K96" s="21" t="n">
        <x:v>8</x:v>
      </x:c>
      <x:c r="L96" s="25" t="n">
        <x:f>IF(AND(ISNUMBER(J96),ISNUMBER(K96),K96&gt;0),J96/K96,"")</x:f>
        <x:v>0</x:v>
      </x:c>
      <x:c r="M96" s="23" t="n">
        <x:v>6.3</x:v>
      </x:c>
      <x:c r="N96" s="14" t="str">
        <x:v>Не входит в 7 примеров исключения; индивидуальный статус не проверялся</x:v>
      </x:c>
      <x:c r="O96" s="14" t="str">
        <x:v>Выгрузка страниц</x:v>
      </x:c>
    </x:row>
    <x:row r="97" ht="52" customHeight="1">
      <x:c r="A97" s="12" t="str">
        <x:v>Омоложение кожи шеи и декольте</x:v>
      </x:c>
      <x:c r="B97" s="15" t="str">
        <x:v>https://kozhaclinic.ru/omolozhenie-shei-i-dekolte/</x:v>
      </x:c>
      <x:c r="C97" s="20" t="n">
        <x:v>1</x:v>
      </x:c>
      <x:c r="D97" s="20" t="n">
        <x:v>908</x:v>
      </x:c>
      <x:c r="E97" s="22" t="n">
        <x:v>16.74</x:v>
      </x:c>
      <x:c r="F97" s="20" t="n">
        <x:v>0</x:v>
      </x:c>
      <x:c r="G97" s="20" t="n">
        <x:v>235</x:v>
      </x:c>
      <x:c r="H97" s="24" t="n">
        <x:f>IF(AND(ISNUMBER(F97),ISNUMBER(G97),G97&gt;0),F97/G97,"")</x:f>
        <x:v>0</x:v>
      </x:c>
      <x:c r="I97" s="22" t="n">
        <x:v>21.42</x:v>
      </x:c>
      <x:c r="J97" s="20" t="n">
        <x:v>3</x:v>
      </x:c>
      <x:c r="K97" s="20" t="n">
        <x:v>18</x:v>
      </x:c>
      <x:c r="L97" s="24" t="n">
        <x:f>IF(AND(ISNUMBER(J97),ISNUMBER(K97),K97&gt;0),J97/K97,"")</x:f>
        <x:v>0.16666666666666666</x:v>
      </x:c>
      <x:c r="M97" s="22" t="n">
        <x:v>6.5</x:v>
      </x:c>
      <x:c r="N97" s="12" t="str">
        <x:v>Не входит в 7 примеров исключения; индивидуальный статус не проверялся</x:v>
      </x:c>
      <x:c r="O97" s="12" t="str">
        <x:v>Выгрузка страниц</x:v>
      </x:c>
    </x:row>
    <x:row r="98" ht="52" customHeight="1">
      <x:c r="A98" s="14" t="str">
        <x:v>Осмотры и консультации</x:v>
      </x:c>
      <x:c r="B98" s="16" t="str">
        <x:v>https://kozhaclinic.ru/osmotry-i-konsultatsii/</x:v>
      </x:c>
      <x:c r="C98" s="21" t="n">
        <x:v>1</x:v>
      </x:c>
      <x:c r="D98" s="21" t="n">
        <x:v>25</x:v>
      </x:c>
      <x:c r="E98" s="23" t="n">
        <x:v>6.04</x:v>
      </x:c>
      <x:c r="F98" s="21" t="n">
        <x:v>1</x:v>
      </x:c>
      <x:c r="G98" s="21" t="n">
        <x:v>9</x:v>
      </x:c>
      <x:c r="H98" s="25" t="n">
        <x:f>IF(AND(ISNUMBER(F98),ISNUMBER(G98),G98&gt;0),F98/G98,"")</x:f>
        <x:v>0.1111111111111111</x:v>
      </x:c>
      <x:c r="I98" s="23" t="n">
        <x:v>7.33</x:v>
      </x:c>
      <x:c r="J98" s="21" t="n">
        <x:v>0</x:v>
      </x:c>
      <x:c r="K98" s="21" t="n">
        <x:v>67</x:v>
      </x:c>
      <x:c r="L98" s="25" t="n">
        <x:f>IF(AND(ISNUMBER(J98),ISNUMBER(K98),K98&gt;0),J98/K98,"")</x:f>
        <x:v>0</x:v>
      </x:c>
      <x:c r="M98" s="23" t="n">
        <x:v>3.5</x:v>
      </x:c>
      <x:c r="N98" s="14" t="str">
        <x:v>Не входит в 7 примеров исключения; индивидуальный статус не проверялся</x:v>
      </x:c>
      <x:c r="O98" s="14" t="str">
        <x:v>Выгрузка страниц</x:v>
      </x:c>
    </x:row>
    <x:row r="99" ht="52" customHeight="1">
      <x:c r="A99" s="12" t="str">
        <x:v>Чек-апы кожи и волос</x:v>
      </x:c>
      <x:c r="B99" s="15" t="str">
        <x:v>https://kozhaclinic.ru/osmotry-i-konsultatsii/chek-apy/</x:v>
      </x:c>
      <x:c r="C99" s="20" t="n">
        <x:v>3</x:v>
      </x:c>
      <x:c r="D99" s="20" t="n">
        <x:v>50</x:v>
      </x:c>
      <x:c r="E99" s="22" t="n">
        <x:v>8.1</x:v>
      </x:c>
      <x:c r="F99" s="20" t="n">
        <x:v>2</x:v>
      </x:c>
      <x:c r="G99" s="20" t="n">
        <x:v>17</x:v>
      </x:c>
      <x:c r="H99" s="24" t="n">
        <x:f>IF(AND(ISNUMBER(F99),ISNUMBER(G99),G99&gt;0),F99/G99,"")</x:f>
        <x:v>0.11764705882352941</x:v>
      </x:c>
      <x:c r="I99" s="22" t="n">
        <x:v>4.65</x:v>
      </x:c>
      <x:c r="J99" s="20" t="n">
        <x:v>1</x:v>
      </x:c>
      <x:c r="K99" s="20" t="n">
        <x:v>8</x:v>
      </x:c>
      <x:c r="L99" s="24" t="n">
        <x:f>IF(AND(ISNUMBER(J99),ISNUMBER(K99),K99&gt;0),J99/K99,"")</x:f>
        <x:v>0.125</x:v>
      </x:c>
      <x:c r="M99" s="22" t="n">
        <x:v>7.1</x:v>
      </x:c>
      <x:c r="N99" s="12" t="str">
        <x:v>Не входит в 7 примеров исключения; индивидуальный статус не проверялся</x:v>
      </x:c>
      <x:c r="O99" s="12" t="str">
        <x:v>Выгрузка страниц</x:v>
      </x:c>
    </x:row>
    <x:row r="100" ht="52" customHeight="1">
      <x:c r="A100" s="14" t="str">
        <x:v>Дерматоскопия</x:v>
      </x:c>
      <x:c r="B100" s="16" t="str">
        <x:v>https://kozhaclinic.ru/osmotry-i-konsultatsii/dermatoskopiya/</x:v>
      </x:c>
      <x:c r="C100" s="21" t="n">
        <x:v>14</x:v>
      </x:c>
      <x:c r="D100" s="21" t="n">
        <x:v>2327</x:v>
      </x:c>
      <x:c r="E100" s="23" t="n">
        <x:v>12.83</x:v>
      </x:c>
      <x:c r="F100" s="21" t="n">
        <x:v>3</x:v>
      </x:c>
      <x:c r="G100" s="21" t="n">
        <x:v>230</x:v>
      </x:c>
      <x:c r="H100" s="25" t="n">
        <x:f>IF(AND(ISNUMBER(F100),ISNUMBER(G100),G100&gt;0),F100/G100,"")</x:f>
        <x:v>0.013043478260869565</x:v>
      </x:c>
      <x:c r="I100" s="23" t="n">
        <x:v>15.05</x:v>
      </x:c>
      <x:c r="J100" s="21" t="n">
        <x:v>8</x:v>
      </x:c>
      <x:c r="K100" s="21" t="n">
        <x:v>139</x:v>
      </x:c>
      <x:c r="L100" s="25" t="n">
        <x:f>IF(AND(ISNUMBER(J100),ISNUMBER(K100),K100&gt;0),J100/K100,"")</x:f>
        <x:v>0.05755395683453238</x:v>
      </x:c>
      <x:c r="M100" s="23" t="n">
        <x:v>6</x:v>
      </x:c>
      <x:c r="N100" s="14" t="str">
        <x:v>Не входит в 7 примеров исключения; индивидуальный статус не проверялся</x:v>
      </x:c>
      <x:c r="O100" s="14" t="str">
        <x:v>Выгрузка страниц</x:v>
      </x:c>
    </x:row>
    <x:row r="101" ht="52" customHeight="1">
      <x:c r="A101" s="12" t="str">
        <x:v>Консультация врача-дерматолога</x:v>
      </x:c>
      <x:c r="B101" s="15" t="str">
        <x:v>https://kozhaclinic.ru/osmotry-i-konsultatsii/konsultatsiya-vracha-dermatologa-s-naznacheniem-plana-protsedur/</x:v>
      </x:c>
      <x:c r="C101" s="20" t="n">
        <x:v>8</x:v>
      </x:c>
      <x:c r="D101" s="20" t="n">
        <x:v>542</x:v>
      </x:c>
      <x:c r="E101" s="22" t="n">
        <x:v>10.36</x:v>
      </x:c>
      <x:c r="F101" s="20" t="n">
        <x:v>3</x:v>
      </x:c>
      <x:c r="G101" s="20" t="n">
        <x:v>194</x:v>
      </x:c>
      <x:c r="H101" s="24" t="n">
        <x:f>IF(AND(ISNUMBER(F101),ISNUMBER(G101),G101&gt;0),F101/G101,"")</x:f>
        <x:v>0.015463917525773196</x:v>
      </x:c>
      <x:c r="I101" s="22" t="n">
        <x:v>9.82</x:v>
      </x:c>
      <x:c r="J101" s="20" t="n">
        <x:v>0</x:v>
      </x:c>
      <x:c r="K101" s="20" t="n">
        <x:v>54</x:v>
      </x:c>
      <x:c r="L101" s="24" t="n">
        <x:f>IF(AND(ISNUMBER(J101),ISNUMBER(K101),K101&gt;0),J101/K101,"")</x:f>
        <x:v>0</x:v>
      </x:c>
      <x:c r="M101" s="22" t="n">
        <x:v>10.4</x:v>
      </x:c>
      <x:c r="N101" s="12" t="str">
        <x:v>Не входит в 7 примеров исключения; индивидуальный статус не проверялся</x:v>
      </x:c>
      <x:c r="O101" s="12" t="str">
        <x:v>Выгрузка страниц</x:v>
      </x:c>
    </x:row>
    <x:row r="102" ht="52" customHeight="1">
      <x:c r="A102" s="14" t="str">
        <x:v>Консультация врача-косметолога</x:v>
      </x:c>
      <x:c r="B102" s="16" t="str">
        <x:v>https://kozhaclinic.ru/osmotry-i-konsultatsii/konsultatsiya-vracha-kosmetologa-s-naznacheniem-plana-protsedur/</x:v>
      </x:c>
      <x:c r="C102" s="21" t="n">
        <x:v>7</x:v>
      </x:c>
      <x:c r="D102" s="21" t="n">
        <x:v>588</x:v>
      </x:c>
      <x:c r="E102" s="23" t="n">
        <x:v>24.28</x:v>
      </x:c>
      <x:c r="F102" s="21" t="n">
        <x:v>1</x:v>
      </x:c>
      <x:c r="G102" s="21" t="n">
        <x:v>189</x:v>
      </x:c>
      <x:c r="H102" s="25" t="n">
        <x:f>IF(AND(ISNUMBER(F102),ISNUMBER(G102),G102&gt;0),F102/G102,"")</x:f>
        <x:v>0.005291005291005291</x:v>
      </x:c>
      <x:c r="I102" s="23" t="n">
        <x:v>26.78</x:v>
      </x:c>
      <x:c r="J102" s="21" t="n">
        <x:v>0</x:v>
      </x:c>
      <x:c r="K102" s="21" t="n">
        <x:v>64</x:v>
      </x:c>
      <x:c r="L102" s="25" t="n">
        <x:f>IF(AND(ISNUMBER(J102),ISNUMBER(K102),K102&gt;0),J102/K102,"")</x:f>
        <x:v>0</x:v>
      </x:c>
      <x:c r="M102" s="23" t="n">
        <x:v>7.9</x:v>
      </x:c>
      <x:c r="N102" s="14" t="str">
        <x:v>Не входит в 7 примеров исключения; индивидуальный статус не проверялся</x:v>
      </x:c>
      <x:c r="O102" s="14" t="str">
        <x:v>Выгрузка страниц</x:v>
      </x:c>
    </x:row>
    <x:row r="103" ht="52" customHeight="1">
      <x:c r="A103" s="12" t="str">
        <x:v>Консультация врача-трихолога</x:v>
      </x:c>
      <x:c r="B103" s="15" t="str">
        <x:v>https://kozhaclinic.ru/osmotry-i-konsultatsii/konsultatsiya-vracha-trikhologa-s-naznacheniem-plana-protsedur/</x:v>
      </x:c>
      <x:c r="C103" s="20" t="n">
        <x:v>78</x:v>
      </x:c>
      <x:c r="D103" s="20" t="n">
        <x:v>2239</x:v>
      </x:c>
      <x:c r="E103" s="22" t="n">
        <x:v>7.06</x:v>
      </x:c>
      <x:c r="F103" s="20" t="n">
        <x:v>24</x:v>
      </x:c>
      <x:c r="G103" s="20" t="n">
        <x:v>727</x:v>
      </x:c>
      <x:c r="H103" s="24" t="n">
        <x:f>IF(AND(ISNUMBER(F103),ISNUMBER(G103),G103&gt;0),F103/G103,"")</x:f>
        <x:v>0.033012379642365884</x:v>
      </x:c>
      <x:c r="I103" s="22" t="n">
        <x:v>6.38</x:v>
      </x:c>
      <x:c r="J103" s="20" t="n">
        <x:v>5</x:v>
      </x:c>
      <x:c r="K103" s="20" t="n">
        <x:v>288</x:v>
      </x:c>
      <x:c r="L103" s="24" t="n">
        <x:f>IF(AND(ISNUMBER(J103),ISNUMBER(K103),K103&gt;0),J103/K103,"")</x:f>
        <x:v>0.017361111111111112</x:v>
      </x:c>
      <x:c r="M103" s="22" t="n">
        <x:v>10.8</x:v>
      </x:c>
      <x:c r="N103" s="12" t="str">
        <x:v>Не входит в 7 примеров исключения; индивидуальный статус не проверялся</x:v>
      </x:c>
      <x:c r="O103" s="12" t="str">
        <x:v>Выгрузка страниц</x:v>
      </x:c>
    </x:row>
    <x:row r="104" ht="52" customHeight="1">
      <x:c r="A104" s="14" t="str">
        <x:v>Информация для пациентов</x:v>
      </x:c>
      <x:c r="B104" s="16" t="str">
        <x:v>https://kozhaclinic.ru/patsientam/</x:v>
      </x:c>
      <x:c r="C104" s="21"/>
      <x:c r="D104" s="21"/>
      <x:c r="E104" s="23"/>
      <x:c r="F104" s="21"/>
      <x:c r="G104" s="21"/>
      <x:c r="H104" s="25" t="str">
        <x:f>IF(AND(ISNUMBER(F104),ISNUMBER(G104),G104&gt;0),F104/G104,"")</x:f>
      </x:c>
      <x:c r="I104" s="23"/>
      <x:c r="J104" s="21"/>
      <x:c r="K104" s="21"/>
      <x:c r="L104" s="25" t="str">
        <x:f>IF(AND(ISNUMBER(J104),ISNUMBER(K104),K104&gt;0),J104/K104,"")</x:f>
      </x:c>
      <x:c r="M104" s="23"/>
      <x:c r="N104" s="14" t="str">
        <x:v>Обнаружена, не проиндексирована (отчёт 12.10)</x:v>
      </x:c>
      <x:c r="O104" s="14" t="str">
        <x:v>Нет строки в выгрузке, не заменено нулём</x:v>
      </x:c>
    </x:row>
    <x:row r="105" ht="52" customHeight="1">
      <x:c r="A105" s="12" t="str">
        <x:v>Правовая информация</x:v>
      </x:c>
      <x:c r="B105" s="15" t="str">
        <x:v>https://kozhaclinic.ru/patsientam/pravovaya-informatsiya/</x:v>
      </x:c>
      <x:c r="C105" s="20"/>
      <x:c r="D105" s="20"/>
      <x:c r="E105" s="22"/>
      <x:c r="F105" s="20"/>
      <x:c r="G105" s="20"/>
      <x:c r="H105" s="24" t="str">
        <x:f>IF(AND(ISNUMBER(F105),ISNUMBER(G105),G105&gt;0),F105/G105,"")</x:f>
      </x:c>
      <x:c r="I105" s="22"/>
      <x:c r="J105" s="20" t="n">
        <x:v>0</x:v>
      </x:c>
      <x:c r="K105" s="20" t="n">
        <x:v>7</x:v>
      </x:c>
      <x:c r="L105" s="24" t="n">
        <x:f>IF(AND(ISNUMBER(J105),ISNUMBER(K105),K105&gt;0),J105/K105,"")</x:f>
        <x:v>0</x:v>
      </x:c>
      <x:c r="M105" s="22" t="n">
        <x:v>4.5</x:v>
      </x:c>
      <x:c r="N105" s="12" t="str">
        <x:v>Обнаружена, не проиндексирована (отчёт 12.10)</x:v>
      </x:c>
      <x:c r="O105" s="12" t="str">
        <x:v>Нет строки в выгрузке, не заменено нулём</x:v>
      </x:c>
    </x:row>
    <x:row r="106" ht="52" customHeight="1">
      <x:c r="A106" s="14" t="str">
        <x:v>Подарочные сертификаты</x:v>
      </x:c>
      <x:c r="B106" s="16" t="str">
        <x:v>https://kozhaclinic.ru/podarochnye-sertifikaty/</x:v>
      </x:c>
      <x:c r="C106" s="21" t="n">
        <x:v>2</x:v>
      </x:c>
      <x:c r="D106" s="21" t="n">
        <x:v>86</x:v>
      </x:c>
      <x:c r="E106" s="23" t="n">
        <x:v>10.98</x:v>
      </x:c>
      <x:c r="F106" s="21" t="n">
        <x:v>0</x:v>
      </x:c>
      <x:c r="G106" s="21" t="n">
        <x:v>23</x:v>
      </x:c>
      <x:c r="H106" s="25" t="n">
        <x:f>IF(AND(ISNUMBER(F106),ISNUMBER(G106),G106&gt;0),F106/G106,"")</x:f>
        <x:v>0</x:v>
      </x:c>
      <x:c r="I106" s="23" t="n">
        <x:v>9.13</x:v>
      </x:c>
      <x:c r="J106" s="21" t="n">
        <x:v>0</x:v>
      </x:c>
      <x:c r="K106" s="21" t="n">
        <x:v>13</x:v>
      </x:c>
      <x:c r="L106" s="25" t="n">
        <x:f>IF(AND(ISNUMBER(J106),ISNUMBER(K106),K106&gt;0),J106/K106,"")</x:f>
        <x:v>0</x:v>
      </x:c>
      <x:c r="M106" s="23" t="n">
        <x:v>8</x:v>
      </x:c>
      <x:c r="N106" s="14" t="str">
        <x:v>Не входит в 7 примеров исключения; индивидуальный статус не проверялся</x:v>
      </x:c>
      <x:c r="O106" s="14" t="str">
        <x:v>Выгрузка страниц</x:v>
      </x:c>
    </x:row>
    <x:row r="107" ht="52" customHeight="1">
      <x:c r="A107" s="12" t="str">
        <x:v>Подтяжка кожи лица</x:v>
      </x:c>
      <x:c r="B107" s="15" t="str">
        <x:v>https://kozhaclinic.ru/podtyazhka-kozhi-litsa/</x:v>
      </x:c>
      <x:c r="C107" s="20" t="n">
        <x:v>35</x:v>
      </x:c>
      <x:c r="D107" s="20" t="n">
        <x:v>1211</x:v>
      </x:c>
      <x:c r="E107" s="22" t="n">
        <x:v>8.11</x:v>
      </x:c>
      <x:c r="F107" s="20" t="n">
        <x:v>12</x:v>
      </x:c>
      <x:c r="G107" s="20" t="n">
        <x:v>375</x:v>
      </x:c>
      <x:c r="H107" s="24" t="n">
        <x:f>IF(AND(ISNUMBER(F107),ISNUMBER(G107),G107&gt;0),F107/G107,"")</x:f>
        <x:v>0.032</x:v>
      </x:c>
      <x:c r="I107" s="22" t="n">
        <x:v>7.4</x:v>
      </x:c>
      <x:c r="J107" s="20" t="n">
        <x:v>1</x:v>
      </x:c>
      <x:c r="K107" s="20" t="n">
        <x:v>71</x:v>
      </x:c>
      <x:c r="L107" s="24" t="n">
        <x:f>IF(AND(ISNUMBER(J107),ISNUMBER(K107),K107&gt;0),J107/K107,"")</x:f>
        <x:v>0.014084507042253521</x:v>
      </x:c>
      <x:c r="M107" s="22" t="n">
        <x:v>7.9</x:v>
      </x:c>
      <x:c r="N107" s="12" t="str">
        <x:v>Не входит в 7 примеров исключения; индивидуальный статус не проверялся</x:v>
      </x:c>
      <x:c r="O107" s="12" t="str">
        <x:v>Выгрузка страниц</x:v>
      </x:c>
    </x:row>
    <x:row r="108" ht="52" customHeight="1">
      <x:c r="A108" s="14" t="str">
        <x:v>Политика обработки персональных данных - клиника «Кожа»</x:v>
      </x:c>
      <x:c r="B108" s="16" t="str">
        <x:v>https://kozhaclinic.ru/politika-obrabotki-pd/</x:v>
      </x:c>
      <x:c r="C108" s="21" t="n">
        <x:v>0</x:v>
      </x:c>
      <x:c r="D108" s="21" t="n">
        <x:v>23</x:v>
      </x:c>
      <x:c r="E108" s="23" t="n">
        <x:v>11.09</x:v>
      </x:c>
      <x:c r="F108" s="21" t="n">
        <x:v>0</x:v>
      </x:c>
      <x:c r="G108" s="21" t="n">
        <x:v>7</x:v>
      </x:c>
      <x:c r="H108" s="25" t="n">
        <x:f>IF(AND(ISNUMBER(F108),ISNUMBER(G108),G108&gt;0),F108/G108,"")</x:f>
        <x:v>0</x:v>
      </x:c>
      <x:c r="I108" s="23" t="n">
        <x:v>7.57</x:v>
      </x:c>
      <x:c r="J108" s="21"/>
      <x:c r="K108" s="21"/>
      <x:c r="L108" s="25" t="str">
        <x:f>IF(AND(ISNUMBER(J108),ISNUMBER(K108),K108&gt;0),J108/K108,"")</x:f>
      </x:c>
      <x:c r="M108" s="23"/>
      <x:c r="N108" s="14" t="str">
        <x:v>Не входит в 7 примеров исключения; индивидуальный статус не проверялся</x:v>
      </x:c>
      <x:c r="O108" s="14" t="str">
        <x:v>Выгрузка страниц</x:v>
      </x:c>
    </x:row>
    <x:row r="109" ht="52" customHeight="1">
      <x:c r="A109" s="12" t="str">
        <x:v>Наши кейсы</x:v>
      </x:c>
      <x:c r="B109" s="15" t="str">
        <x:v>https://kozhaclinic.ru/portfolio/</x:v>
      </x:c>
      <x:c r="C109" s="20" t="n">
        <x:v>1</x:v>
      </x:c>
      <x:c r="D109" s="20" t="n">
        <x:v>25</x:v>
      </x:c>
      <x:c r="E109" s="22" t="n">
        <x:v>6.8</x:v>
      </x:c>
      <x:c r="F109" s="20" t="n">
        <x:v>0</x:v>
      </x:c>
      <x:c r="G109" s="20" t="n">
        <x:v>6</x:v>
      </x:c>
      <x:c r="H109" s="24" t="n">
        <x:f>IF(AND(ISNUMBER(F109),ISNUMBER(G109),G109&gt;0),F109/G109,"")</x:f>
        <x:v>0</x:v>
      </x:c>
      <x:c r="I109" s="22" t="n">
        <x:v>3.5</x:v>
      </x:c>
      <x:c r="J109" s="20" t="n">
        <x:v>2</x:v>
      </x:c>
      <x:c r="K109" s="20" t="n">
        <x:v>41</x:v>
      </x:c>
      <x:c r="L109" s="24" t="n">
        <x:f>IF(AND(ISNUMBER(J109),ISNUMBER(K109),K109&gt;0),J109/K109,"")</x:f>
        <x:v>0.04878048780487805</x:v>
      </x:c>
      <x:c r="M109" s="22" t="n">
        <x:v>10.2</x:v>
      </x:c>
      <x:c r="N109" s="12" t="str">
        <x:v>Не входит в 7 примеров исключения; индивидуальный статус не проверялся</x:v>
      </x:c>
      <x:c r="O109" s="12" t="str">
        <x:v>Выгрузка страниц</x:v>
      </x:c>
    </x:row>
    <x:row r="110" ht="52" customHeight="1">
      <x:c r="A110" s="14" t="str">
        <x:v>Повышение упругости и лифтинг</x:v>
      </x:c>
      <x:c r="B110" s="16" t="str">
        <x:v>https://kozhaclinic.ru/povyshenie-uprugosti-i-lifting/</x:v>
      </x:c>
      <x:c r="C110" s="21" t="n">
        <x:v>1</x:v>
      </x:c>
      <x:c r="D110" s="21" t="n">
        <x:v>213</x:v>
      </x:c>
      <x:c r="E110" s="23" t="n">
        <x:v>7.42</x:v>
      </x:c>
      <x:c r="F110" s="21" t="n">
        <x:v>1</x:v>
      </x:c>
      <x:c r="G110" s="21" t="n">
        <x:v>89</x:v>
      </x:c>
      <x:c r="H110" s="25" t="n">
        <x:f>IF(AND(ISNUMBER(F110),ISNUMBER(G110),G110&gt;0),F110/G110,"")</x:f>
        <x:v>0.011235955056179775</x:v>
      </x:c>
      <x:c r="I110" s="23" t="n">
        <x:v>7.42</x:v>
      </x:c>
      <x:c r="J110" s="21" t="n">
        <x:v>0</x:v>
      </x:c>
      <x:c r="K110" s="21" t="n">
        <x:v>0</x:v>
      </x:c>
      <x:c r="L110" s="25" t="str">
        <x:f>IF(AND(ISNUMBER(J110),ISNUMBER(K110),K110&gt;0),J110/K110,"")</x:f>
      </x:c>
      <x:c r="M110" s="23"/>
      <x:c r="N110" s="14" t="str">
        <x:v>Не входит в 7 примеров исключения; индивидуальный статус не проверялся</x:v>
      </x:c>
      <x:c r="O110" s="14" t="str">
        <x:v>Выгрузка страниц</x:v>
      </x:c>
    </x:row>
    <x:row r="111" ht="52" customHeight="1">
      <x:c r="A111" s="12" t="str">
        <x:v>Привести в порядок "уставшее лицо"</x:v>
      </x:c>
      <x:c r="B111" s="15" t="str">
        <x:v>https://kozhaclinic.ru/privesti-v-poryadok-ustavshee-litso/</x:v>
      </x:c>
      <x:c r="C111" s="20" t="n">
        <x:v>4</x:v>
      </x:c>
      <x:c r="D111" s="20" t="n">
        <x:v>2282</x:v>
      </x:c>
      <x:c r="E111" s="22" t="n">
        <x:v>7.5</x:v>
      </x:c>
      <x:c r="F111" s="20" t="n">
        <x:v>2</x:v>
      </x:c>
      <x:c r="G111" s="20" t="n">
        <x:v>1049</x:v>
      </x:c>
      <x:c r="H111" s="24" t="n">
        <x:f>IF(AND(ISNUMBER(F111),ISNUMBER(G111),G111&gt;0),F111/G111,"")</x:f>
        <x:v>0.0019065776930409914</x:v>
      </x:c>
      <x:c r="I111" s="22" t="n">
        <x:v>7.56</x:v>
      </x:c>
      <x:c r="J111" s="20" t="n">
        <x:v>2</x:v>
      </x:c>
      <x:c r="K111" s="20" t="n">
        <x:v>25</x:v>
      </x:c>
      <x:c r="L111" s="24" t="n">
        <x:f>IF(AND(ISNUMBER(J111),ISNUMBER(K111),K111&gt;0),J111/K111,"")</x:f>
        <x:v>0.08</x:v>
      </x:c>
      <x:c r="M111" s="22" t="n">
        <x:v>9.2</x:v>
      </x:c>
      <x:c r="N111" s="12" t="str">
        <x:v>Не входит в 7 примеров исключения; индивидуальный статус не проверялся</x:v>
      </x:c>
      <x:c r="O111" s="12" t="str">
        <x:v>Выгрузка страниц</x:v>
      </x:c>
    </x:row>
    <x:row r="112" ht="52" customHeight="1">
      <x:c r="A112" s="14" t="str">
        <x:v>Решить проблему с кожей - подбор процедуры по симптомам</x:v>
      </x:c>
      <x:c r="B112" s="16" t="str">
        <x:v>https://kozhaclinic.ru/reshit-problemu/</x:v>
      </x:c>
      <x:c r="C112" s="21" t="n">
        <x:v>0</x:v>
      </x:c>
      <x:c r="D112" s="21" t="n">
        <x:v>4</x:v>
      </x:c>
      <x:c r="E112" s="23" t="n">
        <x:v>6.75</x:v>
      </x:c>
      <x:c r="F112" s="21" t="n">
        <x:v>0</x:v>
      </x:c>
      <x:c r="G112" s="21" t="n">
        <x:v>2</x:v>
      </x:c>
      <x:c r="H112" s="25" t="n">
        <x:f>IF(AND(ISNUMBER(F112),ISNUMBER(G112),G112&gt;0),F112/G112,"")</x:f>
        <x:v>0</x:v>
      </x:c>
      <x:c r="I112" s="23" t="n">
        <x:v>3.5</x:v>
      </x:c>
      <x:c r="J112" s="21" t="n">
        <x:v>0</x:v>
      </x:c>
      <x:c r="K112" s="21" t="n">
        <x:v>35</x:v>
      </x:c>
      <x:c r="L112" s="25" t="n">
        <x:f>IF(AND(ISNUMBER(J112),ISNUMBER(K112),K112&gt;0),J112/K112,"")</x:f>
        <x:v>0</x:v>
      </x:c>
      <x:c r="M112" s="23" t="n">
        <x:v>6.5</x:v>
      </x:c>
      <x:c r="N112" s="14" t="str">
        <x:v>Не входит в 7 примеров исключения; индивидуальный статус не проверялся</x:v>
      </x:c>
      <x:c r="O112" s="14" t="str">
        <x:v>Выгрузка страниц</x:v>
      </x:c>
    </x:row>
    <x:row r="113" ht="52" customHeight="1">
      <x:c r="A113" s="12" t="str">
        <x:v>Сужение пор и чистая кожа</x:v>
      </x:c>
      <x:c r="B113" s="15" t="str">
        <x:v>https://kozhaclinic.ru/suzhenie-por-i-chistaya-kozha/</x:v>
      </x:c>
      <x:c r="C113" s="20" t="n">
        <x:v>2</x:v>
      </x:c>
      <x:c r="D113" s="20" t="n">
        <x:v>334</x:v>
      </x:c>
      <x:c r="E113" s="22" t="n">
        <x:v>11.31</x:v>
      </x:c>
      <x:c r="F113" s="20" t="n">
        <x:v>1</x:v>
      </x:c>
      <x:c r="G113" s="20" t="n">
        <x:v>97</x:v>
      </x:c>
      <x:c r="H113" s="24" t="n">
        <x:f>IF(AND(ISNUMBER(F113),ISNUMBER(G113),G113&gt;0),F113/G113,"")</x:f>
        <x:v>0.010309278350515464</x:v>
      </x:c>
      <x:c r="I113" s="22" t="n">
        <x:v>9.46</x:v>
      </x:c>
      <x:c r="J113" s="20" t="n">
        <x:v>0</x:v>
      </x:c>
      <x:c r="K113" s="20" t="n">
        <x:v>7</x:v>
      </x:c>
      <x:c r="L113" s="24" t="n">
        <x:f>IF(AND(ISNUMBER(J113),ISNUMBER(K113),K113&gt;0),J113/K113,"")</x:f>
        <x:v>0</x:v>
      </x:c>
      <x:c r="M113" s="22" t="n">
        <x:v>7.1</x:v>
      </x:c>
      <x:c r="N113" s="12" t="str">
        <x:v>Не входит в 7 примеров исключения; индивидуальный статус не проверялся</x:v>
      </x:c>
      <x:c r="O113" s="12" t="str">
        <x:v>Выгрузка страниц</x:v>
      </x:c>
    </x:row>
    <x:row r="114" ht="52" customHeight="1">
      <x:c r="A114" s="14" t="str">
        <x:v>Терапия после пересадки волос</x:v>
      </x:c>
      <x:c r="B114" s="16" t="str">
        <x:v>https://kozhaclinic.ru/terapiya-posle-peresadki-volos/</x:v>
      </x:c>
      <x:c r="C114" s="21" t="n">
        <x:v>6</x:v>
      </x:c>
      <x:c r="D114" s="21" t="n">
        <x:v>820</x:v>
      </x:c>
      <x:c r="E114" s="23" t="n">
        <x:v>6.25</x:v>
      </x:c>
      <x:c r="F114" s="21" t="n">
        <x:v>2</x:v>
      </x:c>
      <x:c r="G114" s="21" t="n">
        <x:v>383</x:v>
      </x:c>
      <x:c r="H114" s="25" t="n">
        <x:f>IF(AND(ISNUMBER(F114),ISNUMBER(G114),G114&gt;0),F114/G114,"")</x:f>
        <x:v>0.005221932114882507</x:v>
      </x:c>
      <x:c r="I114" s="23" t="n">
        <x:v>6.16</x:v>
      </x:c>
      <x:c r="J114" s="21" t="n">
        <x:v>2</x:v>
      </x:c>
      <x:c r="K114" s="21" t="n">
        <x:v>141</x:v>
      </x:c>
      <x:c r="L114" s="25" t="n">
        <x:f>IF(AND(ISNUMBER(J114),ISNUMBER(K114),K114&gt;0),J114/K114,"")</x:f>
        <x:v>0.014184397163120567</x:v>
      </x:c>
      <x:c r="M114" s="23" t="n">
        <x:v>8.5</x:v>
      </x:c>
      <x:c r="N114" s="14" t="str">
        <x:v>Не входит в 7 примеров исключения; индивидуальный статус не проверялся</x:v>
      </x:c>
      <x:c r="O114" s="14" t="str">
        <x:v>Выгрузка страниц</x:v>
      </x:c>
    </x:row>
    <x:row r="115" ht="52" customHeight="1">
      <x:c r="A115" s="12" t="str">
        <x:v>Подтяжка брылей</x:v>
      </x:c>
      <x:c r="B115" s="15" t="str">
        <x:v>https://kozhaclinic.ru/ubrat-bryli/</x:v>
      </x:c>
      <x:c r="C115" s="20" t="n">
        <x:v>23</x:v>
      </x:c>
      <x:c r="D115" s="20" t="n">
        <x:v>3355</x:v>
      </x:c>
      <x:c r="E115" s="22" t="n">
        <x:v>7.57</x:v>
      </x:c>
      <x:c r="F115" s="20" t="n">
        <x:v>8</x:v>
      </x:c>
      <x:c r="G115" s="20" t="n">
        <x:v>1364</x:v>
      </x:c>
      <x:c r="H115" s="24" t="n">
        <x:f>IF(AND(ISNUMBER(F115),ISNUMBER(G115),G115&gt;0),F115/G115,"")</x:f>
        <x:v>0.005865102639296188</x:v>
      </x:c>
      <x:c r="I115" s="22" t="n">
        <x:v>7.79</x:v>
      </x:c>
      <x:c r="J115" s="20" t="n">
        <x:v>0</x:v>
      </x:c>
      <x:c r="K115" s="20" t="n">
        <x:v>13</x:v>
      </x:c>
      <x:c r="L115" s="24" t="n">
        <x:f>IF(AND(ISNUMBER(J115),ISNUMBER(K115),K115&gt;0),J115/K115,"")</x:f>
        <x:v>0</x:v>
      </x:c>
      <x:c r="M115" s="22" t="n">
        <x:v>8.2</x:v>
      </x:c>
      <x:c r="N115" s="12" t="str">
        <x:v>Не входит в 7 примеров исключения; индивидуальный статус не проверялся</x:v>
      </x:c>
      <x:c r="O115" s="12" t="str">
        <x:v>Выгрузка страниц</x:v>
      </x:c>
    </x:row>
    <x:row r="116" ht="52" customHeight="1">
      <x:c r="A116" s="14" t="str">
        <x:v>Убрать «двойной подбородок»</x:v>
      </x:c>
      <x:c r="B116" s="16" t="str">
        <x:v>https://kozhaclinic.ru/ubrat-dvoynoy-podborodok/</x:v>
      </x:c>
      <x:c r="C116" s="21" t="n">
        <x:v>9</x:v>
      </x:c>
      <x:c r="D116" s="21" t="n">
        <x:v>2434</x:v>
      </x:c>
      <x:c r="E116" s="23" t="n">
        <x:v>8.28</x:v>
      </x:c>
      <x:c r="F116" s="21" t="n">
        <x:v>2</x:v>
      </x:c>
      <x:c r="G116" s="21" t="n">
        <x:v>691</x:v>
      </x:c>
      <x:c r="H116" s="25" t="n">
        <x:f>IF(AND(ISNUMBER(F116),ISNUMBER(G116),G116&gt;0),F116/G116,"")</x:f>
        <x:v>0.002894356005788712</x:v>
      </x:c>
      <x:c r="I116" s="23" t="n">
        <x:v>8.18</x:v>
      </x:c>
      <x:c r="J116" s="21" t="n">
        <x:v>0</x:v>
      </x:c>
      <x:c r="K116" s="21" t="n">
        <x:v>0</x:v>
      </x:c>
      <x:c r="L116" s="25" t="str">
        <x:f>IF(AND(ISNUMBER(J116),ISNUMBER(K116),K116&gt;0),J116/K116,"")</x:f>
      </x:c>
      <x:c r="M116" s="23"/>
      <x:c r="N116" s="14" t="str">
        <x:v>Не входит в 7 примеров исключения; индивидуальный статус не проверялся</x:v>
      </x:c>
      <x:c r="O116" s="14" t="str">
        <x:v>Выгрузка страниц</x:v>
      </x:c>
    </x:row>
    <x:row r="117" ht="52" customHeight="1">
      <x:c r="A117" s="12" t="str">
        <x:v>Убрать постакне и рубцы</x:v>
      </x:c>
      <x:c r="B117" s="15" t="str">
        <x:v>https://kozhaclinic.ru/ubrat-postakne-i-rubtsy/</x:v>
      </x:c>
      <x:c r="C117" s="20" t="n">
        <x:v>1</x:v>
      </x:c>
      <x:c r="D117" s="20" t="n">
        <x:v>144</x:v>
      </x:c>
      <x:c r="E117" s="22" t="n">
        <x:v>6.58</x:v>
      </x:c>
      <x:c r="F117" s="20" t="n">
        <x:v>1</x:v>
      </x:c>
      <x:c r="G117" s="20" t="n">
        <x:v>37</x:v>
      </x:c>
      <x:c r="H117" s="24" t="n">
        <x:f>IF(AND(ISNUMBER(F117),ISNUMBER(G117),G117&gt;0),F117/G117,"")</x:f>
        <x:v>0.02702702702702703</x:v>
      </x:c>
      <x:c r="I117" s="22" t="n">
        <x:v>6</x:v>
      </x:c>
      <x:c r="J117" s="20" t="n">
        <x:v>0</x:v>
      </x:c>
      <x:c r="K117" s="20" t="n">
        <x:v>4</x:v>
      </x:c>
      <x:c r="L117" s="24" t="n">
        <x:f>IF(AND(ISNUMBER(J117),ISNUMBER(K117),K117&gt;0),J117/K117,"")</x:f>
        <x:v>0</x:v>
      </x:c>
      <x:c r="M117" s="22" t="n">
        <x:v>7.5</x:v>
      </x:c>
      <x:c r="N117" s="12" t="str">
        <x:v>Не входит в 7 примеров исключения; индивидуальный статус не проверялся</x:v>
      </x:c>
      <x:c r="O117" s="12" t="str">
        <x:v>Выгрузка страниц</x:v>
      </x:c>
    </x:row>
    <x:row r="118" ht="52" customHeight="1">
      <x:c r="A118" s="14" t="str">
        <x:v>Лечение розацеа</x:v>
      </x:c>
      <x:c r="B118" s="16" t="str">
        <x:v>https://kozhaclinic.ru/ubrat-rozatsea/</x:v>
      </x:c>
      <x:c r="C118" s="21" t="n">
        <x:v>10</x:v>
      </x:c>
      <x:c r="D118" s="21" t="n">
        <x:v>3044</x:v>
      </x:c>
      <x:c r="E118" s="23" t="n">
        <x:v>6.96</x:v>
      </x:c>
      <x:c r="F118" s="21" t="n">
        <x:v>2</x:v>
      </x:c>
      <x:c r="G118" s="21" t="n">
        <x:v>825</x:v>
      </x:c>
      <x:c r="H118" s="25" t="n">
        <x:f>IF(AND(ISNUMBER(F118),ISNUMBER(G118),G118&gt;0),F118/G118,"")</x:f>
        <x:v>0.0024242424242424242</x:v>
      </x:c>
      <x:c r="I118" s="23" t="n">
        <x:v>6.28</x:v>
      </x:c>
      <x:c r="J118" s="21" t="n">
        <x:v>1</x:v>
      </x:c>
      <x:c r="K118" s="21" t="n">
        <x:v>83</x:v>
      </x:c>
      <x:c r="L118" s="25" t="n">
        <x:f>IF(AND(ISNUMBER(J118),ISNUMBER(K118),K118&gt;0),J118/K118,"")</x:f>
        <x:v>0.012048192771084338</x:v>
      </x:c>
      <x:c r="M118" s="23" t="n">
        <x:v>7.3</x:v>
      </x:c>
      <x:c r="N118" s="14" t="str">
        <x:v>Не входит в 7 примеров исключения; индивидуальный статус не проверялся</x:v>
      </x:c>
      <x:c r="O118" s="14" t="str">
        <x:v>Выгрузка страниц</x:v>
      </x:c>
    </x:row>
    <x:row r="119" ht="52" customHeight="1">
      <x:c r="A119" s="12" t="str">
        <x:v>Удаление шрама</x:v>
      </x:c>
      <x:c r="B119" s="15" t="str">
        <x:v>https://kozhaclinic.ru/ubrat-shram/</x:v>
      </x:c>
      <x:c r="C119" s="20" t="n">
        <x:v>56</x:v>
      </x:c>
      <x:c r="D119" s="20" t="n">
        <x:v>4352</x:v>
      </x:c>
      <x:c r="E119" s="22" t="n">
        <x:v>9.98</x:v>
      </x:c>
      <x:c r="F119" s="20" t="n">
        <x:v>21</x:v>
      </x:c>
      <x:c r="G119" s="20" t="n">
        <x:v>1338</x:v>
      </x:c>
      <x:c r="H119" s="24" t="n">
        <x:f>IF(AND(ISNUMBER(F119),ISNUMBER(G119),G119&gt;0),F119/G119,"")</x:f>
        <x:v>0.01569506726457399</x:v>
      </x:c>
      <x:c r="I119" s="22" t="n">
        <x:v>12.78</x:v>
      </x:c>
      <x:c r="J119" s="20" t="n">
        <x:v>3</x:v>
      </x:c>
      <x:c r="K119" s="20" t="n">
        <x:v>142</x:v>
      </x:c>
      <x:c r="L119" s="24" t="n">
        <x:f>IF(AND(ISNUMBER(J119),ISNUMBER(K119),K119&gt;0),J119/K119,"")</x:f>
        <x:v>0.02112676056338028</x:v>
      </x:c>
      <x:c r="M119" s="22" t="n">
        <x:v>6.7</x:v>
      </x:c>
      <x:c r="N119" s="12" t="str">
        <x:v>Не входит в 7 примеров исключения; индивидуальный статус не проверялся</x:v>
      </x:c>
      <x:c r="O119" s="12" t="str">
        <x:v>Выгрузка страниц</x:v>
      </x:c>
    </x:row>
    <x:row r="120" ht="52" customHeight="1">
      <x:c r="A120" s="14" t="str">
        <x:v>Удаление новобразований</x:v>
      </x:c>
      <x:c r="B120" s="16" t="str">
        <x:v>https://kozhaclinic.ru/udalenie-novoobrazovanij/</x:v>
      </x:c>
      <x:c r="C120" s="21" t="n">
        <x:v>1</x:v>
      </x:c>
      <x:c r="D120" s="21" t="n">
        <x:v>249</x:v>
      </x:c>
      <x:c r="E120" s="23" t="n">
        <x:v>15.73</x:v>
      </x:c>
      <x:c r="F120" s="21" t="n">
        <x:v>0</x:v>
      </x:c>
      <x:c r="G120" s="21" t="n">
        <x:v>91</x:v>
      </x:c>
      <x:c r="H120" s="25" t="n">
        <x:f>IF(AND(ISNUMBER(F120),ISNUMBER(G120),G120&gt;0),F120/G120,"")</x:f>
        <x:v>0</x:v>
      </x:c>
      <x:c r="I120" s="23" t="n">
        <x:v>16.86</x:v>
      </x:c>
      <x:c r="J120" s="21" t="n">
        <x:v>25</x:v>
      </x:c>
      <x:c r="K120" s="21" t="n">
        <x:v>313</x:v>
      </x:c>
      <x:c r="L120" s="25" t="n">
        <x:f>IF(AND(ISNUMBER(J120),ISNUMBER(K120),K120&gt;0),J120/K120,"")</x:f>
        <x:v>0.07987220447284345</x:v>
      </x:c>
      <x:c r="M120" s="23" t="n">
        <x:v>5.7</x:v>
      </x:c>
      <x:c r="N120" s="14" t="str">
        <x:v>Не входит в 7 примеров исключения; индивидуальный статус не проверялся</x:v>
      </x:c>
      <x:c r="O120" s="14" t="str">
        <x:v>Выгрузка страниц</x:v>
      </x:c>
    </x:row>
    <x:row r="121" ht="52" customHeight="1">
      <x:c r="A121" s="12" t="str">
        <x:v>Удаление бородавок</x:v>
      </x:c>
      <x:c r="B121" s="15" t="str">
        <x:v>https://kozhaclinic.ru/udalenie-novoobrazovanij/udalenie-borodavok/</x:v>
      </x:c>
      <x:c r="C121" s="20" t="n">
        <x:v>80</x:v>
      </x:c>
      <x:c r="D121" s="20" t="n">
        <x:v>1453</x:v>
      </x:c>
      <x:c r="E121" s="22" t="n">
        <x:v>14.16</x:v>
      </x:c>
      <x:c r="F121" s="20" t="n">
        <x:v>20</x:v>
      </x:c>
      <x:c r="G121" s="20" t="n">
        <x:v>454</x:v>
      </x:c>
      <x:c r="H121" s="24" t="n">
        <x:f>IF(AND(ISNUMBER(F121),ISNUMBER(G121),G121&gt;0),F121/G121,"")</x:f>
        <x:v>0.04405286343612335</x:v>
      </x:c>
      <x:c r="I121" s="22" t="n">
        <x:v>16.54</x:v>
      </x:c>
      <x:c r="J121" s="20" t="n">
        <x:v>39</x:v>
      </x:c>
      <x:c r="K121" s="20" t="n">
        <x:v>748</x:v>
      </x:c>
      <x:c r="L121" s="24" t="n">
        <x:f>IF(AND(ISNUMBER(J121),ISNUMBER(K121),K121&gt;0),J121/K121,"")</x:f>
        <x:v>0.05213903743315508</x:v>
      </x:c>
      <x:c r="M121" s="22" t="n">
        <x:v>5.7</x:v>
      </x:c>
      <x:c r="N121" s="12" t="str">
        <x:v>Не входит в 7 примеров исключения; индивидуальный статус не проверялся</x:v>
      </x:c>
      <x:c r="O121" s="12" t="str">
        <x:v>Выгрузка страниц</x:v>
      </x:c>
    </x:row>
    <x:row r="122" ht="52" customHeight="1">
      <x:c r="A122" s="14" t="str">
        <x:v>Удаление фибром</x:v>
      </x:c>
      <x:c r="B122" s="16" t="str">
        <x:v>https://kozhaclinic.ru/udalenie-novoobrazovanij/udalenie-fibrom/</x:v>
      </x:c>
      <x:c r="C122" s="21" t="n">
        <x:v>3</x:v>
      </x:c>
      <x:c r="D122" s="21" t="n">
        <x:v>340</x:v>
      </x:c>
      <x:c r="E122" s="23" t="n">
        <x:v>7.31</x:v>
      </x:c>
      <x:c r="F122" s="21" t="n">
        <x:v>3</x:v>
      </x:c>
      <x:c r="G122" s="21" t="n">
        <x:v>340</x:v>
      </x:c>
      <x:c r="H122" s="25" t="n">
        <x:f>IF(AND(ISNUMBER(F122),ISNUMBER(G122),G122&gt;0),F122/G122,"")</x:f>
        <x:v>0.008823529411764706</x:v>
      </x:c>
      <x:c r="I122" s="23" t="n">
        <x:v>7.31</x:v>
      </x:c>
      <x:c r="J122" s="21"/>
      <x:c r="K122" s="21"/>
      <x:c r="L122" s="25" t="str">
        <x:f>IF(AND(ISNUMBER(J122),ISNUMBER(K122),K122&gt;0),J122/K122,"")</x:f>
      </x:c>
      <x:c r="M122" s="23"/>
      <x:c r="N122" s="14" t="str">
        <x:v>Не входит в 7 примеров исключения; индивидуальный статус не проверялся</x:v>
      </x:c>
      <x:c r="O122" s="14" t="str">
        <x:v>Выгрузка страниц</x:v>
      </x:c>
    </x:row>
    <x:row r="123" ht="52" customHeight="1">
      <x:c r="A123" s="12" t="str">
        <x:v>Удаление гемангиомы</x:v>
      </x:c>
      <x:c r="B123" s="15" t="str">
        <x:v>https://kozhaclinic.ru/udalenie-novoobrazovanij/udalenie-gemangiomy/</x:v>
      </x:c>
      <x:c r="C123" s="20" t="n">
        <x:v>1</x:v>
      </x:c>
      <x:c r="D123" s="20" t="n">
        <x:v>84</x:v>
      </x:c>
      <x:c r="E123" s="22" t="n">
        <x:v>7.57</x:v>
      </x:c>
      <x:c r="F123" s="20" t="n">
        <x:v>1</x:v>
      </x:c>
      <x:c r="G123" s="20" t="n">
        <x:v>83</x:v>
      </x:c>
      <x:c r="H123" s="24" t="n">
        <x:f>IF(AND(ISNUMBER(F123),ISNUMBER(G123),G123&gt;0),F123/G123,"")</x:f>
        <x:v>0.012048192771084338</x:v>
      </x:c>
      <x:c r="I123" s="22" t="n">
        <x:v>7.57</x:v>
      </x:c>
      <x:c r="J123" s="20" t="n">
        <x:v>0</x:v>
      </x:c>
      <x:c r="K123" s="20" t="n">
        <x:v>16</x:v>
      </x:c>
      <x:c r="L123" s="24" t="n">
        <x:f>IF(AND(ISNUMBER(J123),ISNUMBER(K123),K123&gt;0),J123/K123,"")</x:f>
        <x:v>0</x:v>
      </x:c>
      <x:c r="M123" s="22" t="n">
        <x:v>5.6</x:v>
      </x:c>
      <x:c r="N123" s="12" t="str">
        <x:v>Не входит в 7 примеров исключения; индивидуальный статус не проверялся</x:v>
      </x:c>
      <x:c r="O123" s="12" t="str">
        <x:v>Выгрузка страниц</x:v>
      </x:c>
    </x:row>
    <x:row r="124" ht="52" customHeight="1">
      <x:c r="A124" s="14" t="str">
        <x:v>Удаление кератом</x:v>
      </x:c>
      <x:c r="B124" s="16" t="str">
        <x:v>https://kozhaclinic.ru/udalenie-novoobrazovanij/udalenie-keratom/</x:v>
      </x:c>
      <x:c r="C124" s="21" t="n">
        <x:v>4</x:v>
      </x:c>
      <x:c r="D124" s="21" t="n">
        <x:v>99</x:v>
      </x:c>
      <x:c r="E124" s="23" t="n">
        <x:v>5.52</x:v>
      </x:c>
      <x:c r="F124" s="21" t="n">
        <x:v>1</x:v>
      </x:c>
      <x:c r="G124" s="21" t="n">
        <x:v>39</x:v>
      </x:c>
      <x:c r="H124" s="25" t="n">
        <x:f>IF(AND(ISNUMBER(F124),ISNUMBER(G124),G124&gt;0),F124/G124,"")</x:f>
        <x:v>0.02564102564102564</x:v>
      </x:c>
      <x:c r="I124" s="23" t="n">
        <x:v>5.08</x:v>
      </x:c>
      <x:c r="J124" s="21" t="n">
        <x:v>8</x:v>
      </x:c>
      <x:c r="K124" s="21" t="n">
        <x:v>58</x:v>
      </x:c>
      <x:c r="L124" s="25" t="n">
        <x:f>IF(AND(ISNUMBER(J124),ISNUMBER(K124),K124&gt;0),J124/K124,"")</x:f>
        <x:v>0.13793103448275862</x:v>
      </x:c>
      <x:c r="M124" s="23" t="n">
        <x:v>5.6</x:v>
      </x:c>
      <x:c r="N124" s="14" t="str">
        <x:v>Не входит в 7 примеров исключения; индивидуальный статус не проверялся</x:v>
      </x:c>
      <x:c r="O124" s="14" t="str">
        <x:v>Выгрузка страниц</x:v>
      </x:c>
    </x:row>
    <x:row r="125" ht="52" customHeight="1">
      <x:c r="A125" s="12" t="str">
        <x:v>Удаление контагиозного моллюска</x:v>
      </x:c>
      <x:c r="B125" s="15" t="str">
        <x:v>https://kozhaclinic.ru/udalenie-novoobrazovanij/udalenie-kontagioznogo-mollyuska/</x:v>
      </x:c>
      <x:c r="C125" s="20" t="n">
        <x:v>0</x:v>
      </x:c>
      <x:c r="D125" s="20" t="n">
        <x:v>136</x:v>
      </x:c>
      <x:c r="E125" s="22" t="n">
        <x:v>7.23</x:v>
      </x:c>
      <x:c r="F125" s="20" t="n">
        <x:v>0</x:v>
      </x:c>
      <x:c r="G125" s="20" t="n">
        <x:v>135</x:v>
      </x:c>
      <x:c r="H125" s="24" t="n">
        <x:f>IF(AND(ISNUMBER(F125),ISNUMBER(G125),G125&gt;0),F125/G125,"")</x:f>
        <x:v>0</x:v>
      </x:c>
      <x:c r="I125" s="22" t="n">
        <x:v>7.25</x:v>
      </x:c>
      <x:c r="J125" s="20" t="n">
        <x:v>0</x:v>
      </x:c>
      <x:c r="K125" s="20" t="n">
        <x:v>10</x:v>
      </x:c>
      <x:c r="L125" s="24" t="n">
        <x:f>IF(AND(ISNUMBER(J125),ISNUMBER(K125),K125&gt;0),J125/K125,"")</x:f>
        <x:v>0</x:v>
      </x:c>
      <x:c r="M125" s="22" t="n">
        <x:v>4.9</x:v>
      </x:c>
      <x:c r="N125" s="12" t="str">
        <x:v>Не входит в 7 примеров исключения; индивидуальный статус не проверялся</x:v>
      </x:c>
      <x:c r="O125" s="12" t="str">
        <x:v>Выгрузка страниц</x:v>
      </x:c>
    </x:row>
    <x:row r="126" ht="52" customHeight="1">
      <x:c r="A126" s="14" t="str">
        <x:v>Удаление папиллом</x:v>
      </x:c>
      <x:c r="B126" s="16" t="str">
        <x:v>https://kozhaclinic.ru/udalenie-novoobrazovanij/udalenie-papilom/</x:v>
      </x:c>
      <x:c r="C126" s="21" t="n">
        <x:v>41</x:v>
      </x:c>
      <x:c r="D126" s="21" t="n">
        <x:v>1220</x:v>
      </x:c>
      <x:c r="E126" s="23" t="n">
        <x:v>6.15</x:v>
      </x:c>
      <x:c r="F126" s="21" t="n">
        <x:v>11</x:v>
      </x:c>
      <x:c r="G126" s="21" t="n">
        <x:v>354</x:v>
      </x:c>
      <x:c r="H126" s="25" t="n">
        <x:f>IF(AND(ISNUMBER(F126),ISNUMBER(G126),G126&gt;0),F126/G126,"")</x:f>
        <x:v>0.031073446327683617</x:v>
      </x:c>
      <x:c r="I126" s="23" t="n">
        <x:v>6.8</x:v>
      </x:c>
      <x:c r="J126" s="21" t="n">
        <x:v>27</x:v>
      </x:c>
      <x:c r="K126" s="21" t="n">
        <x:v>648</x:v>
      </x:c>
      <x:c r="L126" s="25" t="n">
        <x:f>IF(AND(ISNUMBER(J126),ISNUMBER(K126),K126&gt;0),J126/K126,"")</x:f>
        <x:v>0.041666666666666664</x:v>
      </x:c>
      <x:c r="M126" s="23" t="n">
        <x:v>5.7</x:v>
      </x:c>
      <x:c r="N126" s="14" t="str">
        <x:v>Не входит в 7 примеров исключения; индивидуальный статус не проверялся</x:v>
      </x:c>
      <x:c r="O126" s="14" t="str">
        <x:v>Выгрузка страниц</x:v>
      </x:c>
    </x:row>
    <x:row r="127" ht="52" customHeight="1">
      <x:c r="A127" s="12" t="str">
        <x:v>Удаление родинок</x:v>
      </x:c>
      <x:c r="B127" s="15" t="str">
        <x:v>https://kozhaclinic.ru/udalenie-novoobrazovanij/udalenie-rodinok/</x:v>
      </x:c>
      <x:c r="C127" s="20" t="n">
        <x:v>50</x:v>
      </x:c>
      <x:c r="D127" s="20" t="n">
        <x:v>1019</x:v>
      </x:c>
      <x:c r="E127" s="22" t="n">
        <x:v>6.44</x:v>
      </x:c>
      <x:c r="F127" s="20" t="n">
        <x:v>15</x:v>
      </x:c>
      <x:c r="G127" s="20" t="n">
        <x:v>268</x:v>
      </x:c>
      <x:c r="H127" s="24" t="n">
        <x:f>IF(AND(ISNUMBER(F127),ISNUMBER(G127),G127&gt;0),F127/G127,"")</x:f>
        <x:v>0.055970149253731345</x:v>
      </x:c>
      <x:c r="I127" s="22" t="n">
        <x:v>7.03</x:v>
      </x:c>
      <x:c r="J127" s="20" t="n">
        <x:v>56</x:v>
      </x:c>
      <x:c r="K127" s="20" t="n">
        <x:v>744</x:v>
      </x:c>
      <x:c r="L127" s="24" t="n">
        <x:f>IF(AND(ISNUMBER(J127),ISNUMBER(K127),K127&gt;0),J127/K127,"")</x:f>
        <x:v>0.07526881720430108</x:v>
      </x:c>
      <x:c r="M127" s="22" t="n">
        <x:v>5.9</x:v>
      </x:c>
      <x:c r="N127" s="12" t="str">
        <x:v>Не входит в 7 примеров исключения; индивидуальный статус не проверялся</x:v>
      </x:c>
      <x:c r="O127" s="12" t="str">
        <x:v>Выгрузка страниц</x:v>
      </x:c>
    </x:row>
    <x:row r="128" ht="52" customHeight="1">
      <x:c r="A128" s="14" t="str">
        <x:v>Уходовые процедуры</x:v>
      </x:c>
      <x:c r="B128" s="16" t="str">
        <x:v>https://kozhaclinic.ru/uhodovye-procedury/</x:v>
      </x:c>
      <x:c r="C128" s="21" t="n">
        <x:v>1</x:v>
      </x:c>
      <x:c r="D128" s="21" t="n">
        <x:v>34</x:v>
      </x:c>
      <x:c r="E128" s="23" t="n">
        <x:v>9.91</x:v>
      </x:c>
      <x:c r="F128" s="21" t="n">
        <x:v>1</x:v>
      </x:c>
      <x:c r="G128" s="21" t="n">
        <x:v>9</x:v>
      </x:c>
      <x:c r="H128" s="25" t="n">
        <x:f>IF(AND(ISNUMBER(F128),ISNUMBER(G128),G128&gt;0),F128/G128,"")</x:f>
        <x:v>0.1111111111111111</x:v>
      </x:c>
      <x:c r="I128" s="23" t="n">
        <x:v>21.56</x:v>
      </x:c>
      <x:c r="J128" s="21" t="n">
        <x:v>0</x:v>
      </x:c>
      <x:c r="K128" s="21" t="n">
        <x:v>35</x:v>
      </x:c>
      <x:c r="L128" s="25" t="n">
        <x:f>IF(AND(ISNUMBER(J128),ISNUMBER(K128),K128&gt;0),J128/K128,"")</x:f>
        <x:v>0</x:v>
      </x:c>
      <x:c r="M128" s="23" t="n">
        <x:v>8.2</x:v>
      </x:c>
      <x:c r="N128" s="14" t="str">
        <x:v>Не входит в 7 примеров исключения; индивидуальный статус не проверялся</x:v>
      </x:c>
      <x:c r="O128" s="14" t="str">
        <x:v>Выгрузка страниц</x:v>
      </x:c>
    </x:row>
    <x:row r="129" ht="52" customHeight="1">
      <x:c r="A129" s="12" t="str">
        <x:v>Антикуперозная программа (Holy Land)</x:v>
      </x:c>
      <x:c r="B129" s="15" t="str">
        <x:v>https://kozhaclinic.ru/uhodovye-procedury/antikuperoznaya-programma-holy-land/</x:v>
      </x:c>
      <x:c r="C129" s="20" t="n">
        <x:v>3</x:v>
      </x:c>
      <x:c r="D129" s="20" t="n">
        <x:v>131</x:v>
      </x:c>
      <x:c r="E129" s="22" t="n">
        <x:v>8.78</x:v>
      </x:c>
      <x:c r="F129" s="20" t="n">
        <x:v>1</x:v>
      </x:c>
      <x:c r="G129" s="20" t="n">
        <x:v>32</x:v>
      </x:c>
      <x:c r="H129" s="24" t="n">
        <x:f>IF(AND(ISNUMBER(F129),ISNUMBER(G129),G129&gt;0),F129/G129,"")</x:f>
        <x:v>0.03125</x:v>
      </x:c>
      <x:c r="I129" s="22" t="n">
        <x:v>10.06</x:v>
      </x:c>
      <x:c r="J129" s="20" t="n">
        <x:v>2</x:v>
      </x:c>
      <x:c r="K129" s="20" t="n">
        <x:v>21</x:v>
      </x:c>
      <x:c r="L129" s="24" t="n">
        <x:f>IF(AND(ISNUMBER(J129),ISNUMBER(K129),K129&gt;0),J129/K129,"")</x:f>
        <x:v>0.09523809523809523</x:v>
      </x:c>
      <x:c r="M129" s="22" t="n">
        <x:v>7</x:v>
      </x:c>
      <x:c r="N129" s="12" t="str">
        <x:v>Не входит в 7 примеров исключения; индивидуальный статус не проверялся</x:v>
      </x:c>
      <x:c r="O129" s="12" t="str">
        <x:v>Выгрузка страниц</x:v>
      </x:c>
    </x:row>
    <x:row r="130" ht="52" customHeight="1">
      <x:c r="A130" s="14" t="str">
        <x:v>Чистки лица и спины</x:v>
      </x:c>
      <x:c r="B130" s="16" t="str">
        <x:v>https://kozhaclinic.ru/uhodovye-procedury/chistki-litsa-i-spiny/</x:v>
      </x:c>
      <x:c r="C130" s="21" t="n">
        <x:v>4</x:v>
      </x:c>
      <x:c r="D130" s="21" t="n">
        <x:v>698</x:v>
      </x:c>
      <x:c r="E130" s="23" t="n">
        <x:v>33.8</x:v>
      </x:c>
      <x:c r="F130" s="21" t="n">
        <x:v>3</x:v>
      </x:c>
      <x:c r="G130" s="21" t="n">
        <x:v>208</x:v>
      </x:c>
      <x:c r="H130" s="25" t="n">
        <x:f>IF(AND(ISNUMBER(F130),ISNUMBER(G130),G130&gt;0),F130/G130,"")</x:f>
        <x:v>0.014423076923076924</x:v>
      </x:c>
      <x:c r="I130" s="23" t="n">
        <x:v>39.39</x:v>
      </x:c>
      <x:c r="J130" s="21" t="n">
        <x:v>0</x:v>
      </x:c>
      <x:c r="K130" s="21" t="n">
        <x:v>25</x:v>
      </x:c>
      <x:c r="L130" s="25" t="n">
        <x:f>IF(AND(ISNUMBER(J130),ISNUMBER(K130),K130&gt;0),J130/K130,"")</x:f>
        <x:v>0</x:v>
      </x:c>
      <x:c r="M130" s="23" t="n">
        <x:v>15.3</x:v>
      </x:c>
      <x:c r="N130" s="14" t="str">
        <x:v>Не входит в 7 примеров исключения; индивидуальный статус не проверялся</x:v>
      </x:c>
      <x:c r="O130" s="14" t="str">
        <x:v>Выгрузка страниц</x:v>
      </x:c>
    </x:row>
    <x:row r="131" ht="52" customHeight="1">
      <x:c r="A131" s="12" t="str">
        <x:v>Чистка спины</x:v>
      </x:c>
      <x:c r="B131" s="15" t="str">
        <x:v>https://kozhaclinic.ru/uhodovye-procedury/chistki-litsa-i-spiny/chistka-spiny/</x:v>
      </x:c>
      <x:c r="C131" s="20" t="n">
        <x:v>8</x:v>
      </x:c>
      <x:c r="D131" s="20" t="n">
        <x:v>1408</x:v>
      </x:c>
      <x:c r="E131" s="22" t="n">
        <x:v>11.67</x:v>
      </x:c>
      <x:c r="F131" s="20" t="n">
        <x:v>2</x:v>
      </x:c>
      <x:c r="G131" s="20" t="n">
        <x:v>360</x:v>
      </x:c>
      <x:c r="H131" s="24" t="n">
        <x:f>IF(AND(ISNUMBER(F131),ISNUMBER(G131),G131&gt;0),F131/G131,"")</x:f>
        <x:v>0.005555555555555556</x:v>
      </x:c>
      <x:c r="I131" s="22" t="n">
        <x:v>14.04</x:v>
      </x:c>
      <x:c r="J131" s="20" t="n">
        <x:v>0</x:v>
      </x:c>
      <x:c r="K131" s="20" t="n">
        <x:v>60</x:v>
      </x:c>
      <x:c r="L131" s="24" t="n">
        <x:f>IF(AND(ISNUMBER(J131),ISNUMBER(K131),K131&gt;0),J131/K131,"")</x:f>
        <x:v>0</x:v>
      </x:c>
      <x:c r="M131" s="22" t="n">
        <x:v>30.7</x:v>
      </x:c>
      <x:c r="N131" s="12" t="str">
        <x:v>Не входит в 7 примеров исключения; индивидуальный статус не проверялся</x:v>
      </x:c>
      <x:c r="O131" s="12" t="str">
        <x:v>Выгрузка страниц</x:v>
      </x:c>
    </x:row>
    <x:row r="132" ht="52" customHeight="1">
      <x:c r="A132" s="14" t="str">
        <x:v>Комбинированная чистка + CO2 маска</x:v>
      </x:c>
      <x:c r="B132" s="16" t="str">
        <x:v>https://kozhaclinic.ru/uhodovye-procedury/chistki-litsa-i-spiny/kombinirovannaya-chistka-co2-maska/</x:v>
      </x:c>
      <x:c r="C132" s="21" t="n">
        <x:v>3</x:v>
      </x:c>
      <x:c r="D132" s="21" t="n">
        <x:v>189</x:v>
      </x:c>
      <x:c r="E132" s="23" t="n">
        <x:v>6.25</x:v>
      </x:c>
      <x:c r="F132" s="21" t="n">
        <x:v>1</x:v>
      </x:c>
      <x:c r="G132" s="21" t="n">
        <x:v>70</x:v>
      </x:c>
      <x:c r="H132" s="25" t="n">
        <x:f>IF(AND(ISNUMBER(F132),ISNUMBER(G132),G132&gt;0),F132/G132,"")</x:f>
        <x:v>0.014285714285714285</x:v>
      </x:c>
      <x:c r="I132" s="23" t="n">
        <x:v>5.13</x:v>
      </x:c>
      <x:c r="J132" s="21"/>
      <x:c r="K132" s="21"/>
      <x:c r="L132" s="25" t="str">
        <x:f>IF(AND(ISNUMBER(J132),ISNUMBER(K132),K132&gt;0),J132/K132,"")</x:f>
      </x:c>
      <x:c r="M132" s="23"/>
      <x:c r="N132" s="14" t="str">
        <x:v>Не входит в 7 примеров исключения; индивидуальный статус не проверялся</x:v>
      </x:c>
      <x:c r="O132" s="14" t="str">
        <x:v>Выгрузка страниц</x:v>
      </x:c>
    </x:row>
    <x:row r="133" ht="52" customHeight="1">
      <x:c r="A133" s="12" t="str">
        <x:v>Комбинированная чистка</x:v>
      </x:c>
      <x:c r="B133" s="15" t="str">
        <x:v>https://kozhaclinic.ru/uhodovye-procedury/chistki-litsa-i-spiny/kombinirovannaya-chistka/</x:v>
      </x:c>
      <x:c r="C133" s="20" t="n">
        <x:v>8</x:v>
      </x:c>
      <x:c r="D133" s="20" t="n">
        <x:v>211</x:v>
      </x:c>
      <x:c r="E133" s="22" t="n">
        <x:v>23.39</x:v>
      </x:c>
      <x:c r="F133" s="20" t="n">
        <x:v>2</x:v>
      </x:c>
      <x:c r="G133" s="20" t="n">
        <x:v>78</x:v>
      </x:c>
      <x:c r="H133" s="24" t="n">
        <x:f>IF(AND(ISNUMBER(F133),ISNUMBER(G133),G133&gt;0),F133/G133,"")</x:f>
        <x:v>0.02564102564102564</x:v>
      </x:c>
      <x:c r="I133" s="22" t="n">
        <x:v>21.76</x:v>
      </x:c>
      <x:c r="J133" s="20" t="n">
        <x:v>0</x:v>
      </x:c>
      <x:c r="K133" s="20" t="n">
        <x:v>34</x:v>
      </x:c>
      <x:c r="L133" s="24" t="n">
        <x:f>IF(AND(ISNUMBER(J133),ISNUMBER(K133),K133&gt;0),J133/K133,"")</x:f>
        <x:v>0</x:v>
      </x:c>
      <x:c r="M133" s="22" t="n">
        <x:v>9.1</x:v>
      </x:c>
      <x:c r="N133" s="12" t="str">
        <x:v>Не входит в 7 примеров исключения; индивидуальный статус не проверялся</x:v>
      </x:c>
      <x:c r="O133" s="12" t="str">
        <x:v>Выгрузка страниц</x:v>
      </x:c>
    </x:row>
    <x:row r="134" ht="52" customHeight="1">
      <x:c r="A134" s="14" t="str">
        <x:v>Лечебная чистка лица</x:v>
      </x:c>
      <x:c r="B134" s="16" t="str">
        <x:v>https://kozhaclinic.ru/uhodovye-procedury/chistki-litsa-i-spiny/lechebnaya-chistka-litsa/</x:v>
      </x:c>
      <x:c r="C134" s="21" t="n">
        <x:v>23</x:v>
      </x:c>
      <x:c r="D134" s="21" t="n">
        <x:v>1013</x:v>
      </x:c>
      <x:c r="E134" s="23" t="n">
        <x:v>10.27</x:v>
      </x:c>
      <x:c r="F134" s="21" t="n">
        <x:v>3</x:v>
      </x:c>
      <x:c r="G134" s="21" t="n">
        <x:v>221</x:v>
      </x:c>
      <x:c r="H134" s="25" t="n">
        <x:f>IF(AND(ISNUMBER(F134),ISNUMBER(G134),G134&gt;0),F134/G134,"")</x:f>
        <x:v>0.013574660633484163</x:v>
      </x:c>
      <x:c r="I134" s="23" t="n">
        <x:v>11.77</x:v>
      </x:c>
      <x:c r="J134" s="21" t="n">
        <x:v>0</x:v>
      </x:c>
      <x:c r="K134" s="21" t="n">
        <x:v>31</x:v>
      </x:c>
      <x:c r="L134" s="25" t="n">
        <x:f>IF(AND(ISNUMBER(J134),ISNUMBER(K134),K134&gt;0),J134/K134,"")</x:f>
        <x:v>0</x:v>
      </x:c>
      <x:c r="M134" s="23" t="n">
        <x:v>7.7</x:v>
      </x:c>
      <x:c r="N134" s="14" t="str">
        <x:v>Не входит в 7 примеров исключения; индивидуальный статус не проверялся</x:v>
      </x:c>
      <x:c r="O134" s="14" t="str">
        <x:v>Выгрузка страниц</x:v>
      </x:c>
    </x:row>
    <x:row r="135" ht="52" customHeight="1">
      <x:c r="A135" s="12" t="str">
        <x:v>Миндальный уход (УЗ-чистка + миндальный пилинг)</x:v>
      </x:c>
      <x:c r="B135" s="15" t="str">
        <x:v>https://kozhaclinic.ru/uhodovye-procedury/chistki-litsa-i-spiny/mindalnyy-ukhod-uz-chistka-mindalnyy-piling/</x:v>
      </x:c>
      <x:c r="C135" s="20" t="n">
        <x:v>2</x:v>
      </x:c>
      <x:c r="D135" s="20" t="n">
        <x:v>196</x:v>
      </x:c>
      <x:c r="E135" s="22" t="n">
        <x:v>11.03</x:v>
      </x:c>
      <x:c r="F135" s="20" t="n">
        <x:v>0</x:v>
      </x:c>
      <x:c r="G135" s="20" t="n">
        <x:v>48</x:v>
      </x:c>
      <x:c r="H135" s="24" t="n">
        <x:f>IF(AND(ISNUMBER(F135),ISNUMBER(G135),G135&gt;0),F135/G135,"")</x:f>
        <x:v>0</x:v>
      </x:c>
      <x:c r="I135" s="22" t="n">
        <x:v>18.35</x:v>
      </x:c>
      <x:c r="J135" s="20" t="n">
        <x:v>0</x:v>
      </x:c>
      <x:c r="K135" s="20" t="n">
        <x:v>13</x:v>
      </x:c>
      <x:c r="L135" s="24" t="n">
        <x:f>IF(AND(ISNUMBER(J135),ISNUMBER(K135),K135&gt;0),J135/K135,"")</x:f>
        <x:v>0</x:v>
      </x:c>
      <x:c r="M135" s="22" t="n">
        <x:v>4.3</x:v>
      </x:c>
      <x:c r="N135" s="12" t="str">
        <x:v>Не входит в 7 примеров исключения; индивидуальный статус не проверялся</x:v>
      </x:c>
      <x:c r="O135" s="12" t="str">
        <x:v>Выгрузка страниц</x:v>
      </x:c>
    </x:row>
    <x:row r="136" ht="52" customHeight="1">
      <x:c r="A136" s="14" t="str">
        <x:v>Ультразвуковая чистка лица</x:v>
      </x:c>
      <x:c r="B136" s="16" t="str">
        <x:v>https://kozhaclinic.ru/uhodovye-procedury/chistki-litsa-i-spiny/ultrazvukovaya-chistka-litsa/</x:v>
      </x:c>
      <x:c r="C136" s="21" t="n">
        <x:v>2</x:v>
      </x:c>
      <x:c r="D136" s="21" t="n">
        <x:v>35</x:v>
      </x:c>
      <x:c r="E136" s="23" t="n">
        <x:v>10.34</x:v>
      </x:c>
      <x:c r="F136" s="21" t="n">
        <x:v>0</x:v>
      </x:c>
      <x:c r="G136" s="21" t="n">
        <x:v>9</x:v>
      </x:c>
      <x:c r="H136" s="25" t="n">
        <x:f>IF(AND(ISNUMBER(F136),ISNUMBER(G136),G136&gt;0),F136/G136,"")</x:f>
        <x:v>0</x:v>
      </x:c>
      <x:c r="I136" s="23" t="n">
        <x:v>8.22</x:v>
      </x:c>
      <x:c r="J136" s="21" t="n">
        <x:v>0</x:v>
      </x:c>
      <x:c r="K136" s="21" t="n">
        <x:v>6</x:v>
      </x:c>
      <x:c r="L136" s="25" t="n">
        <x:f>IF(AND(ISNUMBER(J136),ISNUMBER(K136),K136&gt;0),J136/K136,"")</x:f>
        <x:v>0</x:v>
      </x:c>
      <x:c r="M136" s="23" t="n">
        <x:v>10.3</x:v>
      </x:c>
      <x:c r="N136" s="14" t="str">
        <x:v>Не входит в 7 примеров исключения; индивидуальный статус не проверялся</x:v>
      </x:c>
      <x:c r="O136" s="14" t="str">
        <x:v>Выгрузка страниц</x:v>
      </x:c>
    </x:row>
    <x:row r="137" ht="52" customHeight="1">
      <x:c r="A137" s="12" t="str">
        <x:v>Маска CO2</x:v>
      </x:c>
      <x:c r="B137" s="15" t="str">
        <x:v>https://kozhaclinic.ru/uhodovye-procedury/maska-co2/</x:v>
      </x:c>
      <x:c r="C137" s="20" t="n">
        <x:v>0</x:v>
      </x:c>
      <x:c r="D137" s="20" t="n">
        <x:v>29</x:v>
      </x:c>
      <x:c r="E137" s="22" t="n">
        <x:v>11.62</x:v>
      </x:c>
      <x:c r="F137" s="20" t="n">
        <x:v>0</x:v>
      </x:c>
      <x:c r="G137" s="20" t="n">
        <x:v>12</x:v>
      </x:c>
      <x:c r="H137" s="24" t="n">
        <x:f>IF(AND(ISNUMBER(F137),ISNUMBER(G137),G137&gt;0),F137/G137,"")</x:f>
        <x:v>0</x:v>
      </x:c>
      <x:c r="I137" s="22" t="n">
        <x:v>7.5</x:v>
      </x:c>
      <x:c r="J137" s="20"/>
      <x:c r="K137" s="20"/>
      <x:c r="L137" s="24" t="str">
        <x:f>IF(AND(ISNUMBER(J137),ISNUMBER(K137),K137&gt;0),J137/K137,"")</x:f>
      </x:c>
      <x:c r="M137" s="22"/>
      <x:c r="N137" s="12" t="str">
        <x:v>Не входит в 7 примеров исключения; индивидуальный статус не проверялся</x:v>
      </x:c>
      <x:c r="O137" s="12" t="str">
        <x:v>Выгрузка страниц</x:v>
      </x:c>
    </x:row>
    <x:row r="138" ht="52" customHeight="1">
      <x:c r="A138" s="14" t="str">
        <x:v>Массажи лица</x:v>
      </x:c>
      <x:c r="B138" s="16" t="str">
        <x:v>https://kozhaclinic.ru/uhodovye-procedury/massazhi/</x:v>
      </x:c>
      <x:c r="C138" s="21" t="n">
        <x:v>3</x:v>
      </x:c>
      <x:c r="D138" s="21" t="n">
        <x:v>1165</x:v>
      </x:c>
      <x:c r="E138" s="23" t="n">
        <x:v>68.12</x:v>
      </x:c>
      <x:c r="F138" s="21" t="n">
        <x:v>0</x:v>
      </x:c>
      <x:c r="G138" s="21" t="n">
        <x:v>208</x:v>
      </x:c>
      <x:c r="H138" s="25" t="n">
        <x:f>IF(AND(ISNUMBER(F138),ISNUMBER(G138),G138&gt;0),F138/G138,"")</x:f>
        <x:v>0</x:v>
      </x:c>
      <x:c r="I138" s="23" t="n">
        <x:v>58.19</x:v>
      </x:c>
      <x:c r="J138" s="21" t="n">
        <x:v>1</x:v>
      </x:c>
      <x:c r="K138" s="21" t="n">
        <x:v>36</x:v>
      </x:c>
      <x:c r="L138" s="25" t="n">
        <x:f>IF(AND(ISNUMBER(J138),ISNUMBER(K138),K138&gt;0),J138/K138,"")</x:f>
        <x:v>0.027777777777777776</x:v>
      </x:c>
      <x:c r="M138" s="23" t="n">
        <x:v>9.6</x:v>
      </x:c>
      <x:c r="N138" s="14" t="str">
        <x:v>Не входит в 7 примеров исключения; индивидуальный статус не проверялся</x:v>
      </x:c>
      <x:c r="O138" s="14" t="str">
        <x:v>Выгрузка страниц</x:v>
      </x:c>
    </x:row>
    <x:row r="139" ht="52" customHeight="1">
      <x:c r="A139" s="12" t="str">
        <x:v>Классический</x:v>
      </x:c>
      <x:c r="B139" s="15" t="str">
        <x:v>https://kozhaclinic.ru/uhodovye-procedury/massazhi/klassicheskiy-/</x:v>
      </x:c>
      <x:c r="C139" s="20" t="n">
        <x:v>1</x:v>
      </x:c>
      <x:c r="D139" s="20" t="n">
        <x:v>79</x:v>
      </x:c>
      <x:c r="E139" s="22" t="n">
        <x:v>33.46</x:v>
      </x:c>
      <x:c r="F139" s="20" t="n">
        <x:v>0</x:v>
      </x:c>
      <x:c r="G139" s="20" t="n">
        <x:v>23</x:v>
      </x:c>
      <x:c r="H139" s="24" t="n">
        <x:f>IF(AND(ISNUMBER(F139),ISNUMBER(G139),G139&gt;0),F139/G139,"")</x:f>
        <x:v>0</x:v>
      </x:c>
      <x:c r="I139" s="22" t="n">
        <x:v>42.09</x:v>
      </x:c>
      <x:c r="J139" s="20" t="n">
        <x:v>0</x:v>
      </x:c>
      <x:c r="K139" s="20" t="n">
        <x:v>4</x:v>
      </x:c>
      <x:c r="L139" s="24" t="n">
        <x:f>IF(AND(ISNUMBER(J139),ISNUMBER(K139),K139&gt;0),J139/K139,"")</x:f>
        <x:v>0</x:v>
      </x:c>
      <x:c r="M139" s="22" t="n">
        <x:v>10</x:v>
      </x:c>
      <x:c r="N139" s="12" t="str">
        <x:v>Не входит в 7 примеров исключения; индивидуальный статус не проверялся</x:v>
      </x:c>
      <x:c r="O139" s="12" t="str">
        <x:v>Выгрузка страниц</x:v>
      </x:c>
    </x:row>
    <x:row r="140" ht="52" customHeight="1">
      <x:c r="A140" s="14" t="str">
        <x:v>Лимфодренажный</x:v>
      </x:c>
      <x:c r="B140" s="16" t="str">
        <x:v>https://kozhaclinic.ru/uhodovye-procedury/massazhi/limfodrenazhnyy/</x:v>
      </x:c>
      <x:c r="C140" s="21" t="n">
        <x:v>3</x:v>
      </x:c>
      <x:c r="D140" s="21" t="n">
        <x:v>173</x:v>
      </x:c>
      <x:c r="E140" s="23" t="n">
        <x:v>42.4</x:v>
      </x:c>
      <x:c r="F140" s="21" t="n">
        <x:v>0</x:v>
      </x:c>
      <x:c r="G140" s="21" t="n">
        <x:v>77</x:v>
      </x:c>
      <x:c r="H140" s="25" t="n">
        <x:f>IF(AND(ISNUMBER(F140),ISNUMBER(G140),G140&gt;0),F140/G140,"")</x:f>
        <x:v>0</x:v>
      </x:c>
      <x:c r="I140" s="23" t="n">
        <x:v>55.71</x:v>
      </x:c>
      <x:c r="J140" s="21" t="n">
        <x:v>0</x:v>
      </x:c>
      <x:c r="K140" s="21" t="n">
        <x:v>1</x:v>
      </x:c>
      <x:c r="L140" s="25" t="n">
        <x:f>IF(AND(ISNUMBER(J140),ISNUMBER(K140),K140&gt;0),J140/K140,"")</x:f>
        <x:v>0</x:v>
      </x:c>
      <x:c r="M140" s="23" t="n">
        <x:v>11</x:v>
      </x:c>
      <x:c r="N140" s="14" t="str">
        <x:v>Не входит в 7 примеров исключения; индивидуальный статус не проверялся</x:v>
      </x:c>
      <x:c r="O140" s="14" t="str">
        <x:v>Выгрузка страниц</x:v>
      </x:c>
    </x:row>
    <x:row r="141" ht="52" customHeight="1">
      <x:c r="A141" s="12" t="str">
        <x:v>Пластифицирующий</x:v>
      </x:c>
      <x:c r="B141" s="15" t="str">
        <x:v>https://kozhaclinic.ru/uhodovye-procedury/massazhi/plastifitsiruyushchiy/</x:v>
      </x:c>
      <x:c r="C141" s="20" t="n">
        <x:v>1</x:v>
      </x:c>
      <x:c r="D141" s="20" t="n">
        <x:v>465</x:v>
      </x:c>
      <x:c r="E141" s="22" t="n">
        <x:v>40.6</x:v>
      </x:c>
      <x:c r="F141" s="20" t="n">
        <x:v>0</x:v>
      </x:c>
      <x:c r="G141" s="20" t="n">
        <x:v>174</x:v>
      </x:c>
      <x:c r="H141" s="24" t="n">
        <x:f>IF(AND(ISNUMBER(F141),ISNUMBER(G141),G141&gt;0),F141/G141,"")</x:f>
        <x:v>0</x:v>
      </x:c>
      <x:c r="I141" s="22" t="n">
        <x:v>36.81</x:v>
      </x:c>
      <x:c r="J141" s="20" t="n">
        <x:v>4</x:v>
      </x:c>
      <x:c r="K141" s="20" t="n">
        <x:v>184</x:v>
      </x:c>
      <x:c r="L141" s="24" t="n">
        <x:f>IF(AND(ISNUMBER(J141),ISNUMBER(K141),K141&gt;0),J141/K141,"")</x:f>
        <x:v>0.021739130434782608</x:v>
      </x:c>
      <x:c r="M141" s="22" t="n">
        <x:v>6.4</x:v>
      </x:c>
      <x:c r="N141" s="12" t="str">
        <x:v>Не входит в 7 примеров исключения; индивидуальный статус не проверялся</x:v>
      </x:c>
      <x:c r="O141" s="12" t="str">
        <x:v>Выгрузка страниц</x:v>
      </x:c>
    </x:row>
    <x:row r="142" ht="52" customHeight="1">
      <x:c r="A142" s="14" t="str">
        <x:v>Пилинги для лица</x:v>
      </x:c>
      <x:c r="B142" s="16" t="str">
        <x:v>https://kozhaclinic.ru/uhodovye-procedury/pilingi/</x:v>
      </x:c>
      <x:c r="C142" s="21" t="n">
        <x:v>4</x:v>
      </x:c>
      <x:c r="D142" s="21" t="n">
        <x:v>520</x:v>
      </x:c>
      <x:c r="E142" s="23" t="n">
        <x:v>6.96</x:v>
      </x:c>
      <x:c r="F142" s="21" t="n">
        <x:v>2</x:v>
      </x:c>
      <x:c r="G142" s="21" t="n">
        <x:v>137</x:v>
      </x:c>
      <x:c r="H142" s="25" t="n">
        <x:f>IF(AND(ISNUMBER(F142),ISNUMBER(G142),G142&gt;0),F142/G142,"")</x:f>
        <x:v>0.014598540145985401</x:v>
      </x:c>
      <x:c r="I142" s="23" t="n">
        <x:v>7.32</x:v>
      </x:c>
      <x:c r="J142" s="21" t="n">
        <x:v>1</x:v>
      </x:c>
      <x:c r="K142" s="21" t="n">
        <x:v>6</x:v>
      </x:c>
      <x:c r="L142" s="25" t="n">
        <x:f>IF(AND(ISNUMBER(J142),ISNUMBER(K142),K142&gt;0),J142/K142,"")</x:f>
        <x:v>0.16666666666666666</x:v>
      </x:c>
      <x:c r="M142" s="23" t="n">
        <x:v>9</x:v>
      </x:c>
      <x:c r="N142" s="14" t="str">
        <x:v>Не входит в 7 примеров исключения; индивидуальный статус не проверялся</x:v>
      </x:c>
      <x:c r="O142" s="14" t="str">
        <x:v>Выгрузка страниц</x:v>
      </x:c>
    </x:row>
    <x:row r="143" ht="52" customHeight="1">
      <x:c r="A143" s="12" t="str">
        <x:v>Азелаиновый пилинг</x:v>
      </x:c>
      <x:c r="B143" s="15" t="str">
        <x:v>https://kozhaclinic.ru/uhodovye-procedury/pilingi/azelainovyi-piling/</x:v>
      </x:c>
      <x:c r="C143" s="20" t="n">
        <x:v>0</x:v>
      </x:c>
      <x:c r="D143" s="20" t="n">
        <x:v>127</x:v>
      </x:c>
      <x:c r="E143" s="22" t="n">
        <x:v>22.19</x:v>
      </x:c>
      <x:c r="F143" s="20" t="n">
        <x:v>0</x:v>
      </x:c>
      <x:c r="G143" s="20" t="n">
        <x:v>60</x:v>
      </x:c>
      <x:c r="H143" s="24" t="n">
        <x:f>IF(AND(ISNUMBER(F143),ISNUMBER(G143),G143&gt;0),F143/G143,"")</x:f>
        <x:v>0</x:v>
      </x:c>
      <x:c r="I143" s="22" t="n">
        <x:v>29.23</x:v>
      </x:c>
      <x:c r="J143" s="20" t="n">
        <x:v>0</x:v>
      </x:c>
      <x:c r="K143" s="20" t="n">
        <x:v>3</x:v>
      </x:c>
      <x:c r="L143" s="24" t="n">
        <x:f>IF(AND(ISNUMBER(J143),ISNUMBER(K143),K143&gt;0),J143/K143,"")</x:f>
        <x:v>0</x:v>
      </x:c>
      <x:c r="M143" s="22" t="n">
        <x:v>6.3</x:v>
      </x:c>
      <x:c r="N143" s="12" t="str">
        <x:v>Не входит в 7 примеров исключения; индивидуальный статус не проверялся</x:v>
      </x:c>
      <x:c r="O143" s="12" t="str">
        <x:v>Выгрузка страниц</x:v>
      </x:c>
    </x:row>
    <x:row r="144" ht="52" customHeight="1">
      <x:c r="A144" s="14" t="str">
        <x:v>Гликолевый пилинг</x:v>
      </x:c>
      <x:c r="B144" s="16" t="str">
        <x:v>https://kozhaclinic.ru/uhodovye-procedury/pilingi/glikolevyi-piling/</x:v>
      </x:c>
      <x:c r="C144" s="21" t="n">
        <x:v>0</x:v>
      </x:c>
      <x:c r="D144" s="21" t="n">
        <x:v>118</x:v>
      </x:c>
      <x:c r="E144" s="23" t="n">
        <x:v>21.75</x:v>
      </x:c>
      <x:c r="F144" s="21" t="n">
        <x:v>0</x:v>
      </x:c>
      <x:c r="G144" s="21" t="n">
        <x:v>51</x:v>
      </x:c>
      <x:c r="H144" s="25" t="n">
        <x:f>IF(AND(ISNUMBER(F144),ISNUMBER(G144),G144&gt;0),F144/G144,"")</x:f>
        <x:v>0</x:v>
      </x:c>
      <x:c r="I144" s="23" t="n">
        <x:v>13.92</x:v>
      </x:c>
      <x:c r="J144" s="21"/>
      <x:c r="K144" s="21"/>
      <x:c r="L144" s="25" t="str">
        <x:f>IF(AND(ISNUMBER(J144),ISNUMBER(K144),K144&gt;0),J144/K144,"")</x:f>
      </x:c>
      <x:c r="M144" s="23"/>
      <x:c r="N144" s="14" t="str">
        <x:v>Не входит в 7 примеров исключения; индивидуальный статус не проверялся</x:v>
      </x:c>
      <x:c r="O144" s="14" t="str">
        <x:v>Выгрузка страниц</x:v>
      </x:c>
    </x:row>
    <x:row r="145" ht="52" customHeight="1">
      <x:c r="A145" s="12" t="str">
        <x:v>Химические пилинги</x:v>
      </x:c>
      <x:c r="B145" s="15" t="str">
        <x:v>https://kozhaclinic.ru/uhodovye-procedury/pilingi/khimicheskie-pilingi/</x:v>
      </x:c>
      <x:c r="C145" s="20" t="n">
        <x:v>1</x:v>
      </x:c>
      <x:c r="D145" s="20" t="n">
        <x:v>48</x:v>
      </x:c>
      <x:c r="E145" s="22" t="n">
        <x:v>6.71</x:v>
      </x:c>
      <x:c r="F145" s="20" t="n">
        <x:v>0</x:v>
      </x:c>
      <x:c r="G145" s="20" t="n">
        <x:v>11</x:v>
      </x:c>
      <x:c r="H145" s="24" t="n">
        <x:f>IF(AND(ISNUMBER(F145),ISNUMBER(G145),G145&gt;0),F145/G145,"")</x:f>
        <x:v>0</x:v>
      </x:c>
      <x:c r="I145" s="22" t="n">
        <x:v>10.27</x:v>
      </x:c>
      <x:c r="J145" s="20" t="n">
        <x:v>0</x:v>
      </x:c>
      <x:c r="K145" s="20" t="n">
        <x:v>0</x:v>
      </x:c>
      <x:c r="L145" s="24" t="str">
        <x:f>IF(AND(ISNUMBER(J145),ISNUMBER(K145),K145&gt;0),J145/K145,"")</x:f>
      </x:c>
      <x:c r="M145" s="22"/>
      <x:c r="N145" s="12" t="str">
        <x:v>Не входит в 7 примеров исключения; индивидуальный статус не проверялся</x:v>
      </x:c>
      <x:c r="O145" s="12" t="str">
        <x:v>Выгрузка страниц</x:v>
      </x:c>
    </x:row>
    <x:row r="146" ht="52" customHeight="1">
      <x:c r="A146" s="14" t="str">
        <x:v>Кислотный пилинг</x:v>
      </x:c>
      <x:c r="B146" s="16" t="str">
        <x:v>https://kozhaclinic.ru/uhodovye-procedury/pilingi/kislotnyi-piling/</x:v>
      </x:c>
      <x:c r="C146" s="21" t="n">
        <x:v>0</x:v>
      </x:c>
      <x:c r="D146" s="21" t="n">
        <x:v>176</x:v>
      </x:c>
      <x:c r="E146" s="23" t="n">
        <x:v>20.74</x:v>
      </x:c>
      <x:c r="F146" s="21" t="n">
        <x:v>0</x:v>
      </x:c>
      <x:c r="G146" s="21" t="n">
        <x:v>67</x:v>
      </x:c>
      <x:c r="H146" s="25" t="n">
        <x:f>IF(AND(ISNUMBER(F146),ISNUMBER(G146),G146&gt;0),F146/G146,"")</x:f>
        <x:v>0</x:v>
      </x:c>
      <x:c r="I146" s="23" t="n">
        <x:v>15.85</x:v>
      </x:c>
      <x:c r="J146" s="21"/>
      <x:c r="K146" s="21"/>
      <x:c r="L146" s="25" t="str">
        <x:f>IF(AND(ISNUMBER(J146),ISNUMBER(K146),K146&gt;0),J146/K146,"")</x:f>
      </x:c>
      <x:c r="M146" s="23"/>
      <x:c r="N146" s="14" t="str">
        <x:v>Не входит в 7 примеров исключения; индивидуальный статус не проверялся</x:v>
      </x:c>
      <x:c r="O146" s="14" t="str">
        <x:v>Выгрузка страниц</x:v>
      </x:c>
    </x:row>
    <x:row r="147" ht="52" customHeight="1">
      <x:c r="A147" s="12" t="str">
        <x:v>Персиковый пилинг Peach Peel</x:v>
      </x:c>
      <x:c r="B147" s="15" t="str">
        <x:v>https://kozhaclinic.ru/uhodovye-procedury/pilingi/persikovyi-piling-peach-peel/</x:v>
      </x:c>
      <x:c r="C147" s="20" t="n">
        <x:v>10</x:v>
      </x:c>
      <x:c r="D147" s="20" t="n">
        <x:v>1663</x:v>
      </x:c>
      <x:c r="E147" s="22" t="n">
        <x:v>7.35</x:v>
      </x:c>
      <x:c r="F147" s="20" t="n">
        <x:v>8</x:v>
      </x:c>
      <x:c r="G147" s="20" t="n">
        <x:v>809</x:v>
      </x:c>
      <x:c r="H147" s="24" t="n">
        <x:f>IF(AND(ISNUMBER(F147),ISNUMBER(G147),G147&gt;0),F147/G147,"")</x:f>
        <x:v>0.009888751545117428</x:v>
      </x:c>
      <x:c r="I147" s="22" t="n">
        <x:v>7.43</x:v>
      </x:c>
      <x:c r="J147" s="20" t="n">
        <x:v>0</x:v>
      </x:c>
      <x:c r="K147" s="20" t="n">
        <x:v>0</x:v>
      </x:c>
      <x:c r="L147" s="24" t="str">
        <x:f>IF(AND(ISNUMBER(J147),ISNUMBER(K147),K147&gt;0),J147/K147,"")</x:f>
      </x:c>
      <x:c r="M147" s="22"/>
      <x:c r="N147" s="12" t="str">
        <x:v>Не входит в 7 примеров исключения; индивидуальный статус не проверялся</x:v>
      </x:c>
      <x:c r="O147" s="12" t="str">
        <x:v>Выгрузка страниц</x:v>
      </x:c>
    </x:row>
    <x:row r="148" ht="52" customHeight="1">
      <x:c r="A148" s="14" t="str">
        <x:v>Пилинг BioRepel</x:v>
      </x:c>
      <x:c r="B148" s="16" t="str">
        <x:v>https://kozhaclinic.ru/uhodovye-procedury/pilingi/piling-biorepel/</x:v>
      </x:c>
      <x:c r="C148" s="21" t="n">
        <x:v>9</x:v>
      </x:c>
      <x:c r="D148" s="21" t="n">
        <x:v>733</x:v>
      </x:c>
      <x:c r="E148" s="23" t="n">
        <x:v>5.02</x:v>
      </x:c>
      <x:c r="F148" s="21" t="n">
        <x:v>1</x:v>
      </x:c>
      <x:c r="G148" s="21" t="n">
        <x:v>142</x:v>
      </x:c>
      <x:c r="H148" s="25" t="n">
        <x:f>IF(AND(ISNUMBER(F148),ISNUMBER(G148),G148&gt;0),F148/G148,"")</x:f>
        <x:v>0.007042253521126761</x:v>
      </x:c>
      <x:c r="I148" s="23" t="n">
        <x:v>5.76</x:v>
      </x:c>
      <x:c r="J148" s="21" t="n">
        <x:v>0</x:v>
      </x:c>
      <x:c r="K148" s="21" t="n">
        <x:v>4</x:v>
      </x:c>
      <x:c r="L148" s="25" t="n">
        <x:f>IF(AND(ISNUMBER(J148),ISNUMBER(K148),K148&gt;0),J148/K148,"")</x:f>
        <x:v>0</x:v>
      </x:c>
      <x:c r="M148" s="23" t="n">
        <x:v>8.2</x:v>
      </x:c>
      <x:c r="N148" s="14" t="str">
        <x:v>Не входит в 7 примеров исключения; индивидуальный статус не проверялся</x:v>
      </x:c>
      <x:c r="O148" s="14" t="str">
        <x:v>Выгрузка страниц</x:v>
      </x:c>
    </x:row>
    <x:row r="149" ht="52" customHeight="1">
      <x:c r="A149" s="12" t="str">
        <x:v>Пилинг Джесснера (J2, Mediderma)</x:v>
      </x:c>
      <x:c r="B149" s="15" t="str">
        <x:v>https://kozhaclinic.ru/uhodovye-procedury/pilingi/piling-dzhessnera-j2-mediderma/</x:v>
      </x:c>
      <x:c r="C149" s="20" t="n">
        <x:v>1</x:v>
      </x:c>
      <x:c r="D149" s="20" t="n">
        <x:v>103</x:v>
      </x:c>
      <x:c r="E149" s="22" t="n">
        <x:v>7.33</x:v>
      </x:c>
      <x:c r="F149" s="20" t="n">
        <x:v>0</x:v>
      </x:c>
      <x:c r="G149" s="20" t="n">
        <x:v>59</x:v>
      </x:c>
      <x:c r="H149" s="24" t="n">
        <x:f>IF(AND(ISNUMBER(F149),ISNUMBER(G149),G149&gt;0),F149/G149,"")</x:f>
        <x:v>0</x:v>
      </x:c>
      <x:c r="I149" s="22" t="n">
        <x:v>6.66</x:v>
      </x:c>
      <x:c r="J149" s="20" t="n">
        <x:v>1</x:v>
      </x:c>
      <x:c r="K149" s="20" t="n">
        <x:v>6</x:v>
      </x:c>
      <x:c r="L149" s="24" t="n">
        <x:f>IF(AND(ISNUMBER(J149),ISNUMBER(K149),K149&gt;0),J149/K149,"")</x:f>
        <x:v>0.16666666666666666</x:v>
      </x:c>
      <x:c r="M149" s="22" t="n">
        <x:v>7.5</x:v>
      </x:c>
      <x:c r="N149" s="12" t="str">
        <x:v>Не входит в 7 примеров исключения; индивидуальный статус не проверялся</x:v>
      </x:c>
      <x:c r="O149" s="12" t="str">
        <x:v>Выгрузка страниц</x:v>
      </x:c>
    </x:row>
    <x:row r="150" ht="52" customHeight="1">
      <x:c r="A150" s="14" t="str">
        <x:v>Пилинг Миндальный (Natinuel)</x:v>
      </x:c>
      <x:c r="B150" s="16" t="str">
        <x:v>https://kozhaclinic.ru/uhodovye-procedury/pilingi/piling-mindalnyi-natinuel/</x:v>
      </x:c>
      <x:c r="C150" s="21" t="n">
        <x:v>4</x:v>
      </x:c>
      <x:c r="D150" s="21" t="n">
        <x:v>145</x:v>
      </x:c>
      <x:c r="E150" s="23" t="n">
        <x:v>6.8</x:v>
      </x:c>
      <x:c r="F150" s="21" t="n">
        <x:v>0</x:v>
      </x:c>
      <x:c r="G150" s="21" t="n">
        <x:v>47</x:v>
      </x:c>
      <x:c r="H150" s="25" t="n">
        <x:f>IF(AND(ISNUMBER(F150),ISNUMBER(G150),G150&gt;0),F150/G150,"")</x:f>
        <x:v>0</x:v>
      </x:c>
      <x:c r="I150" s="23" t="n">
        <x:v>8.74</x:v>
      </x:c>
      <x:c r="J150" s="21" t="n">
        <x:v>3</x:v>
      </x:c>
      <x:c r="K150" s="21" t="n">
        <x:v>18</x:v>
      </x:c>
      <x:c r="L150" s="25" t="n">
        <x:f>IF(AND(ISNUMBER(J150),ISNUMBER(K150),K150&gt;0),J150/K150,"")</x:f>
        <x:v>0.16666666666666666</x:v>
      </x:c>
      <x:c r="M150" s="23" t="n">
        <x:v>6.4</x:v>
      </x:c>
      <x:c r="N150" s="14" t="str">
        <x:v>Не входит в 7 примеров исключения; индивидуальный статус не проверялся</x:v>
      </x:c>
      <x:c r="O150" s="14" t="str">
        <x:v>Выгрузка страниц</x:v>
      </x:c>
    </x:row>
    <x:row r="151" ht="52" customHeight="1">
      <x:c r="A151" s="12" t="str">
        <x:v>Пилинг PRX-T33</x:v>
      </x:c>
      <x:c r="B151" s="15" t="str">
        <x:v>https://kozhaclinic.ru/uhodovye-procedury/pilingi/piling-prx-t33/</x:v>
      </x:c>
      <x:c r="C151" s="20" t="n">
        <x:v>0</x:v>
      </x:c>
      <x:c r="D151" s="20" t="n">
        <x:v>186</x:v>
      </x:c>
      <x:c r="E151" s="22" t="n">
        <x:v>7.1</x:v>
      </x:c>
      <x:c r="F151" s="20" t="n">
        <x:v>0</x:v>
      </x:c>
      <x:c r="G151" s="20" t="n">
        <x:v>84</x:v>
      </x:c>
      <x:c r="H151" s="24" t="n">
        <x:f>IF(AND(ISNUMBER(F151),ISNUMBER(G151),G151&gt;0),F151/G151,"")</x:f>
        <x:v>0</x:v>
      </x:c>
      <x:c r="I151" s="22" t="n">
        <x:v>6.96</x:v>
      </x:c>
      <x:c r="J151" s="20"/>
      <x:c r="K151" s="20"/>
      <x:c r="L151" s="24" t="str">
        <x:f>IF(AND(ISNUMBER(J151),ISNUMBER(K151),K151&gt;0),J151/K151,"")</x:f>
      </x:c>
      <x:c r="M151" s="22"/>
      <x:c r="N151" s="12" t="str">
        <x:v>Не входит в 7 примеров исключения; индивидуальный статус не проверялся</x:v>
      </x:c>
      <x:c r="O151" s="12" t="str">
        <x:v>Выгрузка страниц</x:v>
      </x:c>
    </x:row>
    <x:row r="152" ht="52" customHeight="1">
      <x:c r="A152" s="14" t="str">
        <x:v>Пилинг Желтый (ретиноевый)</x:v>
      </x:c>
      <x:c r="B152" s="16" t="str">
        <x:v>https://kozhaclinic.ru/uhodovye-procedury/pilingi/piling-zheltyi-retinoevyi/</x:v>
      </x:c>
      <x:c r="C152" s="21"/>
      <x:c r="D152" s="21"/>
      <x:c r="E152" s="23"/>
      <x:c r="F152" s="21"/>
      <x:c r="G152" s="21"/>
      <x:c r="H152" s="25" t="str">
        <x:f>IF(AND(ISNUMBER(F152),ISNUMBER(G152),G152&gt;0),F152/G152,"")</x:f>
      </x:c>
      <x:c r="I152" s="23"/>
      <x:c r="J152" s="21"/>
      <x:c r="K152" s="21"/>
      <x:c r="L152" s="25" t="str">
        <x:f>IF(AND(ISNUMBER(J152),ISNUMBER(K152),K152&gt;0),J152/K152,"")</x:f>
      </x:c>
      <x:c r="M152" s="23"/>
      <x:c r="N152" s="14" t="str">
        <x:v>Обнаружена, не проиндексирована (отчёт 12.10)</x:v>
      </x:c>
      <x:c r="O152" s="14" t="str">
        <x:v>Нет строки в выгрузке, не заменено нулём</x:v>
      </x:c>
    </x:row>
    <x:row r="153" ht="52" customHeight="1">
      <x:c r="A153" s="12" t="str">
        <x:v>Программы ухода</x:v>
      </x:c>
      <x:c r="B153" s="15" t="str">
        <x:v>https://kozhaclinic.ru/uhodovye-procedury/programmy-ukhoda/</x:v>
      </x:c>
      <x:c r="C153" s="20" t="n">
        <x:v>0</x:v>
      </x:c>
      <x:c r="D153" s="20" t="n">
        <x:v>7</x:v>
      </x:c>
      <x:c r="E153" s="22" t="n">
        <x:v>18.57</x:v>
      </x:c>
      <x:c r="F153" s="20"/>
      <x:c r="G153" s="20"/>
      <x:c r="H153" s="24" t="str">
        <x:f>IF(AND(ISNUMBER(F153),ISNUMBER(G153),G153&gt;0),F153/G153,"")</x:f>
      </x:c>
      <x:c r="I153" s="22"/>
      <x:c r="J153" s="20" t="n">
        <x:v>0</x:v>
      </x:c>
      <x:c r="K153" s="20" t="n">
        <x:v>0</x:v>
      </x:c>
      <x:c r="L153" s="24" t="str">
        <x:f>IF(AND(ISNUMBER(J153),ISNUMBER(K153),K153&gt;0),J153/K153,"")</x:f>
      </x:c>
      <x:c r="M153" s="22"/>
      <x:c r="N153" s="12" t="str">
        <x:v>Не входит в 7 примеров исключения; индивидуальный статус не проверялся</x:v>
      </x:c>
      <x:c r="O153" s="12" t="str">
        <x:v>Нет строки в выгрузке, не заменено нулём</x:v>
      </x:c>
    </x:row>
    <x:row r="154" ht="52" customHeight="1">
      <x:c r="A154" s="14" t="str">
        <x:v>СО2 уход (пилинг + УЗ-чистка + маска)</x:v>
      </x:c>
      <x:c r="B154" s="16" t="str">
        <x:v>https://kozhaclinic.ru/uhodovye-procedury/so2-ukhod-piling-uz-chistka-maska/</x:v>
      </x:c>
      <x:c r="C154" s="21" t="n">
        <x:v>2</x:v>
      </x:c>
      <x:c r="D154" s="21" t="n">
        <x:v>22</x:v>
      </x:c>
      <x:c r="E154" s="23" t="n">
        <x:v>16.27</x:v>
      </x:c>
      <x:c r="F154" s="21" t="n">
        <x:v>1</x:v>
      </x:c>
      <x:c r="G154" s="21" t="n">
        <x:v>10</x:v>
      </x:c>
      <x:c r="H154" s="25" t="n">
        <x:f>IF(AND(ISNUMBER(F154),ISNUMBER(G154),G154&gt;0),F154/G154,"")</x:f>
        <x:v>0.1</x:v>
      </x:c>
      <x:c r="I154" s="23" t="n">
        <x:v>8</x:v>
      </x:c>
      <x:c r="J154" s="21" t="n">
        <x:v>0</x:v>
      </x:c>
      <x:c r="K154" s="21" t="n">
        <x:v>1</x:v>
      </x:c>
      <x:c r="L154" s="25" t="n">
        <x:f>IF(AND(ISNUMBER(J154),ISNUMBER(K154),K154&gt;0),J154/K154,"")</x:f>
        <x:v>0</x:v>
      </x:c>
      <x:c r="M154" s="23" t="n">
        <x:v>9</x:v>
      </x:c>
      <x:c r="N154" s="14" t="str">
        <x:v>Не входит в 7 примеров исключения; индивидуальный статус не проверялся</x:v>
      </x:c>
      <x:c r="O154" s="14" t="str">
        <x:v>Выгрузка страниц</x:v>
      </x:c>
    </x:row>
    <x:row r="155" ht="52" customHeight="1">
      <x:c r="A155" s="12" t="str">
        <x:v>Улучшение овала лица</x:v>
      </x:c>
      <x:c r="B155" s="15" t="str">
        <x:v>https://kozhaclinic.ru/uluchshenie-ovala-litsa/</x:v>
      </x:c>
      <x:c r="C155" s="20" t="n">
        <x:v>2</x:v>
      </x:c>
      <x:c r="D155" s="20" t="n">
        <x:v>154</x:v>
      </x:c>
      <x:c r="E155" s="22" t="n">
        <x:v>8.38</x:v>
      </x:c>
      <x:c r="F155" s="20" t="n">
        <x:v>0</x:v>
      </x:c>
      <x:c r="G155" s="20" t="n">
        <x:v>31</x:v>
      </x:c>
      <x:c r="H155" s="24" t="n">
        <x:f>IF(AND(ISNUMBER(F155),ISNUMBER(G155),G155&gt;0),F155/G155,"")</x:f>
        <x:v>0</x:v>
      </x:c>
      <x:c r="I155" s="22" t="n">
        <x:v>9.48</x:v>
      </x:c>
      <x:c r="J155" s="20" t="n">
        <x:v>0</x:v>
      </x:c>
      <x:c r="K155" s="20" t="n">
        <x:v>18</x:v>
      </x:c>
      <x:c r="L155" s="24" t="n">
        <x:f>IF(AND(ISNUMBER(J155),ISNUMBER(K155),K155&gt;0),J155/K155,"")</x:f>
        <x:v>0</x:v>
      </x:c>
      <x:c r="M155" s="22" t="n">
        <x:v>8.6</x:v>
      </x:c>
      <x:c r="N155" s="12" t="str">
        <x:v>Не входит в 7 примеров исключения; индивидуальный статус не проверялся</x:v>
      </x:c>
      <x:c r="O155" s="12" t="str">
        <x:v>Выгрузка страниц</x:v>
      </x:c>
    </x:row>
    <x:row r="156" ht="52" customHeight="1">
      <x:c r="A156" s="14" t="str">
        <x:v>Услуги косметологической клиники «Кожа»</x:v>
      </x:c>
      <x:c r="B156" s="16" t="str">
        <x:v>https://kozhaclinic.ru/uslugi/</x:v>
      </x:c>
      <x:c r="C156" s="21" t="n">
        <x:v>5</x:v>
      </x:c>
      <x:c r="D156" s="21" t="n">
        <x:v>668</x:v>
      </x:c>
      <x:c r="E156" s="23" t="n">
        <x:v>5.24</x:v>
      </x:c>
      <x:c r="F156" s="21" t="n">
        <x:v>3</x:v>
      </x:c>
      <x:c r="G156" s="21" t="n">
        <x:v>191</x:v>
      </x:c>
      <x:c r="H156" s="25" t="n">
        <x:f>IF(AND(ISNUMBER(F156),ISNUMBER(G156),G156&gt;0),F156/G156,"")</x:f>
        <x:v>0.015706806282722512</x:v>
      </x:c>
      <x:c r="I156" s="23" t="n">
        <x:v>2.56</x:v>
      </x:c>
      <x:c r="J156" s="21" t="n">
        <x:v>1</x:v>
      </x:c>
      <x:c r="K156" s="21" t="n">
        <x:v>56</x:v>
      </x:c>
      <x:c r="L156" s="25" t="n">
        <x:f>IF(AND(ISNUMBER(J156),ISNUMBER(K156),K156&gt;0),J156/K156,"")</x:f>
        <x:v>0.017857142857142856</x:v>
      </x:c>
      <x:c r="M156" s="23" t="n">
        <x:v>4.6</x:v>
      </x:c>
      <x:c r="N156" s="14" t="str">
        <x:v>Не входит в 7 примеров исключения; индивидуальный статус не проверялся</x:v>
      </x:c>
      <x:c r="O156" s="14" t="str">
        <x:v>Выгрузка страниц</x:v>
      </x:c>
    </x:row>
    <x:row r="157" ht="52" customHeight="1">
      <x:c r="A157" s="12" t="str">
        <x:v>Устранение мимических морщин</x:v>
      </x:c>
      <x:c r="B157" s="15" t="str">
        <x:v>https://kozhaclinic.ru/ustranenie-mimicheskikh-morshchin/</x:v>
      </x:c>
      <x:c r="C157" s="20" t="n">
        <x:v>3</x:v>
      </x:c>
      <x:c r="D157" s="20" t="n">
        <x:v>379</x:v>
      </x:c>
      <x:c r="E157" s="22" t="n">
        <x:v>6.44</x:v>
      </x:c>
      <x:c r="F157" s="20" t="n">
        <x:v>1</x:v>
      </x:c>
      <x:c r="G157" s="20" t="n">
        <x:v>89</x:v>
      </x:c>
      <x:c r="H157" s="24" t="n">
        <x:f>IF(AND(ISNUMBER(F157),ISNUMBER(G157),G157&gt;0),F157/G157,"")</x:f>
        <x:v>0.011235955056179775</x:v>
      </x:c>
      <x:c r="I157" s="22" t="n">
        <x:v>5.73</x:v>
      </x:c>
      <x:c r="J157" s="20" t="n">
        <x:v>0</x:v>
      </x:c>
      <x:c r="K157" s="20" t="n">
        <x:v>4</x:v>
      </x:c>
      <x:c r="L157" s="24" t="n">
        <x:f>IF(AND(ISNUMBER(J157),ISNUMBER(K157),K157&gt;0),J157/K157,"")</x:f>
        <x:v>0</x:v>
      </x:c>
      <x:c r="M157" s="22" t="n">
        <x:v>9.2</x:v>
      </x:c>
      <x:c r="N157" s="12" t="str">
        <x:v>Не входит в 7 примеров исключения; индивидуальный статус не проверялся</x:v>
      </x:c>
      <x:c r="O157" s="12" t="str">
        <x:v>Выгрузка страниц</x:v>
      </x:c>
    </x:row>
    <x:row r="158" ht="52" customHeight="1">
      <x:c r="A158" s="14" t="str">
        <x:v>Устранение нежелательных волос</x:v>
      </x:c>
      <x:c r="B158" s="16" t="str">
        <x:v>https://kozhaclinic.ru/ustranenie-nezhelatelnykh-volos/</x:v>
      </x:c>
      <x:c r="C158" s="21" t="n">
        <x:v>4</x:v>
      </x:c>
      <x:c r="D158" s="21" t="n">
        <x:v>137</x:v>
      </x:c>
      <x:c r="E158" s="23" t="n">
        <x:v>12.06</x:v>
      </x:c>
      <x:c r="F158" s="21" t="n">
        <x:v>2</x:v>
      </x:c>
      <x:c r="G158" s="21" t="n">
        <x:v>37</x:v>
      </x:c>
      <x:c r="H158" s="25" t="n">
        <x:f>IF(AND(ISNUMBER(F158),ISNUMBER(G158),G158&gt;0),F158/G158,"")</x:f>
        <x:v>0.05405405405405406</x:v>
      </x:c>
      <x:c r="I158" s="23" t="n">
        <x:v>8.76</x:v>
      </x:c>
      <x:c r="J158" s="21" t="n">
        <x:v>1</x:v>
      </x:c>
      <x:c r="K158" s="21" t="n">
        <x:v>113</x:v>
      </x:c>
      <x:c r="L158" s="25" t="n">
        <x:f>IF(AND(ISNUMBER(J158),ISNUMBER(K158),K158&gt;0),J158/K158,"")</x:f>
        <x:v>0.008849557522123894</x:v>
      </x:c>
      <x:c r="M158" s="23" t="n">
        <x:v>10.2</x:v>
      </x:c>
      <x:c r="N158" s="14" t="str">
        <x:v>Не входит в 7 примеров исключения; индивидуальный статус не проверялся</x:v>
      </x:c>
      <x:c r="O158" s="14" t="str">
        <x:v>Выгрузка страниц</x:v>
      </x:c>
    </x:row>
    <x:row r="159" ht="52" customHeight="1">
      <x:c r="A159" s="12" t="str">
        <x:v>Устранение темных кругов под глазами</x:v>
      </x:c>
      <x:c r="B159" s="15" t="str">
        <x:v>https://kozhaclinic.ru/ustranenie-temnykh-krugov-pod-glazami/</x:v>
      </x:c>
      <x:c r="C159" s="20" t="n">
        <x:v>20</x:v>
      </x:c>
      <x:c r="D159" s="20" t="n">
        <x:v>561</x:v>
      </x:c>
      <x:c r="E159" s="22" t="n">
        <x:v>6.44</x:v>
      </x:c>
      <x:c r="F159" s="20" t="n">
        <x:v>3</x:v>
      </x:c>
      <x:c r="G159" s="20" t="n">
        <x:v>129</x:v>
      </x:c>
      <x:c r="H159" s="24" t="n">
        <x:f>IF(AND(ISNUMBER(F159),ISNUMBER(G159),G159&gt;0),F159/G159,"")</x:f>
        <x:v>0.023255813953488372</x:v>
      </x:c>
      <x:c r="I159" s="22" t="n">
        <x:v>7.57</x:v>
      </x:c>
      <x:c r="J159" s="20" t="n">
        <x:v>0</x:v>
      </x:c>
      <x:c r="K159" s="20" t="n">
        <x:v>5</x:v>
      </x:c>
      <x:c r="L159" s="24" t="n">
        <x:f>IF(AND(ISNUMBER(J159),ISNUMBER(K159),K159&gt;0),J159/K159,"")</x:f>
        <x:v>0</x:v>
      </x:c>
      <x:c r="M159" s="22" t="n">
        <x:v>6.4</x:v>
      </x:c>
      <x:c r="N159" s="12" t="str">
        <x:v>Не входит в 7 примеров исключения; индивидуальный статус не проверялся</x:v>
      </x:c>
      <x:c r="O159" s="12" t="str">
        <x:v>Выгрузка страниц</x:v>
      </x:c>
    </x:row>
    <x:row r="160" ht="52" customHeight="1">
      <x:c r="A160" s="14" t="str">
        <x:v>Выпадение волос (ргр терапия)</x:v>
      </x:c>
      <x:c r="B160" s="16" t="str">
        <x:v>https://kozhaclinic.ru/vypadenie-volos-rgr-terapiya/</x:v>
      </x:c>
      <x:c r="C160" s="21" t="n">
        <x:v>7</x:v>
      </x:c>
      <x:c r="D160" s="21" t="n">
        <x:v>490</x:v>
      </x:c>
      <x:c r="E160" s="23" t="n">
        <x:v>7.93</x:v>
      </x:c>
      <x:c r="F160" s="21" t="n">
        <x:v>2</x:v>
      </x:c>
      <x:c r="G160" s="21" t="n">
        <x:v>164</x:v>
      </x:c>
      <x:c r="H160" s="25" t="n">
        <x:f>IF(AND(ISNUMBER(F160),ISNUMBER(G160),G160&gt;0),F160/G160,"")</x:f>
        <x:v>0.012195121951219513</x:v>
      </x:c>
      <x:c r="I160" s="23" t="n">
        <x:v>9.66</x:v>
      </x:c>
      <x:c r="J160" s="21" t="n">
        <x:v>0</x:v>
      </x:c>
      <x:c r="K160" s="21" t="n">
        <x:v>6</x:v>
      </x:c>
      <x:c r="L160" s="25" t="n">
        <x:f>IF(AND(ISNUMBER(J160),ISNUMBER(K160),K160&gt;0),J160/K160,"")</x:f>
        <x:v>0</x:v>
      </x:c>
      <x:c r="M160" s="23" t="n">
        <x:v>7</x:v>
      </x:c>
      <x:c r="N160" s="14" t="str">
        <x:v>Не входит в 7 примеров исключения; индивидуальный статус не проверялся</x:v>
      </x:c>
      <x:c r="O160" s="14" t="str">
        <x:v>Выгрузка страниц</x:v>
      </x:c>
    </x:row>
  </x:sheetData>
  <x:pageMargins left="0.7" right="0.7" top="0.75" bottom="0.75" header="0.3" footer="0.3"/>
  <x:tableParts count="1">
    <x:tablePart xmlns:r="http://schemas.openxmlformats.org/officeDocument/2006/relationships" r:id="R30c06b1babd641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2.5" hidden="0" customWidth="1"/>
    <x:col min="2" max="2" width="28.75" hidden="0" customWidth="1"/>
    <x:col min="3" max="3" width="13.75" hidden="0" customWidth="1"/>
    <x:col min="4" max="4" width="13.75" hidden="0" customWidth="1"/>
    <x:col min="5" max="5" width="15" hidden="0" customWidth="1"/>
    <x:col min="6" max="6" width="67.5" hidden="0" customWidth="1"/>
    <x:col min="7" max="7" width="13.75" hidden="0" customWidth="1"/>
    <x:col min="8" max="8" width="13.75" hidden="0" customWidth="1"/>
    <x:col min="9" max="9" width="15" hidden="0" customWidth="1"/>
    <x:col min="10" max="10" width="67.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Топвизор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410 запросов. Сургут, русский язык, смартфоны. Использованы только сохранённые проверки.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4" t="str">
        <x:v>Текущая глубина: Google 10, Яндекс 100. Замера Яндекса за 16.10 нет; он не подставлен как нулевая позиция.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8" customHeight="1">
      <x:c r="A6" s="10" t="str">
        <x:v>Запрос</x:v>
      </x:c>
      <x:c r="B6" s="10" t="str">
        <x:v>Группа</x:v>
      </x:c>
      <x:c r="C6" s="10" t="str">
        <x:v>Яндекс
16.09.2026</x:v>
      </x:c>
      <x:c r="D6" s="10" t="str">
        <x:v>Яндекс
27.09.2026</x:v>
      </x:c>
      <x:c r="E6" s="10" t="str">
        <x:v>Изменение Яндекс</x:v>
      </x:c>
      <x:c r="F6" s="10" t="str">
        <x:v>URL Яндекса
27.09.2026</x:v>
      </x:c>
      <x:c r="G6" s="10" t="str">
        <x:v>Google
27.09.2026</x:v>
      </x:c>
      <x:c r="H6" s="10" t="str">
        <x:v>Google
16.10.2026</x:v>
      </x:c>
      <x:c r="I6" s="10" t="str">
        <x:v>Изменение Google</x:v>
      </x:c>
      <x:c r="J6" s="10" t="str">
        <x:v>URL Google
16.10.2026</x:v>
      </x:c>
    </x:row>
    <x:row r="7" ht="40" customHeight="1">
      <x:c r="A7" s="12" t="str">
        <x:v>аппаратный лифтинг сургут</x:v>
      </x:c>
      <x:c r="B7" s="12" t="str">
        <x:v>Аппаратный лифтинг лица</x:v>
      </x:c>
      <x:c r="C7" s="26" t="n">
        <x:v>6</x:v>
      </x:c>
      <x:c r="D7" s="26" t="n">
        <x:v>4</x:v>
      </x:c>
      <x:c r="E7" s="28" t="n">
        <x:f>IF(AND(ISNUMBER(C7),ISNUMBER(D7)),C7-D7,IF(AND(C7="Не найдено",ISNUMBER(D7)),"Появился",IF(AND(ISNUMBER(C7),D7="Не найдено"),"Не найдено","Нет сравнения")))</x:f>
        <x:v>2</x:v>
      </x:c>
      <x:c r="F7" s="15" t="str">
        <x:v>https://kozhaclinic.ru/apparatnaya-kosmetologiya/igolchatyy-rf-lifting-na-morpheus-8/</x:v>
      </x:c>
      <x:c r="G7" s="26" t="n">
        <x:v>4</x:v>
      </x:c>
      <x:c r="H7" s="26" t="n">
        <x:v>4</x:v>
      </x:c>
      <x:c r="I7" s="28" t="n">
        <x:f>IF(AND(ISNUMBER(G7),ISNUMBER(H7)),G7-H7,IF(AND(G7="Не найдено",ISNUMBER(H7)),"Появился",IF(AND(ISNUMBER(G7),H7="Не найдено"),"Не найдено","Нет сравнения")))</x:f>
        <x:v>0</x:v>
      </x:c>
      <x:c r="J7" s="15" t="str">
        <x:v>https://kozhaclinic.ru/podtyazhka-kozhi-litsa/</x:v>
      </x:c>
    </x:row>
    <x:row r="8" ht="40" customHeight="1">
      <x:c r="A8" s="14" t="str">
        <x:v>аппаратный лифтинг лица сургут</x:v>
      </x:c>
      <x:c r="B8" s="14" t="str">
        <x:v>Аппаратный лифтинг лица</x:v>
      </x:c>
      <x:c r="C8" s="27" t="n">
        <x:v>6</x:v>
      </x:c>
      <x:c r="D8" s="27" t="n">
        <x:v>4</x:v>
      </x:c>
      <x:c r="E8" s="29" t="n">
        <x:f>IF(AND(ISNUMBER(C8),ISNUMBER(D8)),C8-D8,IF(AND(C8="Не найдено",ISNUMBER(D8)),"Появился",IF(AND(ISNUMBER(C8),D8="Не найдено"),"Не найдено","Нет сравнения")))</x:f>
        <x:v>2</x:v>
      </x:c>
      <x:c r="F8" s="16" t="str">
        <x:v>https://kozhaclinic.ru/apparatnaya-kosmetologiya/igolchatyy-rf-lifting-na-morpheus-8/</x:v>
      </x:c>
      <x:c r="G8" s="27" t="str">
        <x:v>Не найдено</x:v>
      </x:c>
      <x:c r="H8" s="27" t="n">
        <x:v>4</x:v>
      </x:c>
      <x:c r="I8" s="29" t="str">
        <x:f>IF(AND(ISNUMBER(G8),ISNUMBER(H8)),G8-H8,IF(AND(G8="Не найдено",ISNUMBER(H8)),"Появился",IF(AND(ISNUMBER(G8),H8="Не найдено"),"Не найдено","Нет сравнения")))</x:f>
        <x:v>Появился</x:v>
      </x:c>
      <x:c r="J8" s="16" t="str">
        <x:v>https://kozhaclinic.ru/apparatnaya-kosmetologiya/igolchatyy-rf-lifting-na-morpheus-8/</x:v>
      </x:c>
    </x:row>
    <x:row r="9" ht="40" customHeight="1">
      <x:c r="A9" s="12" t="str">
        <x:v>аппаратный лифтинг цена</x:v>
      </x:c>
      <x:c r="B9" s="12" t="str">
        <x:v>Аппаратный лифтинг лица</x:v>
      </x:c>
      <x:c r="C9" s="26" t="n">
        <x:v>3</x:v>
      </x:c>
      <x:c r="D9" s="26" t="n">
        <x:v>3</x:v>
      </x:c>
      <x:c r="E9" s="28" t="n">
        <x:f>IF(AND(ISNUMBER(C9),ISNUMBER(D9)),C9-D9,IF(AND(C9="Не найдено",ISNUMBER(D9)),"Появился",IF(AND(ISNUMBER(C9),D9="Не найдено"),"Не найдено","Нет сравнения")))</x:f>
        <x:v>0</x:v>
      </x:c>
      <x:c r="F9" s="15" t="str">
        <x:v>https://kozhaclinic.ru/apparatnaya-kosmetologiya/igolchatyy-rf-lifting-na-morpheus-8/</x:v>
      </x:c>
      <x:c r="G9" s="26" t="n">
        <x:v>4</x:v>
      </x:c>
      <x:c r="H9" s="26" t="n">
        <x:v>3</x:v>
      </x:c>
      <x:c r="I9" s="28" t="n">
        <x:f>IF(AND(ISNUMBER(G9),ISNUMBER(H9)),G9-H9,IF(AND(G9="Не найдено",ISNUMBER(H9)),"Появился",IF(AND(ISNUMBER(G9),H9="Не найдено"),"Не найдено","Нет сравнения")))</x:f>
        <x:v>1</x:v>
      </x:c>
      <x:c r="J9" s="15" t="str">
        <x:v>https://kozhaclinic.ru/podtyazhka-kozhi-litsa/</x:v>
      </x:c>
    </x:row>
    <x:row r="10" ht="40" customHeight="1">
      <x:c r="A10" s="14" t="str">
        <x:v>аппаратная косметология</x:v>
      </x:c>
      <x:c r="B10" s="14" t="str">
        <x:v>Аппаратная косметология</x:v>
      </x:c>
      <x:c r="C10" s="27" t="n">
        <x:v>14</x:v>
      </x:c>
      <x:c r="D10" s="27" t="n">
        <x:v>1</x:v>
      </x:c>
      <x:c r="E10" s="29" t="n">
        <x:f>IF(AND(ISNUMBER(C10),ISNUMBER(D10)),C10-D10,IF(AND(C10="Не найдено",ISNUMBER(D10)),"Появился",IF(AND(ISNUMBER(C10),D10="Не найдено"),"Не найдено","Нет сравнения")))</x:f>
        <x:v>13</x:v>
      </x:c>
      <x:c r="F10" s="16" t="str">
        <x:v>https://kozhaclinic.ru/apparatnaya-kosmetologiya/</x:v>
      </x:c>
      <x:c r="G10" s="27" t="str">
        <x:v>Не найдено</x:v>
      </x:c>
      <x:c r="H10" s="27" t="n">
        <x:v>4</x:v>
      </x:c>
      <x:c r="I10" s="29" t="str">
        <x:f>IF(AND(ISNUMBER(G10),ISNUMBER(H10)),G10-H10,IF(AND(G10="Не найдено",ISNUMBER(H10)),"Появился",IF(AND(ISNUMBER(G10),H10="Не найдено"),"Не найдено","Нет сравнения")))</x:f>
        <x:v>Появился</x:v>
      </x:c>
      <x:c r="J10" s="16" t="str">
        <x:v>https://kozhaclinic.ru/apparatnaya-kosmetologiya/</x:v>
      </x:c>
    </x:row>
    <x:row r="11" ht="40" customHeight="1">
      <x:c r="A11" s="12" t="str">
        <x:v>аппаратная косметология сургут</x:v>
      </x:c>
      <x:c r="B11" s="12" t="str">
        <x:v>Аппаратная косметология</x:v>
      </x:c>
      <x:c r="C11" s="26" t="n">
        <x:v>7</x:v>
      </x:c>
      <x:c r="D11" s="26" t="n">
        <x:v>7</x:v>
      </x:c>
      <x:c r="E11" s="28" t="n">
        <x:f>IF(AND(ISNUMBER(C11),ISNUMBER(D11)),C11-D11,IF(AND(C11="Не найдено",ISNUMBER(D11)),"Появился",IF(AND(ISNUMBER(C11),D11="Не найдено"),"Не найдено","Нет сравнения")))</x:f>
        <x:v>0</x:v>
      </x:c>
      <x:c r="F11" s="15" t="str">
        <x:v>https://kozhaclinic.ru/ceny-prajs-list/</x:v>
      </x:c>
      <x:c r="G11" s="26" t="n">
        <x:v>3</x:v>
      </x:c>
      <x:c r="H11" s="26" t="n">
        <x:v>4</x:v>
      </x:c>
      <x:c r="I11" s="28" t="n">
        <x:f>IF(AND(ISNUMBER(G11),ISNUMBER(H11)),G11-H11,IF(AND(G11="Не найдено",ISNUMBER(H11)),"Появился",IF(AND(ISNUMBER(G11),H11="Не найдено"),"Не найдено","Нет сравнения")))</x:f>
        <x:v>-1</x:v>
      </x:c>
      <x:c r="J11" s="15" t="str">
        <x:v>https://kozhaclinic.ru/</x:v>
      </x:c>
    </x:row>
    <x:row r="12" ht="40" customHeight="1">
      <x:c r="A12" s="14" t="str">
        <x:v>игольчатый лифтинг лица сургут</x:v>
      </x:c>
      <x:c r="B12" s="14" t="str">
        <x:v>Микроигольчатый RF-лифтинг лица и шеи</x:v>
      </x:c>
      <x:c r="C12" s="27" t="n">
        <x:v>3</x:v>
      </x:c>
      <x:c r="D12" s="27" t="n">
        <x:v>1</x:v>
      </x:c>
      <x:c r="E12" s="29" t="n">
        <x:f>IF(AND(ISNUMBER(C12),ISNUMBER(D12)),C12-D12,IF(AND(C12="Не найдено",ISNUMBER(D12)),"Появился",IF(AND(ISNUMBER(C12),D12="Не найдено"),"Не найдено","Нет сравнения")))</x:f>
        <x:v>2</x:v>
      </x:c>
      <x:c r="F12" s="16" t="str">
        <x:v>https://kozhaclinic.ru/apparatnaya-kosmetologiya/igolchatyy-rf-lifting-na-morpheus-8/</x:v>
      </x:c>
      <x:c r="G12" s="27" t="n">
        <x:v>2</x:v>
      </x:c>
      <x:c r="H12" s="27" t="n">
        <x:v>2</x:v>
      </x:c>
      <x:c r="I12" s="29" t="n">
        <x:f>IF(AND(ISNUMBER(G12),ISNUMBER(H12)),G12-H12,IF(AND(G12="Не найдено",ISNUMBER(H12)),"Появился",IF(AND(ISNUMBER(G12),H12="Не найдено"),"Не найдено","Нет сравнения")))</x:f>
        <x:v>0</x:v>
      </x:c>
      <x:c r="J12" s="16" t="str">
        <x:v>https://kozhaclinic.ru/apparatnaya-kosmetologiya/igolchatyy-rf-lifting-na-morpheus-8/</x:v>
      </x:c>
    </x:row>
    <x:row r="13" ht="40" customHeight="1">
      <x:c r="A13" s="12" t="str">
        <x:v>игольчатый рф лифтинг лица сургут</x:v>
      </x:c>
      <x:c r="B13" s="12" t="str">
        <x:v>Микроигольчатый RF-лифтинг лица и шеи</x:v>
      </x:c>
      <x:c r="C13" s="26" t="n">
        <x:v>4</x:v>
      </x:c>
      <x:c r="D13" s="26" t="n">
        <x:v>3</x:v>
      </x:c>
      <x:c r="E13" s="28" t="n">
        <x:f>IF(AND(ISNUMBER(C13),ISNUMBER(D13)),C13-D13,IF(AND(C13="Не найдено",ISNUMBER(D13)),"Появился",IF(AND(ISNUMBER(C13),D13="Не найдено"),"Не найдено","Нет сравнения")))</x:f>
        <x:v>1</x:v>
      </x:c>
      <x:c r="F13" s="15" t="str">
        <x:v>https://kozhaclinic.ru/apparatnaya-kosmetologiya/igolchatyy-rf-lifting-na-morpheus-8/</x:v>
      </x:c>
      <x:c r="G13" s="26" t="n">
        <x:v>1</x:v>
      </x:c>
      <x:c r="H13" s="26" t="n">
        <x:v>5</x:v>
      </x:c>
      <x:c r="I13" s="28" t="n">
        <x:f>IF(AND(ISNUMBER(G13),ISNUMBER(H13)),G13-H13,IF(AND(G13="Не найдено",ISNUMBER(H13)),"Появился",IF(AND(ISNUMBER(G13),H13="Не найдено"),"Не найдено","Нет сравнения")))</x:f>
        <x:v>-4</x:v>
      </x:c>
      <x:c r="J13" s="15" t="str">
        <x:v>https://kozhaclinic.ru/apparatnaya-kosmetologiya/igolchatyy-rf-lifting-na-morpheus-8/</x:v>
      </x:c>
    </x:row>
    <x:row r="14" ht="40" customHeight="1">
      <x:c r="A14" s="14" t="str">
        <x:v>микроигольчатый рф лифтинг сургут</x:v>
      </x:c>
      <x:c r="B14" s="14" t="str">
        <x:v>Микроигольчатый RF-лифтинг лица и шеи</x:v>
      </x:c>
      <x:c r="C14" s="27" t="n">
        <x:v>7</x:v>
      </x:c>
      <x:c r="D14" s="27" t="n">
        <x:v>6</x:v>
      </x:c>
      <x:c r="E14" s="29" t="n">
        <x:f>IF(AND(ISNUMBER(C14),ISNUMBER(D14)),C14-D14,IF(AND(C14="Не найдено",ISNUMBER(D14)),"Появился",IF(AND(ISNUMBER(C14),D14="Не найдено"),"Не найдено","Нет сравнения")))</x:f>
        <x:v>1</x:v>
      </x:c>
      <x:c r="F14" s="16" t="str">
        <x:v>https://kozhaclinic.ru/apparatnaya-kosmetologiya/igolchatyy-rf-lifting-na-morpheus-8/</x:v>
      </x:c>
      <x:c r="G14" s="27" t="n">
        <x:v>4</x:v>
      </x:c>
      <x:c r="H14" s="27" t="n">
        <x:v>4</x:v>
      </x:c>
      <x:c r="I14" s="29" t="n">
        <x:f>IF(AND(ISNUMBER(G14),ISNUMBER(H14)),G14-H14,IF(AND(G14="Не найдено",ISNUMBER(H14)),"Появился",IF(AND(ISNUMBER(G14),H14="Не найдено"),"Не найдено","Нет сравнения")))</x:f>
        <x:v>0</x:v>
      </x:c>
      <x:c r="J14" s="16" t="str">
        <x:v>https://kozhaclinic.ru/apparatnaya-kosmetologiya/igolchatyy-rf-lifting-na-morpheus-8/</x:v>
      </x:c>
    </x:row>
    <x:row r="15" ht="40" customHeight="1">
      <x:c r="A15" s="12" t="str">
        <x:v>rf лифтинг кожи лица сургут</x:v>
      </x:c>
      <x:c r="B15" s="12" t="str">
        <x:v>Микроигольчатый RF-лифтинг лица и шеи</x:v>
      </x:c>
      <x:c r="C15" s="26" t="n">
        <x:v>7</x:v>
      </x:c>
      <x:c r="D15" s="26" t="n">
        <x:v>4</x:v>
      </x:c>
      <x:c r="E15" s="28" t="n">
        <x:f>IF(AND(ISNUMBER(C15),ISNUMBER(D15)),C15-D15,IF(AND(C15="Не найдено",ISNUMBER(D15)),"Появился",IF(AND(ISNUMBER(C15),D15="Не найдено"),"Не найдено","Нет сравнения")))</x:f>
        <x:v>3</x:v>
      </x:c>
      <x:c r="F15" s="15" t="str">
        <x:v>https://kozhaclinic.ru/apparatnaya-kosmetologiya/igolchatyy-rf-lifting-na-morpheus-8/</x:v>
      </x:c>
      <x:c r="G15" s="26" t="n">
        <x:v>3</x:v>
      </x:c>
      <x:c r="H15" s="26" t="n">
        <x:v>2</x:v>
      </x:c>
      <x:c r="I15" s="28" t="n">
        <x:f>IF(AND(ISNUMBER(G15),ISNUMBER(H15)),G15-H15,IF(AND(G15="Не найдено",ISNUMBER(H15)),"Появился",IF(AND(ISNUMBER(G15),H15="Не найдено"),"Не найдено","Нет сравнения")))</x:f>
        <x:v>1</x:v>
      </x:c>
      <x:c r="J15" s="15" t="str">
        <x:v>https://kozhaclinic.ru/apparatnaya-kosmetologiya/igolchatyy-rf-lifting-na-morpheus-8/</x:v>
      </x:c>
    </x:row>
    <x:row r="16" ht="40" customHeight="1">
      <x:c r="A16" s="14" t="str">
        <x:v>rf лифтинг лица сургут</x:v>
      </x:c>
      <x:c r="B16" s="14" t="str">
        <x:v>Микроигольчатый RF-лифтинг лица и шеи</x:v>
      </x:c>
      <x:c r="C16" s="27" t="n">
        <x:v>8</x:v>
      </x:c>
      <x:c r="D16" s="27" t="n">
        <x:v>7</x:v>
      </x:c>
      <x:c r="E16" s="29" t="n">
        <x:f>IF(AND(ISNUMBER(C16),ISNUMBER(D16)),C16-D16,IF(AND(C16="Не найдено",ISNUMBER(D16)),"Появился",IF(AND(ISNUMBER(C16),D16="Не найдено"),"Не найдено","Нет сравнения")))</x:f>
        <x:v>1</x:v>
      </x:c>
      <x:c r="F16" s="16" t="str">
        <x:v>https://kozhaclinic.ru/apparatnaya-kosmetologiya/igolchatyy-rf-lifting-na-morpheus-8/</x:v>
      </x:c>
      <x:c r="G16" s="27" t="n">
        <x:v>3</x:v>
      </x:c>
      <x:c r="H16" s="27" t="n">
        <x:v>1</x:v>
      </x:c>
      <x:c r="I16" s="29" t="n">
        <x:f>IF(AND(ISNUMBER(G16),ISNUMBER(H16)),G16-H16,IF(AND(G16="Не найдено",ISNUMBER(H16)),"Появился",IF(AND(ISNUMBER(G16),H16="Не найдено"),"Не найдено","Нет сравнения")))</x:f>
        <x:v>2</x:v>
      </x:c>
      <x:c r="J16" s="16" t="str">
        <x:v>https://kozhaclinic.ru/apparatnaya-kosmetologiya/igolchatyy-rf-lifting-na-morpheus-8/</x:v>
      </x:c>
    </x:row>
    <x:row r="17" ht="40" customHeight="1">
      <x:c r="A17" s="12" t="str">
        <x:v>rf лифтинг омоложение сургут</x:v>
      </x:c>
      <x:c r="B17" s="12" t="str">
        <x:v>Микроигольчатый RF-лифтинг лица и шеи</x:v>
      </x:c>
      <x:c r="C17" s="26" t="n">
        <x:v>4</x:v>
      </x:c>
      <x:c r="D17" s="26" t="n">
        <x:v>7</x:v>
      </x:c>
      <x:c r="E17" s="28" t="n">
        <x:f>IF(AND(ISNUMBER(C17),ISNUMBER(D17)),C17-D17,IF(AND(C17="Не найдено",ISNUMBER(D17)),"Появился",IF(AND(ISNUMBER(C17),D17="Не найдено"),"Не найдено","Нет сравнения")))</x:f>
        <x:v>-3</x:v>
      </x:c>
      <x:c r="F17" s="15" t="str">
        <x:v>https://kozhaclinic.ru/apparatnaya-kosmetologiya/igolchatyy-rf-lifting-na-morpheus-8/</x:v>
      </x:c>
      <x:c r="G17" s="26" t="n">
        <x:v>3</x:v>
      </x:c>
      <x:c r="H17" s="26" t="n">
        <x:v>4</x:v>
      </x:c>
      <x:c r="I17" s="28" t="n">
        <x:f>IF(AND(ISNUMBER(G17),ISNUMBER(H17)),G17-H17,IF(AND(G17="Не найдено",ISNUMBER(H17)),"Появился",IF(AND(ISNUMBER(G17),H17="Не найдено"),"Не найдено","Нет сравнения")))</x:f>
        <x:v>-1</x:v>
      </x:c>
      <x:c r="J17" s="15" t="str">
        <x:v>https://kozhaclinic.ru/apparatnaya-kosmetologiya/igolchatyy-rf-lifting-na-morpheus-8/</x:v>
      </x:c>
    </x:row>
    <x:row r="18" ht="40" customHeight="1">
      <x:c r="A18" s="14" t="str">
        <x:v>rf лифтинг сургут</x:v>
      </x:c>
      <x:c r="B18" s="14" t="str">
        <x:v>Микроигольчатый RF-лифтинг лица и шеи</x:v>
      </x:c>
      <x:c r="C18" s="27" t="n">
        <x:v>8</x:v>
      </x:c>
      <x:c r="D18" s="27" t="n">
        <x:v>7</x:v>
      </x:c>
      <x:c r="E18" s="29" t="n">
        <x:f>IF(AND(ISNUMBER(C18),ISNUMBER(D18)),C18-D18,IF(AND(C18="Не найдено",ISNUMBER(D18)),"Появился",IF(AND(ISNUMBER(C18),D18="Не найдено"),"Не найдено","Нет сравнения")))</x:f>
        <x:v>1</x:v>
      </x:c>
      <x:c r="F18" s="16" t="str">
        <x:v>https://kozhaclinic.ru/apparatnaya-kosmetologiya/igolchatyy-rf-lifting-na-morpheus-8/</x:v>
      </x:c>
      <x:c r="G18" s="27" t="n">
        <x:v>1</x:v>
      </x:c>
      <x:c r="H18" s="27" t="n">
        <x:v>2</x:v>
      </x:c>
      <x:c r="I18" s="29" t="n">
        <x:f>IF(AND(ISNUMBER(G18),ISNUMBER(H18)),G18-H18,IF(AND(G18="Не найдено",ISNUMBER(H18)),"Появился",IF(AND(ISNUMBER(G18),H18="Не найдено"),"Не найдено","Нет сравнения")))</x:f>
        <x:v>-1</x:v>
      </x:c>
      <x:c r="J18" s="16" t="str">
        <x:v>https://kozhaclinic.ru/apparatnaya-kosmetologiya/igolchatyy-rf-lifting-na-morpheus-8/</x:v>
      </x:c>
    </x:row>
    <x:row r="19" ht="40" customHeight="1">
      <x:c r="A19" s="12" t="str">
        <x:v>rf лифтинг шеи</x:v>
      </x:c>
      <x:c r="B19" s="12" t="str">
        <x:v>Микроигольчатый RF-лифтинг лица и шеи</x:v>
      </x:c>
      <x:c r="C19" s="26" t="n">
        <x:v>6</x:v>
      </x:c>
      <x:c r="D19" s="26" t="n">
        <x:v>5</x:v>
      </x:c>
      <x:c r="E19" s="28" t="n">
        <x:f>IF(AND(ISNUMBER(C19),ISNUMBER(D19)),C19-D19,IF(AND(C19="Не найдено",ISNUMBER(D19)),"Появился",IF(AND(ISNUMBER(C19),D19="Не найдено"),"Не найдено","Нет сравнения")))</x:f>
        <x:v>1</x:v>
      </x:c>
      <x:c r="F19" s="15" t="str">
        <x:v>https://kozhaclinic.ru/apparatnaya-kosmetologiya/igolchatyy-rf-lifting-na-morpheus-8/</x:v>
      </x:c>
      <x:c r="G19" s="26" t="str">
        <x:v>Не найдено</x:v>
      </x:c>
      <x:c r="H19" s="26" t="str">
        <x:v>Не найдено</x:v>
      </x:c>
      <x:c r="I19" s="28" t="str">
        <x:f>IF(AND(ISNUMBER(G19),ISNUMBER(H19)),G19-H19,IF(AND(G19="Не найдено",ISNUMBER(H19)),"Появился",IF(AND(ISNUMBER(G19),H19="Не найдено"),"Не найдено","Нет сравнения")))</x:f>
        <x:v>Нет сравнения</x:v>
      </x:c>
      <x:c r="J19" s="12"/>
    </x:row>
    <x:row r="20" ht="40" customHeight="1">
      <x:c r="A20" s="14" t="str">
        <x:v>rf лифтинга кожи</x:v>
      </x:c>
      <x:c r="B20" s="14" t="str">
        <x:v>Микроигольчатый RF-лифтинг лица и шеи</x:v>
      </x:c>
      <x:c r="C20" s="27" t="str">
        <x:v>Не найдено</x:v>
      </x:c>
      <x:c r="D20" s="27" t="n">
        <x:v>16</x:v>
      </x:c>
      <x:c r="E20" s="29" t="str">
        <x:f>IF(AND(ISNUMBER(C20),ISNUMBER(D20)),C20-D20,IF(AND(C20="Не найдено",ISNUMBER(D20)),"Появился",IF(AND(ISNUMBER(C20),D20="Не найдено"),"Не найдено","Нет сравнения")))</x:f>
        <x:v>Появился</x:v>
      </x:c>
      <x:c r="F20" s="16" t="str">
        <x:v>https://kozhaclinic.ru/apparatnaya-kosmetologiya/igolchatyy-rf-lifting-na-morpheus-8/</x:v>
      </x:c>
      <x:c r="G20" s="27" t="str">
        <x:v>Не найдено</x:v>
      </x:c>
      <x:c r="H20" s="27" t="str">
        <x:v>Не найдено</x:v>
      </x:c>
      <x:c r="I20" s="29" t="str">
        <x:f>IF(AND(ISNUMBER(G20),ISNUMBER(H20)),G20-H20,IF(AND(G20="Не найдено",ISNUMBER(H20)),"Появился",IF(AND(ISNUMBER(G20),H20="Не найдено"),"Не найдено","Нет сравнения")))</x:f>
        <x:v>Нет сравнения</x:v>
      </x:c>
      <x:c r="J20" s="14"/>
    </x:row>
    <x:row r="21" ht="40" customHeight="1">
      <x:c r="A21" s="12" t="str">
        <x:v>микротоковая терапия для лица сургут</x:v>
      </x:c>
      <x:c r="B21" s="12" t="str">
        <x:v>Микротоковая терапия</x:v>
      </x:c>
      <x:c r="C21" s="26" t="n">
        <x:v>2</x:v>
      </x:c>
      <x:c r="D21" s="26" t="n">
        <x:v>2</x:v>
      </x:c>
      <x:c r="E21" s="28" t="n">
        <x:f>IF(AND(ISNUMBER(C21),ISNUMBER(D21)),C21-D21,IF(AND(C21="Не найдено",ISNUMBER(D21)),"Появился",IF(AND(ISNUMBER(C21),D21="Не найдено"),"Не найдено","Нет сравнения")))</x:f>
        <x:v>0</x:v>
      </x:c>
      <x:c r="F21" s="15" t="str">
        <x:v>https://kozhaclinic.ru/apparatnaya-kosmetologiya/mikrotokovaya-terapiya/</x:v>
      </x:c>
      <x:c r="G21" s="26" t="str">
        <x:v>Не найдено</x:v>
      </x:c>
      <x:c r="H21" s="26" t="n">
        <x:v>3</x:v>
      </x:c>
      <x:c r="I21" s="28" t="str">
        <x:f>IF(AND(ISNUMBER(G21),ISNUMBER(H21)),G21-H21,IF(AND(G21="Не найдено",ISNUMBER(H21)),"Появился",IF(AND(ISNUMBER(G21),H21="Не найдено"),"Не найдено","Нет сравнения")))</x:f>
        <x:v>Появился</x:v>
      </x:c>
      <x:c r="J21" s="15" t="str">
        <x:v>https://kozhaclinic.ru/apparatnaya-kosmetologiya/mikrotokovaya-terapiya/</x:v>
      </x:c>
    </x:row>
    <x:row r="22" ht="40" customHeight="1">
      <x:c r="A22" s="14" t="str">
        <x:v>микротоковая терапия сургут</x:v>
      </x:c>
      <x:c r="B22" s="14" t="str">
        <x:v>Микротоковая терапия</x:v>
      </x:c>
      <x:c r="C22" s="27" t="n">
        <x:v>2</x:v>
      </x:c>
      <x:c r="D22" s="27" t="n">
        <x:v>2</x:v>
      </x:c>
      <x:c r="E22" s="29" t="n">
        <x:f>IF(AND(ISNUMBER(C22),ISNUMBER(D22)),C22-D22,IF(AND(C22="Не найдено",ISNUMBER(D22)),"Появился",IF(AND(ISNUMBER(C22),D22="Не найдено"),"Не найдено","Нет сравнения")))</x:f>
        <x:v>0</x:v>
      </x:c>
      <x:c r="F22" s="16" t="str">
        <x:v>https://kozhaclinic.ru/apparatnaya-kosmetologiya/mikrotokovaya-terapiya/</x:v>
      </x:c>
      <x:c r="G22" s="27" t="n">
        <x:v>2</x:v>
      </x:c>
      <x:c r="H22" s="27" t="str">
        <x:v>Не найдено</x:v>
      </x:c>
      <x:c r="I22" s="29" t="str">
        <x:f>IF(AND(ISNUMBER(G22),ISNUMBER(H22)),G22-H22,IF(AND(G22="Не найдено",ISNUMBER(H22)),"Появился",IF(AND(ISNUMBER(G22),H22="Не найдено"),"Не найдено","Нет сравнения")))</x:f>
        <x:v>Не найдено</x:v>
      </x:c>
      <x:c r="J22" s="14"/>
    </x:row>
    <x:row r="23" ht="40" customHeight="1">
      <x:c r="A23" s="12" t="str">
        <x:v>сделать фотоомоложение сургут</x:v>
      </x:c>
      <x:c r="B23" s="12" t="str">
        <x:v>Фотоомоложение Inmode</x:v>
      </x:c>
      <x:c r="C23" s="26" t="n">
        <x:v>2</x:v>
      </x:c>
      <x:c r="D23" s="26" t="n">
        <x:v>2</x:v>
      </x:c>
      <x:c r="E23" s="28" t="n">
        <x:f>IF(AND(ISNUMBER(C23),ISNUMBER(D23)),C23-D23,IF(AND(C23="Не найдено",ISNUMBER(D23)),"Появился",IF(AND(ISNUMBER(C23),D23="Не найдено"),"Не найдено","Нет сравнения")))</x:f>
        <x:v>0</x:v>
      </x:c>
      <x:c r="F23" s="15" t="str">
        <x:v>https://kozhaclinic.ru/apparatnaya-kosmetologiya/fotoomolozhenie-inmode/</x:v>
      </x:c>
      <x:c r="G23" s="26" t="n">
        <x:v>1</x:v>
      </x:c>
      <x:c r="H23" s="26" t="str">
        <x:v>Не найдено</x:v>
      </x:c>
      <x:c r="I23" s="28" t="str">
        <x:f>IF(AND(ISNUMBER(G23),ISNUMBER(H23)),G23-H23,IF(AND(G23="Не найдено",ISNUMBER(H23)),"Появился",IF(AND(ISNUMBER(G23),H23="Не найдено"),"Не найдено","Нет сравнения")))</x:f>
        <x:v>Не найдено</x:v>
      </x:c>
      <x:c r="J23" s="12"/>
    </x:row>
    <x:row r="24" ht="40" customHeight="1">
      <x:c r="A24" s="14" t="str">
        <x:v>фотоомоложение лица сургут</x:v>
      </x:c>
      <x:c r="B24" s="14" t="str">
        <x:v>Фотоомоложение Inmode</x:v>
      </x:c>
      <x:c r="C24" s="27" t="n">
        <x:v>2</x:v>
      </x:c>
      <x:c r="D24" s="27" t="n">
        <x:v>2</x:v>
      </x:c>
      <x:c r="E24" s="29" t="n">
        <x:f>IF(AND(ISNUMBER(C24),ISNUMBER(D24)),C24-D24,IF(AND(C24="Не найдено",ISNUMBER(D24)),"Появился",IF(AND(ISNUMBER(C24),D24="Не найдено"),"Не найдено","Нет сравнения")))</x:f>
        <x:v>0</x:v>
      </x:c>
      <x:c r="F24" s="16" t="str">
        <x:v>https://kozhaclinic.ru/apparatnaya-kosmetologiya/fotoomolozhenie-inmode/</x:v>
      </x:c>
      <x:c r="G24" s="27" t="n">
        <x:v>2</x:v>
      </x:c>
      <x:c r="H24" s="27" t="n">
        <x:v>2</x:v>
      </x:c>
      <x:c r="I24" s="29" t="n">
        <x:f>IF(AND(ISNUMBER(G24),ISNUMBER(H24)),G24-H24,IF(AND(G24="Не найдено",ISNUMBER(H24)),"Появился",IF(AND(ISNUMBER(G24),H24="Не найдено"),"Не найдено","Нет сравнения")))</x:f>
        <x:v>0</x:v>
      </x:c>
      <x:c r="J24" s="16" t="str">
        <x:v>https://kozhaclinic.ru/apparatnaya-kosmetologiya/fotoomolozhenie-inmode/</x:v>
      </x:c>
    </x:row>
    <x:row r="25" ht="40" customHeight="1">
      <x:c r="A25" s="12" t="str">
        <x:v>фотоомоложение сургут</x:v>
      </x:c>
      <x:c r="B25" s="12" t="str">
        <x:v>Фотоомоложение Inmode</x:v>
      </x:c>
      <x:c r="C25" s="26" t="n">
        <x:v>2</x:v>
      </x:c>
      <x:c r="D25" s="26" t="n">
        <x:v>2</x:v>
      </x:c>
      <x:c r="E25" s="28" t="n">
        <x:f>IF(AND(ISNUMBER(C25),ISNUMBER(D25)),C25-D25,IF(AND(C25="Не найдено",ISNUMBER(D25)),"Появился",IF(AND(ISNUMBER(C25),D25="Не найдено"),"Не найдено","Нет сравнения")))</x:f>
        <x:v>0</x:v>
      </x:c>
      <x:c r="F25" s="15" t="str">
        <x:v>https://kozhaclinic.ru/apparatnaya-kosmetologiya/fotoomolozhenie-inmode/</x:v>
      </x:c>
      <x:c r="G25" s="26" t="n">
        <x:v>2</x:v>
      </x:c>
      <x:c r="H25" s="26" t="n">
        <x:v>1</x:v>
      </x:c>
      <x:c r="I25" s="28" t="n">
        <x:f>IF(AND(ISNUMBER(G25),ISNUMBER(H25)),G25-H25,IF(AND(G25="Не найдено",ISNUMBER(H25)),"Появился",IF(AND(ISNUMBER(G25),H25="Не найдено"),"Не найдено","Нет сравнения")))</x:f>
        <x:v>1</x:v>
      </x:c>
      <x:c r="J25" s="15" t="str">
        <x:v>https://kozhaclinic.ru/apparatnaya-kosmetologiya/fotoomolozhenie-inmode/</x:v>
      </x:c>
    </x:row>
    <x:row r="26" ht="40" customHeight="1">
      <x:c r="A26" s="14" t="str">
        <x:v>ipl фотоомоложение сургут</x:v>
      </x:c>
      <x:c r="B26" s="14" t="str">
        <x:v>Фотоомоложение Inmode</x:v>
      </x:c>
      <x:c r="C26" s="27" t="n">
        <x:v>1</x:v>
      </x:c>
      <x:c r="D26" s="27" t="n">
        <x:v>1</x:v>
      </x:c>
      <x:c r="E26" s="29" t="n">
        <x:f>IF(AND(ISNUMBER(C26),ISNUMBER(D26)),C26-D26,IF(AND(C26="Не найдено",ISNUMBER(D26)),"Появился",IF(AND(ISNUMBER(C26),D26="Не найдено"),"Не найдено","Нет сравнения")))</x:f>
        <x:v>0</x:v>
      </x:c>
      <x:c r="F26" s="16" t="str">
        <x:v>https://kozhaclinic.ru/apparatnaya-kosmetologiya/fotoomolozhenie-inmode/</x:v>
      </x:c>
      <x:c r="G26" s="27" t="n">
        <x:v>1</x:v>
      </x:c>
      <x:c r="H26" s="27" t="n">
        <x:v>1</x:v>
      </x:c>
      <x:c r="I26" s="29" t="n">
        <x:f>IF(AND(ISNUMBER(G26),ISNUMBER(H26)),G26-H26,IF(AND(G26="Не найдено",ISNUMBER(H26)),"Появился",IF(AND(ISNUMBER(G26),H26="Не найдено"),"Не найдено","Нет сравнения")))</x:f>
        <x:v>0</x:v>
      </x:c>
      <x:c r="J26" s="16" t="str">
        <x:v>https://kozhaclinic.ru/apparatnaya-kosmetologiya/fotoomolozhenie-inmode/</x:v>
      </x:c>
    </x:row>
    <x:row r="27" ht="40" customHeight="1">
      <x:c r="A27" s="12" t="str">
        <x:v>коррекция носогубных складок сургут</x:v>
      </x:c>
      <x:c r="B27" s="12" t="str">
        <x:v>Носогубные складки</x:v>
      </x:c>
      <x:c r="C27" s="26" t="n">
        <x:v>1</x:v>
      </x:c>
      <x:c r="D27" s="26" t="n">
        <x:v>1</x:v>
      </x:c>
      <x:c r="E27" s="28" t="n">
        <x:f>IF(AND(ISNUMBER(C27),ISNUMBER(D27)),C27-D27,IF(AND(C27="Не найдено",ISNUMBER(D27)),"Появился",IF(AND(ISNUMBER(C27),D27="Не найдено"),"Не найдено","Нет сравнения")))</x:f>
        <x:v>0</x:v>
      </x:c>
      <x:c r="F27" s="15" t="str">
        <x:v>https://kozhaclinic.ru/inekcionnaya-kosmetologiya/konturnaya-plastika/korrektsiya-nosogubnykh-skladok/</x:v>
      </x:c>
      <x:c r="G27" s="26" t="n">
        <x:v>5</x:v>
      </x:c>
      <x:c r="H27" s="26" t="n">
        <x:v>4</x:v>
      </x:c>
      <x:c r="I27" s="28" t="n">
        <x:f>IF(AND(ISNUMBER(G27),ISNUMBER(H27)),G27-H27,IF(AND(G27="Не найдено",ISNUMBER(H27)),"Появился",IF(AND(ISNUMBER(G27),H27="Не найдено"),"Не найдено","Нет сравнения")))</x:f>
        <x:v>1</x:v>
      </x:c>
      <x:c r="J27" s="15" t="str">
        <x:v>https://kozhaclinic.ru/inekcionnaya-kosmetologiya/konturnaya-plastika/korrektsiya-nosogubnykh-skladok/</x:v>
      </x:c>
    </x:row>
    <x:row r="28" ht="40" customHeight="1">
      <x:c r="A28" s="14" t="str">
        <x:v>контурная пластика носогубных складок сургут</x:v>
      </x:c>
      <x:c r="B28" s="14" t="str">
        <x:v>Носогубные складки</x:v>
      </x:c>
      <x:c r="C28" s="27" t="n">
        <x:v>1</x:v>
      </x:c>
      <x:c r="D28" s="27" t="n">
        <x:v>1</x:v>
      </x:c>
      <x:c r="E28" s="29" t="n">
        <x:f>IF(AND(ISNUMBER(C28),ISNUMBER(D28)),C28-D28,IF(AND(C28="Не найдено",ISNUMBER(D28)),"Появился",IF(AND(ISNUMBER(C28),D28="Не найдено"),"Не найдено","Нет сравнения")))</x:f>
        <x:v>0</x:v>
      </x:c>
      <x:c r="F28" s="16" t="str">
        <x:v>https://kozhaclinic.ru/inekcionnaya-kosmetologiya/konturnaya-plastika/korrektsiya-nosogubnykh-skladok/</x:v>
      </x:c>
      <x:c r="G28" s="27" t="n">
        <x:v>5</x:v>
      </x:c>
      <x:c r="H28" s="27" t="n">
        <x:v>5</x:v>
      </x:c>
      <x:c r="I28" s="29" t="n">
        <x:f>IF(AND(ISNUMBER(G28),ISNUMBER(H28)),G28-H28,IF(AND(G28="Не найдено",ISNUMBER(H28)),"Появился",IF(AND(ISNUMBER(G28),H28="Не найдено"),"Не найдено","Нет сравнения")))</x:f>
        <x:v>0</x:v>
      </x:c>
      <x:c r="J28" s="16" t="str">
        <x:v>https://kozhaclinic.ru/inekcionnaya-kosmetologiya/konturnaya-plastika/konturnaya-plastika-litsa/</x:v>
      </x:c>
    </x:row>
    <x:row r="29" ht="40" customHeight="1">
      <x:c r="A29" s="12" t="str">
        <x:v>филлеры в носогубные складки сургут</x:v>
      </x:c>
      <x:c r="B29" s="12" t="str">
        <x:v>Носогубные складки</x:v>
      </x:c>
      <x:c r="C29" s="26" t="n">
        <x:v>1</x:v>
      </x:c>
      <x:c r="D29" s="26" t="n">
        <x:v>1</x:v>
      </x:c>
      <x:c r="E29" s="28" t="n">
        <x:f>IF(AND(ISNUMBER(C29),ISNUMBER(D29)),C29-D29,IF(AND(C29="Не найдено",ISNUMBER(D29)),"Появился",IF(AND(ISNUMBER(C29),D29="Не найдено"),"Не найдено","Нет сравнения")))</x:f>
        <x:v>0</x:v>
      </x:c>
      <x:c r="F29" s="15" t="str">
        <x:v>https://kozhaclinic.ru/inekcionnaya-kosmetologiya/konturnaya-plastika/korrektsiya-nosogubnykh-skladok/</x:v>
      </x:c>
      <x:c r="G29" s="26" t="n">
        <x:v>1</x:v>
      </x:c>
      <x:c r="H29" s="26" t="n">
        <x:v>3</x:v>
      </x:c>
      <x:c r="I29" s="28" t="n">
        <x:f>IF(AND(ISNUMBER(G29),ISNUMBER(H29)),G29-H29,IF(AND(G29="Не найдено",ISNUMBER(H29)),"Появился",IF(AND(ISNUMBER(G29),H29="Не найдено"),"Не найдено","Нет сравнения")))</x:f>
        <x:v>-2</x:v>
      </x:c>
      <x:c r="J29" s="15" t="str">
        <x:v>https://kozhaclinic.ru/inekcionnaya-kosmetologiya/konturnaya-plastika/konturnaya-plastika-litsa/</x:v>
      </x:c>
    </x:row>
    <x:row r="30" ht="40" customHeight="1">
      <x:c r="A30" s="14" t="str">
        <x:v>филлер в носогубки сургут</x:v>
      </x:c>
      <x:c r="B30" s="14" t="str">
        <x:v>Носогубные складки</x:v>
      </x:c>
      <x:c r="C30" s="27" t="n">
        <x:v>1</x:v>
      </x:c>
      <x:c r="D30" s="27" t="n">
        <x:v>1</x:v>
      </x:c>
      <x:c r="E30" s="29" t="n">
        <x:f>IF(AND(ISNUMBER(C30),ISNUMBER(D30)),C30-D30,IF(AND(C30="Не найдено",ISNUMBER(D30)),"Появился",IF(AND(ISNUMBER(C30),D30="Не найдено"),"Не найдено","Нет сравнения")))</x:f>
        <x:v>0</x:v>
      </x:c>
      <x:c r="F30" s="16" t="str">
        <x:v>https://kozhaclinic.ru/inekcionnaya-kosmetologiya/konturnaya-plastika/korrektsiya-nosogubnykh-skladok/</x:v>
      </x:c>
      <x:c r="G30" s="27" t="n">
        <x:v>4</x:v>
      </x:c>
      <x:c r="H30" s="27" t="n">
        <x:v>4</x:v>
      </x:c>
      <x:c r="I30" s="29" t="n">
        <x:f>IF(AND(ISNUMBER(G30),ISNUMBER(H30)),G30-H30,IF(AND(G30="Не найдено",ISNUMBER(H30)),"Появился",IF(AND(ISNUMBER(G30),H30="Не найдено"),"Не найдено","Нет сравнения")))</x:f>
        <x:v>0</x:v>
      </x:c>
      <x:c r="J30" s="16" t="str">
        <x:v>https://kozhaclinic.ru/inekcionnaya-kosmetologiya/fillery-belotero/</x:v>
      </x:c>
    </x:row>
    <x:row r="31" ht="40" customHeight="1">
      <x:c r="A31" s="12" t="str">
        <x:v>убрать носогубные складки сургут</x:v>
      </x:c>
      <x:c r="B31" s="12" t="str">
        <x:v>Носогубные складки</x:v>
      </x:c>
      <x:c r="C31" s="26" t="n">
        <x:v>1</x:v>
      </x:c>
      <x:c r="D31" s="26" t="n">
        <x:v>1</x:v>
      </x:c>
      <x:c r="E31" s="28" t="n">
        <x:f>IF(AND(ISNUMBER(C31),ISNUMBER(D31)),C31-D31,IF(AND(C31="Не найдено",ISNUMBER(D31)),"Появился",IF(AND(ISNUMBER(C31),D31="Не найдено"),"Не найдено","Нет сравнения")))</x:f>
        <x:v>0</x:v>
      </x:c>
      <x:c r="F31" s="15" t="str">
        <x:v>https://kozhaclinic.ru/inekcionnaya-kosmetologiya/konturnaya-plastika/korrektsiya-nosogubnykh-skladok/</x:v>
      </x:c>
      <x:c r="G31" s="26" t="n">
        <x:v>4</x:v>
      </x:c>
      <x:c r="H31" s="26" t="n">
        <x:v>4</x:v>
      </x:c>
      <x:c r="I31" s="28" t="n">
        <x:f>IF(AND(ISNUMBER(G31),ISNUMBER(H31)),G31-H31,IF(AND(G31="Не найдено",ISNUMBER(H31)),"Появился",IF(AND(ISNUMBER(G31),H31="Не найдено"),"Не найдено","Нет сравнения")))</x:f>
        <x:v>0</x:v>
      </x:c>
      <x:c r="J31" s="15" t="str">
        <x:v>https://kozhaclinic.ru/inekcionnaya-kosmetologiya/konturnaya-plastika/konturnaya-plastika-litsa/</x:v>
      </x:c>
    </x:row>
    <x:row r="32" ht="40" customHeight="1">
      <x:c r="A32" s="14" t="str">
        <x:v>заполнение носогубных складок сургут</x:v>
      </x:c>
      <x:c r="B32" s="14" t="str">
        <x:v>Носогубные складки</x:v>
      </x:c>
      <x:c r="C32" s="27" t="n">
        <x:v>1</x:v>
      </x:c>
      <x:c r="D32" s="27" t="n">
        <x:v>5</x:v>
      </x:c>
      <x:c r="E32" s="29" t="n">
        <x:f>IF(AND(ISNUMBER(C32),ISNUMBER(D32)),C32-D32,IF(AND(C32="Не найдено",ISNUMBER(D32)),"Появился",IF(AND(ISNUMBER(C32),D32="Не найдено"),"Не найдено","Нет сравнения")))</x:f>
        <x:v>-4</x:v>
      </x:c>
      <x:c r="F32" s="16" t="str">
        <x:v>https://kozhaclinic.ru/inekcionnaya-kosmetologiya/konturnaya-plastika/</x:v>
      </x:c>
      <x:c r="G32" s="27" t="n">
        <x:v>5</x:v>
      </x:c>
      <x:c r="H32" s="27" t="n">
        <x:v>4</x:v>
      </x:c>
      <x:c r="I32" s="29" t="n">
        <x:f>IF(AND(ISNUMBER(G32),ISNUMBER(H32)),G32-H32,IF(AND(G32="Не найдено",ISNUMBER(H32)),"Появился",IF(AND(ISNUMBER(G32),H32="Не найдено"),"Не найдено","Нет сравнения")))</x:f>
        <x:v>1</x:v>
      </x:c>
      <x:c r="J32" s="16" t="str">
        <x:v>https://kozhaclinic.ru/inekcionnaya-kosmetologiya/konturnaya-plastika/korrektsiya-nosogubnykh-skladok/</x:v>
      </x:c>
    </x:row>
    <x:row r="33" ht="40" customHeight="1">
      <x:c r="A33" s="12" t="str">
        <x:v>уколы в носогубные складки сургут</x:v>
      </x:c>
      <x:c r="B33" s="12" t="str">
        <x:v>Носогубные складки</x:v>
      </x:c>
      <x:c r="C33" s="26" t="n">
        <x:v>1</x:v>
      </x:c>
      <x:c r="D33" s="26" t="n">
        <x:v>1</x:v>
      </x:c>
      <x:c r="E33" s="28" t="n">
        <x:f>IF(AND(ISNUMBER(C33),ISNUMBER(D33)),C33-D33,IF(AND(C33="Не найдено",ISNUMBER(D33)),"Появился",IF(AND(ISNUMBER(C33),D33="Не найдено"),"Не найдено","Нет сравнения")))</x:f>
        <x:v>0</x:v>
      </x:c>
      <x:c r="F33" s="15" t="str">
        <x:v>https://kozhaclinic.ru/inekcionnaya-kosmetologiya/konturnaya-plastika/korrektsiya-nosogubnykh-skladok/</x:v>
      </x:c>
      <x:c r="G33" s="26" t="n">
        <x:v>2</x:v>
      </x:c>
      <x:c r="H33" s="26" t="n">
        <x:v>2</x:v>
      </x:c>
      <x:c r="I33" s="28" t="n">
        <x:f>IF(AND(ISNUMBER(G33),ISNUMBER(H33)),G33-H33,IF(AND(G33="Не найдено",ISNUMBER(H33)),"Появился",IF(AND(ISNUMBER(G33),H33="Не найдено"),"Не найдено","Нет сравнения")))</x:f>
        <x:v>0</x:v>
      </x:c>
      <x:c r="J33" s="15" t="str">
        <x:v>https://kozhaclinic.ru/inekcionnaya-kosmetologiya/konturnaya-plastika/konturnaya-plastika-litsa/</x:v>
      </x:c>
    </x:row>
    <x:row r="34" ht="40" customHeight="1">
      <x:c r="A34" s="14" t="str">
        <x:v>коррекция носогубок сургут</x:v>
      </x:c>
      <x:c r="B34" s="14" t="str">
        <x:v>Носогубные складки</x:v>
      </x:c>
      <x:c r="C34" s="27" t="n">
        <x:v>1</x:v>
      </x:c>
      <x:c r="D34" s="27" t="n">
        <x:v>1</x:v>
      </x:c>
      <x:c r="E34" s="29" t="n">
        <x:f>IF(AND(ISNUMBER(C34),ISNUMBER(D34)),C34-D34,IF(AND(C34="Не найдено",ISNUMBER(D34)),"Появился",IF(AND(ISNUMBER(C34),D34="Не найдено"),"Не найдено","Нет сравнения")))</x:f>
        <x:v>0</x:v>
      </x:c>
      <x:c r="F34" s="16" t="str">
        <x:v>https://kozhaclinic.ru/inekcionnaya-kosmetologiya/konturnaya-plastika/korrektsiya-nosogubnykh-skladok/</x:v>
      </x:c>
      <x:c r="G34" s="27" t="n">
        <x:v>4</x:v>
      </x:c>
      <x:c r="H34" s="27" t="n">
        <x:v>4</x:v>
      </x:c>
      <x:c r="I34" s="29" t="n">
        <x:f>IF(AND(ISNUMBER(G34),ISNUMBER(H34)),G34-H34,IF(AND(G34="Не найдено",ISNUMBER(H34)),"Появился",IF(AND(ISNUMBER(G34),H34="Не найдено"),"Не найдено","Нет сравнения")))</x:f>
        <x:v>0</x:v>
      </x:c>
      <x:c r="J34" s="16" t="str">
        <x:v>https://kozhaclinic.ru/inekcionnaya-kosmetologiya/konturnaya-plastika/korrektsiya-nososleznoy-borozdy/</x:v>
      </x:c>
    </x:row>
    <x:row r="35" ht="40" customHeight="1">
      <x:c r="A35" s="12" t="str">
        <x:v>филлеры в носогубки цена</x:v>
      </x:c>
      <x:c r="B35" s="12" t="str">
        <x:v>Носогубные складки</x:v>
      </x:c>
      <x:c r="C35" s="26" t="n">
        <x:v>2</x:v>
      </x:c>
      <x:c r="D35" s="26" t="n">
        <x:v>1</x:v>
      </x:c>
      <x:c r="E35" s="28" t="n">
        <x:f>IF(AND(ISNUMBER(C35),ISNUMBER(D35)),C35-D35,IF(AND(C35="Не найдено",ISNUMBER(D35)),"Появился",IF(AND(ISNUMBER(C35),D35="Не найдено"),"Не найдено","Нет сравнения")))</x:f>
        <x:v>1</x:v>
      </x:c>
      <x:c r="F35" s="15" t="str">
        <x:v>https://kozhaclinic.ru/inekcionnaya-kosmetologiya/konturnaya-plastika/korrektsiya-nosogubnykh-skladok/</x:v>
      </x:c>
      <x:c r="G35" s="26" t="str">
        <x:v>Не найдено</x:v>
      </x:c>
      <x:c r="H35" s="26" t="str">
        <x:v>Не найдено</x:v>
      </x:c>
      <x:c r="I35" s="28" t="str">
        <x:f>IF(AND(ISNUMBER(G35),ISNUMBER(H35)),G35-H35,IF(AND(G35="Не найдено",ISNUMBER(H35)),"Появился",IF(AND(ISNUMBER(G35),H35="Не найдено"),"Не найдено","Нет сравнения")))</x:f>
        <x:v>Нет сравнения</x:v>
      </x:c>
      <x:c r="J35" s="12"/>
    </x:row>
    <x:row r="36" ht="40" customHeight="1">
      <x:c r="A36" s="14" t="str">
        <x:v>коррекция носогубных складок цена</x:v>
      </x:c>
      <x:c r="B36" s="14" t="str">
        <x:v>Носогубные складки</x:v>
      </x:c>
      <x:c r="C36" s="27" t="n">
        <x:v>1</x:v>
      </x:c>
      <x:c r="D36" s="27" t="n">
        <x:v>1</x:v>
      </x:c>
      <x:c r="E36" s="29" t="n">
        <x:f>IF(AND(ISNUMBER(C36),ISNUMBER(D36)),C36-D36,IF(AND(C36="Не найдено",ISNUMBER(D36)),"Появился",IF(AND(ISNUMBER(C36),D36="Не найдено"),"Не найдено","Нет сравнения")))</x:f>
        <x:v>0</x:v>
      </x:c>
      <x:c r="F36" s="16" t="str">
        <x:v>https://kozhaclinic.ru/inekcionnaya-kosmetologiya/konturnaya-plastika/korrektsiya-nosogubnykh-skladok/</x:v>
      </x:c>
      <x:c r="G36" s="27" t="str">
        <x:v>Не найдено</x:v>
      </x:c>
      <x:c r="H36" s="27" t="str">
        <x:v>Не найдено</x:v>
      </x:c>
      <x:c r="I36" s="29" t="str">
        <x:f>IF(AND(ISNUMBER(G36),ISNUMBER(H36)),G36-H36,IF(AND(G36="Не найдено",ISNUMBER(H36)),"Появился",IF(AND(ISNUMBER(G36),H36="Не найдено"),"Не найдено","Нет сравнения")))</x:f>
        <x:v>Нет сравнения</x:v>
      </x:c>
      <x:c r="J36" s="14"/>
    </x:row>
    <x:row r="37" ht="40" customHeight="1">
      <x:c r="A37" s="12" t="str">
        <x:v>контурная пластика носогубок цена</x:v>
      </x:c>
      <x:c r="B37" s="12" t="str">
        <x:v>Носогубные складки</x:v>
      </x:c>
      <x:c r="C37" s="26" t="n">
        <x:v>2</x:v>
      </x:c>
      <x:c r="D37" s="26" t="n">
        <x:v>1</x:v>
      </x:c>
      <x:c r="E37" s="28" t="n">
        <x:f>IF(AND(ISNUMBER(C37),ISNUMBER(D37)),C37-D37,IF(AND(C37="Не найдено",ISNUMBER(D37)),"Появился",IF(AND(ISNUMBER(C37),D37="Не найдено"),"Не найдено","Нет сравнения")))</x:f>
        <x:v>1</x:v>
      </x:c>
      <x:c r="F37" s="15" t="str">
        <x:v>https://kozhaclinic.ru/inekcionnaya-kosmetologiya/konturnaya-plastika/korrektsiya-nosogubnykh-skladok/</x:v>
      </x:c>
      <x:c r="G37" s="26" t="str">
        <x:v>Не найдено</x:v>
      </x:c>
      <x:c r="H37" s="26" t="str">
        <x:v>Не найдено</x:v>
      </x:c>
      <x:c r="I37" s="28" t="str">
        <x:f>IF(AND(ISNUMBER(G37),ISNUMBER(H37)),G37-H37,IF(AND(G37="Не найдено",ISNUMBER(H37)),"Появился",IF(AND(ISNUMBER(G37),H37="Не найдено"),"Не найдено","Нет сравнения")))</x:f>
        <x:v>Нет сравнения</x:v>
      </x:c>
      <x:c r="J37" s="12"/>
    </x:row>
    <x:row r="38" ht="40" customHeight="1">
      <x:c r="A38" s="14" t="str">
        <x:v>липолитики сургут</x:v>
      </x:c>
      <x:c r="B38" s="14" t="str">
        <x:v>Липолитики</x:v>
      </x:c>
      <x:c r="C38" s="27" t="n">
        <x:v>4</x:v>
      </x:c>
      <x:c r="D38" s="27" t="n">
        <x:v>6</x:v>
      </x:c>
      <x:c r="E38" s="29" t="n">
        <x:f>IF(AND(ISNUMBER(C38),ISNUMBER(D38)),C38-D38,IF(AND(C38="Не найдено",ISNUMBER(D38)),"Появился",IF(AND(ISNUMBER(C38),D38="Не найдено"),"Не найдено","Нет сравнения")))</x:f>
        <x:v>-2</x:v>
      </x:c>
      <x:c r="F38" s="16" t="str">
        <x:v>https://kozhaclinic.ru/inekcionnaya-kosmetologiya/lipolitiki/</x:v>
      </x:c>
      <x:c r="G38" s="27" t="n">
        <x:v>1</x:v>
      </x:c>
      <x:c r="H38" s="27" t="n">
        <x:v>1</x:v>
      </x:c>
      <x:c r="I38" s="29" t="n">
        <x:f>IF(AND(ISNUMBER(G38),ISNUMBER(H38)),G38-H38,IF(AND(G38="Не найдено",ISNUMBER(H38)),"Появился",IF(AND(ISNUMBER(G38),H38="Не найдено"),"Не найдено","Нет сравнения")))</x:f>
        <x:v>0</x:v>
      </x:c>
      <x:c r="J38" s="16" t="str">
        <x:v>https://kozhaclinic.ru/inekcionnaya-kosmetologiya/lipolitiki/</x:v>
      </x:c>
    </x:row>
    <x:row r="39" ht="40" customHeight="1">
      <x:c r="A39" s="12" t="str">
        <x:v>инъекции липолитиков сургут</x:v>
      </x:c>
      <x:c r="B39" s="12" t="str">
        <x:v>Липолитики</x:v>
      </x:c>
      <x:c r="C39" s="26" t="n">
        <x:v>1</x:v>
      </x:c>
      <x:c r="D39" s="26" t="n">
        <x:v>1</x:v>
      </x:c>
      <x:c r="E39" s="28" t="n">
        <x:f>IF(AND(ISNUMBER(C39),ISNUMBER(D39)),C39-D39,IF(AND(C39="Не найдено",ISNUMBER(D39)),"Появился",IF(AND(ISNUMBER(C39),D39="Не найдено"),"Не найдено","Нет сравнения")))</x:f>
        <x:v>0</x:v>
      </x:c>
      <x:c r="F39" s="15" t="str">
        <x:v>https://kozhaclinic.ru/inekcionnaya-kosmetologiya/lipolitiki/</x:v>
      </x:c>
      <x:c r="G39" s="26" t="str">
        <x:v>Не найдено</x:v>
      </x:c>
      <x:c r="H39" s="26" t="n">
        <x:v>1</x:v>
      </x:c>
      <x:c r="I39" s="28" t="str">
        <x:f>IF(AND(ISNUMBER(G39),ISNUMBER(H39)),G39-H39,IF(AND(G39="Не найдено",ISNUMBER(H39)),"Появился",IF(AND(ISNUMBER(G39),H39="Не найдено"),"Не найдено","Нет сравнения")))</x:f>
        <x:v>Появился</x:v>
      </x:c>
      <x:c r="J39" s="15" t="str">
        <x:v>https://kozhaclinic.ru/inekcionnaya-kosmetologiya/lipolitiki/</x:v>
      </x:c>
    </x:row>
    <x:row r="40" ht="40" customHeight="1">
      <x:c r="A40" s="14" t="str">
        <x:v>уколы липолитиков сургут</x:v>
      </x:c>
      <x:c r="B40" s="14" t="str">
        <x:v>Липолитики</x:v>
      </x:c>
      <x:c r="C40" s="27" t="n">
        <x:v>1</x:v>
      </x:c>
      <x:c r="D40" s="27" t="n">
        <x:v>1</x:v>
      </x:c>
      <x:c r="E40" s="29" t="n">
        <x:f>IF(AND(ISNUMBER(C40),ISNUMBER(D40)),C40-D40,IF(AND(C40="Не найдено",ISNUMBER(D40)),"Появился",IF(AND(ISNUMBER(C40),D40="Не найдено"),"Не найдено","Нет сравнения")))</x:f>
        <x:v>0</x:v>
      </x:c>
      <x:c r="F40" s="16" t="str">
        <x:v>https://kozhaclinic.ru/inekcionnaya-kosmetologiya/lipolitiki/</x:v>
      </x:c>
      <x:c r="G40" s="27" t="n">
        <x:v>1</x:v>
      </x:c>
      <x:c r="H40" s="27" t="n">
        <x:v>1</x:v>
      </x:c>
      <x:c r="I40" s="29" t="n">
        <x:f>IF(AND(ISNUMBER(G40),ISNUMBER(H40)),G40-H40,IF(AND(G40="Не найдено",ISNUMBER(H40)),"Появился",IF(AND(ISNUMBER(G40),H40="Не найдено"),"Не найдено","Нет сравнения")))</x:f>
        <x:v>0</x:v>
      </x:c>
      <x:c r="J40" s="16" t="str">
        <x:v>https://kozhaclinic.ru/inekcionnaya-kosmetologiya/lipolitiki/</x:v>
      </x:c>
    </x:row>
    <x:row r="41" ht="40" customHeight="1">
      <x:c r="A41" s="12" t="str">
        <x:v>липолитики для лица сургут</x:v>
      </x:c>
      <x:c r="B41" s="12" t="str">
        <x:v>Липолитики</x:v>
      </x:c>
      <x:c r="C41" s="26" t="n">
        <x:v>4</x:v>
      </x:c>
      <x:c r="D41" s="26" t="n">
        <x:v>3</x:v>
      </x:c>
      <x:c r="E41" s="28" t="n">
        <x:f>IF(AND(ISNUMBER(C41),ISNUMBER(D41)),C41-D41,IF(AND(C41="Не найдено",ISNUMBER(D41)),"Появился",IF(AND(ISNUMBER(C41),D41="Не найдено"),"Не найдено","Нет сравнения")))</x:f>
        <x:v>1</x:v>
      </x:c>
      <x:c r="F41" s="15" t="str">
        <x:v>https://kozhaclinic.ru/inekcionnaya-kosmetologiya/lipolitiki/</x:v>
      </x:c>
      <x:c r="G41" s="26" t="n">
        <x:v>1</x:v>
      </x:c>
      <x:c r="H41" s="26" t="str">
        <x:v>Не найдено</x:v>
      </x:c>
      <x:c r="I41" s="28" t="str">
        <x:f>IF(AND(ISNUMBER(G41),ISNUMBER(H41)),G41-H41,IF(AND(G41="Не найдено",ISNUMBER(H41)),"Появился",IF(AND(ISNUMBER(G41),H41="Не найдено"),"Не найдено","Нет сравнения")))</x:f>
        <x:v>Не найдено</x:v>
      </x:c>
      <x:c r="J41" s="12"/>
    </x:row>
    <x:row r="42" ht="40" customHeight="1">
      <x:c r="A42" s="14" t="str">
        <x:v>липолитики для тела сургут</x:v>
      </x:c>
      <x:c r="B42" s="14" t="str">
        <x:v>Липолитики</x:v>
      </x:c>
      <x:c r="C42" s="27" t="n">
        <x:v>3</x:v>
      </x:c>
      <x:c r="D42" s="27" t="n">
        <x:v>4</x:v>
      </x:c>
      <x:c r="E42" s="29" t="n">
        <x:f>IF(AND(ISNUMBER(C42),ISNUMBER(D42)),C42-D42,IF(AND(C42="Не найдено",ISNUMBER(D42)),"Появился",IF(AND(ISNUMBER(C42),D42="Не найдено"),"Не найдено","Нет сравнения")))</x:f>
        <x:v>-1</x:v>
      </x:c>
      <x:c r="F42" s="16" t="str">
        <x:v>https://kozhaclinic.ru/inekcionnaya-kosmetologiya/lipolitiki/</x:v>
      </x:c>
      <x:c r="G42" s="27" t="str">
        <x:v>Не найдено</x:v>
      </x:c>
      <x:c r="H42" s="27" t="str">
        <x:v>Не найдено</x:v>
      </x:c>
      <x:c r="I42" s="29" t="str">
        <x:f>IF(AND(ISNUMBER(G42),ISNUMBER(H42)),G42-H42,IF(AND(G42="Не найдено",ISNUMBER(H42)),"Появился",IF(AND(ISNUMBER(G42),H42="Не найдено"),"Не найдено","Нет сравнения")))</x:f>
        <x:v>Нет сравнения</x:v>
      </x:c>
      <x:c r="J42" s="14"/>
    </x:row>
    <x:row r="43" ht="40" customHeight="1">
      <x:c r="A43" s="12" t="str">
        <x:v>липолитики от второго подбородка сургут</x:v>
      </x:c>
      <x:c r="B43" s="12" t="str">
        <x:v>Липолитики</x:v>
      </x:c>
      <x:c r="C43" s="26" t="n">
        <x:v>1</x:v>
      </x:c>
      <x:c r="D43" s="26" t="n">
        <x:v>2</x:v>
      </x:c>
      <x:c r="E43" s="28" t="n">
        <x:f>IF(AND(ISNUMBER(C43),ISNUMBER(D43)),C43-D43,IF(AND(C43="Не найдено",ISNUMBER(D43)),"Появился",IF(AND(ISNUMBER(C43),D43="Не найдено"),"Не найдено","Нет сравнения")))</x:f>
        <x:v>-1</x:v>
      </x:c>
      <x:c r="F43" s="15" t="str">
        <x:v>https://kozhaclinic.ru/inekcionnaya-kosmetologiya/lipolitiki/</x:v>
      </x:c>
      <x:c r="G43" s="26" t="n">
        <x:v>1</x:v>
      </x:c>
      <x:c r="H43" s="26" t="n">
        <x:v>1</x:v>
      </x:c>
      <x:c r="I43" s="28" t="n">
        <x:f>IF(AND(ISNUMBER(G43),ISNUMBER(H43)),G43-H43,IF(AND(G43="Не найдено",ISNUMBER(H43)),"Появился",IF(AND(ISNUMBER(G43),H43="Не найдено"),"Не найдено","Нет сравнения")))</x:f>
        <x:v>0</x:v>
      </x:c>
      <x:c r="J43" s="15" t="str">
        <x:v>https://kozhaclinic.ru/inekcionnaya-kosmetologiya/lipolitiki/</x:v>
      </x:c>
    </x:row>
    <x:row r="44" ht="40" customHeight="1">
      <x:c r="A44" s="14" t="str">
        <x:v>липолитики в подбородок сургут</x:v>
      </x:c>
      <x:c r="B44" s="14" t="str">
        <x:v>Липолитики</x:v>
      </x:c>
      <x:c r="C44" s="27" t="n">
        <x:v>2</x:v>
      </x:c>
      <x:c r="D44" s="27" t="n">
        <x:v>3</x:v>
      </x:c>
      <x:c r="E44" s="29" t="n">
        <x:f>IF(AND(ISNUMBER(C44),ISNUMBER(D44)),C44-D44,IF(AND(C44="Не найдено",ISNUMBER(D44)),"Появился",IF(AND(ISNUMBER(C44),D44="Не найдено"),"Не найдено","Нет сравнения")))</x:f>
        <x:v>-1</x:v>
      </x:c>
      <x:c r="F44" s="16" t="str">
        <x:v>https://kozhaclinic.ru/inekcionnaya-kosmetologiya/lipolitiki/</x:v>
      </x:c>
      <x:c r="G44" s="27" t="n">
        <x:v>1</x:v>
      </x:c>
      <x:c r="H44" s="27" t="str">
        <x:v>Не найдено</x:v>
      </x:c>
      <x:c r="I44" s="29" t="str">
        <x:f>IF(AND(ISNUMBER(G44),ISNUMBER(H44)),G44-H44,IF(AND(G44="Не найдено",ISNUMBER(H44)),"Появился",IF(AND(ISNUMBER(G44),H44="Не найдено"),"Не найдено","Нет сравнения")))</x:f>
        <x:v>Не найдено</x:v>
      </x:c>
      <x:c r="J44" s="14"/>
    </x:row>
    <x:row r="45" ht="40" customHeight="1">
      <x:c r="A45" s="12" t="str">
        <x:v>инъекционный липолиз сургут</x:v>
      </x:c>
      <x:c r="B45" s="12" t="str">
        <x:v>Липолитики</x:v>
      </x:c>
      <x:c r="C45" s="26" t="n">
        <x:v>2</x:v>
      </x:c>
      <x:c r="D45" s="26" t="n">
        <x:v>3</x:v>
      </x:c>
      <x:c r="E45" s="28" t="n">
        <x:f>IF(AND(ISNUMBER(C45),ISNUMBER(D45)),C45-D45,IF(AND(C45="Не найдено",ISNUMBER(D45)),"Появился",IF(AND(ISNUMBER(C45),D45="Не найдено"),"Не найдено","Нет сравнения")))</x:f>
        <x:v>-1</x:v>
      </x:c>
      <x:c r="F45" s="15" t="str">
        <x:v>https://kozhaclinic.ru/inekcionnaya-kosmetologiya/lipolitiki/</x:v>
      </x:c>
      <x:c r="G45" s="26" t="n">
        <x:v>1</x:v>
      </x:c>
      <x:c r="H45" s="26" t="n">
        <x:v>1</x:v>
      </x:c>
      <x:c r="I45" s="28" t="n">
        <x:f>IF(AND(ISNUMBER(G45),ISNUMBER(H45)),G45-H45,IF(AND(G45="Не найдено",ISNUMBER(H45)),"Появился",IF(AND(ISNUMBER(G45),H45="Не найдено"),"Не найдено","Нет сравнения")))</x:f>
        <x:v>0</x:v>
      </x:c>
      <x:c r="J45" s="15" t="str">
        <x:v>https://kozhaclinic.ru/inekcionnaya-kosmetologiya/lipolitiki/</x:v>
      </x:c>
    </x:row>
    <x:row r="46" ht="40" customHeight="1">
      <x:c r="A46" s="14" t="str">
        <x:v>инъекционная липокоррекция сургут</x:v>
      </x:c>
      <x:c r="B46" s="14" t="str">
        <x:v>Липолитики</x:v>
      </x:c>
      <x:c r="C46" s="27" t="n">
        <x:v>34</x:v>
      </x:c>
      <x:c r="D46" s="27" t="n">
        <x:v>1</x:v>
      </x:c>
      <x:c r="E46" s="29" t="n">
        <x:f>IF(AND(ISNUMBER(C46),ISNUMBER(D46)),C46-D46,IF(AND(C46="Не найдено",ISNUMBER(D46)),"Появился",IF(AND(ISNUMBER(C46),D46="Не найдено"),"Не найдено","Нет сравнения")))</x:f>
        <x:v>33</x:v>
      </x:c>
      <x:c r="F46" s="16" t="str">
        <x:v>https://kozhaclinic.ru/inekcionnaya-kosmetologiya/lipolitiki/</x:v>
      </x:c>
      <x:c r="G46" s="27" t="n">
        <x:v>1</x:v>
      </x:c>
      <x:c r="H46" s="27" t="n">
        <x:v>1</x:v>
      </x:c>
      <x:c r="I46" s="29" t="n">
        <x:f>IF(AND(ISNUMBER(G46),ISNUMBER(H46)),G46-H46,IF(AND(G46="Не найдено",ISNUMBER(H46)),"Появился",IF(AND(ISNUMBER(G46),H46="Не найдено"),"Не найдено","Нет сравнения")))</x:f>
        <x:v>0</x:v>
      </x:c>
      <x:c r="J46" s="16" t="str">
        <x:v>https://kozhaclinic.ru/inekcionnaya-kosmetologiya/lipolitiki/</x:v>
      </x:c>
    </x:row>
    <x:row r="47" ht="40" customHeight="1">
      <x:c r="A47" s="12" t="str">
        <x:v>липолитики цена сургут</x:v>
      </x:c>
      <x:c r="B47" s="12" t="str">
        <x:v>Липолитики</x:v>
      </x:c>
      <x:c r="C47" s="26" t="n">
        <x:v>2</x:v>
      </x:c>
      <x:c r="D47" s="26" t="n">
        <x:v>13</x:v>
      </x:c>
      <x:c r="E47" s="28" t="n">
        <x:f>IF(AND(ISNUMBER(C47),ISNUMBER(D47)),C47-D47,IF(AND(C47="Не найдено",ISNUMBER(D47)),"Появился",IF(AND(ISNUMBER(C47),D47="Не найдено"),"Не найдено","Нет сравнения")))</x:f>
        <x:v>-11</x:v>
      </x:c>
      <x:c r="F47" s="15" t="str">
        <x:v>https://kozhaclinic.ru/inekcionnaya-kosmetologiya/</x:v>
      </x:c>
      <x:c r="G47" s="26" t="str">
        <x:v>Не найдено</x:v>
      </x:c>
      <x:c r="H47" s="26" t="n">
        <x:v>1</x:v>
      </x:c>
      <x:c r="I47" s="28" t="str">
        <x:f>IF(AND(ISNUMBER(G47),ISNUMBER(H47)),G47-H47,IF(AND(G47="Не найдено",ISNUMBER(H47)),"Появился",IF(AND(ISNUMBER(G47),H47="Не найдено"),"Не найдено","Нет сравнения")))</x:f>
        <x:v>Появился</x:v>
      </x:c>
      <x:c r="J47" s="15" t="str">
        <x:v>https://kozhaclinic.ru/inekcionnaya-kosmetologiya/lipolitiki/</x:v>
      </x:c>
    </x:row>
    <x:row r="48" ht="40" customHeight="1">
      <x:c r="A48" s="14" t="str">
        <x:v>липолитики для лица цена</x:v>
      </x:c>
      <x:c r="B48" s="14" t="str">
        <x:v>Липолитики</x:v>
      </x:c>
      <x:c r="C48" s="27" t="n">
        <x:v>20</x:v>
      </x:c>
      <x:c r="D48" s="27" t="str">
        <x:v>Не найдено</x:v>
      </x:c>
      <x:c r="E48" s="29" t="str">
        <x:f>IF(AND(ISNUMBER(C48),ISNUMBER(D48)),C48-D48,IF(AND(C48="Не найдено",ISNUMBER(D48)),"Появился",IF(AND(ISNUMBER(C48),D48="Не найдено"),"Не найдено","Нет сравнения")))</x:f>
        <x:v>Не найдено</x:v>
      </x:c>
      <x:c r="F48" s="14"/>
      <x:c r="G48" s="27" t="str">
        <x:v>Не найдено</x:v>
      </x:c>
      <x:c r="H48" s="27" t="str">
        <x:v>Не найдено</x:v>
      </x:c>
      <x:c r="I48" s="29" t="str">
        <x:f>IF(AND(ISNUMBER(G48),ISNUMBER(H48)),G48-H48,IF(AND(G48="Не найдено",ISNUMBER(H48)),"Появился",IF(AND(ISNUMBER(G48),H48="Не найдено"),"Не найдено","Нет сравнения")))</x:f>
        <x:v>Нет сравнения</x:v>
      </x:c>
      <x:c r="J48" s="14"/>
    </x:row>
    <x:row r="49" ht="40" customHeight="1">
      <x:c r="A49" s="12" t="str">
        <x:v>липомоделирование лица сургут</x:v>
      </x:c>
      <x:c r="B49" s="12" t="str">
        <x:v>Липолитики</x:v>
      </x:c>
      <x:c r="C49" s="26" t="n">
        <x:v>21</x:v>
      </x:c>
      <x:c r="D49" s="26" t="str">
        <x:v>Не найдено</x:v>
      </x:c>
      <x:c r="E49" s="28" t="str">
        <x:f>IF(AND(ISNUMBER(C49),ISNUMBER(D49)),C49-D49,IF(AND(C49="Не найдено",ISNUMBER(D49)),"Появился",IF(AND(ISNUMBER(C49),D49="Не найдено"),"Не найдено","Нет сравнения")))</x:f>
        <x:v>Не найдено</x:v>
      </x:c>
      <x:c r="F49" s="12"/>
      <x:c r="G49" s="26" t="str">
        <x:v>Не найдено</x:v>
      </x:c>
      <x:c r="H49" s="26" t="str">
        <x:v>Не найдено</x:v>
      </x:c>
      <x:c r="I49" s="28" t="str">
        <x:f>IF(AND(ISNUMBER(G49),ISNUMBER(H49)),G49-H49,IF(AND(G49="Не найдено",ISNUMBER(H49)),"Появился",IF(AND(ISNUMBER(G49),H49="Не найдено"),"Не найдено","Нет сравнения")))</x:f>
        <x:v>Нет сравнения</x:v>
      </x:c>
      <x:c r="J49" s="12"/>
    </x:row>
    <x:row r="50" ht="40" customHeight="1">
      <x:c r="A50" s="14" t="str">
        <x:v>mesosculpt c71 сургут</x:v>
      </x:c>
      <x:c r="B50" s="14" t="str">
        <x:v>Липолитики</x:v>
      </x:c>
      <x:c r="C50" s="27" t="n">
        <x:v>4</x:v>
      </x:c>
      <x:c r="D50" s="27" t="n">
        <x:v>16</x:v>
      </x:c>
      <x:c r="E50" s="29" t="n">
        <x:f>IF(AND(ISNUMBER(C50),ISNUMBER(D50)),C50-D50,IF(AND(C50="Не найдено",ISNUMBER(D50)),"Появился",IF(AND(ISNUMBER(C50),D50="Не найдено"),"Не найдено","Нет сравнения")))</x:f>
        <x:v>-12</x:v>
      </x:c>
      <x:c r="F50" s="16" t="str">
        <x:v>https://kozhaclinic.ru/inekcionnaya-kosmetologiya/lipolitiki/</x:v>
      </x:c>
      <x:c r="G50" s="27" t="n">
        <x:v>6</x:v>
      </x:c>
      <x:c r="H50" s="27" t="n">
        <x:v>2</x:v>
      </x:c>
      <x:c r="I50" s="29" t="n">
        <x:f>IF(AND(ISNUMBER(G50),ISNUMBER(H50)),G50-H50,IF(AND(G50="Не найдено",ISNUMBER(H50)),"Появился",IF(AND(ISNUMBER(G50),H50="Не найдено"),"Не найдено","Нет сравнения")))</x:f>
        <x:v>4</x:v>
      </x:c>
      <x:c r="J50" s="16" t="str">
        <x:v>https://kozhaclinic.ru/inekcionnaya-kosmetologiya/omolozhenie-i-pitanie-kozhi/mezoterapiya/</x:v>
      </x:c>
    </x:row>
    <x:row r="51" ht="40" customHeight="1">
      <x:c r="A51" s="12" t="str">
        <x:v>light fit липолитик сургут</x:v>
      </x:c>
      <x:c r="B51" s="12" t="str">
        <x:v>Липолитики</x:v>
      </x:c>
      <x:c r="C51" s="26" t="str">
        <x:v>Не найдено</x:v>
      </x:c>
      <x:c r="D51" s="26" t="n">
        <x:v>11</x:v>
      </x:c>
      <x:c r="E51" s="28" t="str">
        <x:f>IF(AND(ISNUMBER(C51),ISNUMBER(D51)),C51-D51,IF(AND(C51="Не найдено",ISNUMBER(D51)),"Появился",IF(AND(ISNUMBER(C51),D51="Не найдено"),"Не найдено","Нет сравнения")))</x:f>
        <x:v>Появился</x:v>
      </x:c>
      <x:c r="F51" s="15" t="str">
        <x:v>https://kozhaclinic.ru/inekcionnaya-kosmetologiya/lipolitiki/</x:v>
      </x:c>
      <x:c r="G51" s="26" t="str">
        <x:v>Не найдено</x:v>
      </x:c>
      <x:c r="H51" s="26" t="n">
        <x:v>1</x:v>
      </x:c>
      <x:c r="I51" s="28" t="str">
        <x:f>IF(AND(ISNUMBER(G51),ISNUMBER(H51)),G51-H51,IF(AND(G51="Не найдено",ISNUMBER(H51)),"Появился",IF(AND(ISNUMBER(G51),H51="Не найдено"),"Не найдено","Нет сравнения")))</x:f>
        <x:v>Появился</x:v>
      </x:c>
      <x:c r="J51" s="15" t="str">
        <x:v>https://kozhaclinic.ru/inekcionnaya-kosmetologiya/lipolitiki/</x:v>
      </x:c>
    </x:row>
    <x:row r="52" ht="40" customHeight="1">
      <x:c r="A52" s="14" t="str">
        <x:v>биоревитализация глаз сургут</x:v>
      </x:c>
      <x:c r="B52" s="14" t="str">
        <x:v>Биоревитализация кожи вокруг глаз</x:v>
      </x:c>
      <x:c r="C52" s="27" t="n">
        <x:v>1</x:v>
      </x:c>
      <x:c r="D52" s="27" t="n">
        <x:v>3</x:v>
      </x:c>
      <x:c r="E52" s="29" t="n">
        <x:f>IF(AND(ISNUMBER(C52),ISNUMBER(D52)),C52-D52,IF(AND(C52="Не найдено",ISNUMBER(D52)),"Появился",IF(AND(ISNUMBER(C52),D52="Не найдено"),"Не найдено","Нет сравнения")))</x:f>
        <x:v>-2</x:v>
      </x:c>
      <x:c r="F52" s="16" t="str">
        <x:v>https://kozhaclinic.ru/inekcionnaya-kosmetologiya/omolozhenie-i-pitanie-kozhi/biorevitalizatsiya-zony-vokrug-glaz/</x:v>
      </x:c>
      <x:c r="G52" s="27" t="n">
        <x:v>1</x:v>
      </x:c>
      <x:c r="H52" s="27" t="n">
        <x:v>1</x:v>
      </x:c>
      <x:c r="I52" s="29" t="n">
        <x:f>IF(AND(ISNUMBER(G52),ISNUMBER(H52)),G52-H52,IF(AND(G52="Не найдено",ISNUMBER(H52)),"Появился",IF(AND(ISNUMBER(G52),H52="Не найдено"),"Не найдено","Нет сравнения")))</x:f>
        <x:v>0</x:v>
      </x:c>
      <x:c r="J52" s="16" t="str">
        <x:v>https://kozhaclinic.ru/inekcionnaya-kosmetologiya/omolozhenie-i-pitanie-kozhi/biorevitalizatsiya/</x:v>
      </x:c>
    </x:row>
    <x:row r="53" ht="40" customHeight="1">
      <x:c r="A53" s="12" t="str">
        <x:v>биоревитализация шеи сургут</x:v>
      </x:c>
      <x:c r="B53" s="12" t="str">
        <x:v>Биоревитализация кожи вокруг шеи</x:v>
      </x:c>
      <x:c r="C53" s="26" t="n">
        <x:v>1</x:v>
      </x:c>
      <x:c r="D53" s="26" t="n">
        <x:v>1</x:v>
      </x:c>
      <x:c r="E53" s="28" t="n">
        <x:f>IF(AND(ISNUMBER(C53),ISNUMBER(D53)),C53-D53,IF(AND(C53="Не найдено",ISNUMBER(D53)),"Появился",IF(AND(ISNUMBER(C53),D53="Не найдено"),"Не найдено","Нет сравнения")))</x:f>
        <x:v>0</x:v>
      </x:c>
      <x:c r="F53" s="15" t="str">
        <x:v>https://kozhaclinic.ru/omolozhenie-shei-i-dekolte/</x:v>
      </x:c>
      <x:c r="G53" s="26" t="n">
        <x:v>1</x:v>
      </x:c>
      <x:c r="H53" s="26" t="n">
        <x:v>1</x:v>
      </x:c>
      <x:c r="I53" s="28" t="n">
        <x:f>IF(AND(ISNUMBER(G53),ISNUMBER(H53)),G53-H53,IF(AND(G53="Не найдено",ISNUMBER(H53)),"Появился",IF(AND(ISNUMBER(G53),H53="Не найдено"),"Не найдено","Нет сравнения")))</x:f>
        <x:v>0</x:v>
      </x:c>
      <x:c r="J53" s="15" t="str">
        <x:v>https://kozhaclinic.ru/inekcionnaya-kosmetologiya/omolozhenie-i-pitanie-kozhi/biorevitalizatsiya/</x:v>
      </x:c>
    </x:row>
    <x:row r="54" ht="40" customHeight="1">
      <x:c r="A54" s="14" t="str">
        <x:v>ботокс вокруг глаз сургут</x:v>
      </x:c>
      <x:c r="B54" s="14" t="str">
        <x:v>Ботокс для лица и вокруг глаз</x:v>
      </x:c>
      <x:c r="C54" s="27" t="n">
        <x:v>1</x:v>
      </x:c>
      <x:c r="D54" s="27" t="n">
        <x:v>1</x:v>
      </x:c>
      <x:c r="E54" s="29" t="n">
        <x:f>IF(AND(ISNUMBER(C54),ISNUMBER(D54)),C54-D54,IF(AND(C54="Не найдено",ISNUMBER(D54)),"Появился",IF(AND(ISNUMBER(C54),D54="Не найдено"),"Не найдено","Нет сравнения")))</x:f>
        <x:v>0</x:v>
      </x:c>
      <x:c r="F54" s="16" t="str">
        <x:v>https://kozhaclinic.ru/inekcionnaya-kosmetologiya/botulinoterapiya/botoks-dlya-litsa-i-vokrug-glaz/</x:v>
      </x:c>
      <x:c r="G54" s="27" t="n">
        <x:v>1</x:v>
      </x:c>
      <x:c r="H54" s="27" t="n">
        <x:v>1</x:v>
      </x:c>
      <x:c r="I54" s="29" t="n">
        <x:f>IF(AND(ISNUMBER(G54),ISNUMBER(H54)),G54-H54,IF(AND(G54="Не найдено",ISNUMBER(H54)),"Появился",IF(AND(ISNUMBER(G54),H54="Не найдено"),"Не найдено","Нет сравнения")))</x:f>
        <x:v>0</x:v>
      </x:c>
      <x:c r="J54" s="16" t="str">
        <x:v>https://kozhaclinic.ru/inekcionnaya-kosmetologiya/botulinoterapiya/botoks-dlya-litsa-i-vokrug-glaz/</x:v>
      </x:c>
    </x:row>
    <x:row r="55" ht="40" customHeight="1">
      <x:c r="A55" s="12" t="str">
        <x:v>ботокс для лица сургут</x:v>
      </x:c>
      <x:c r="B55" s="12" t="str">
        <x:v>Ботокс для лица и вокруг глаз</x:v>
      </x:c>
      <x:c r="C55" s="26" t="n">
        <x:v>1</x:v>
      </x:c>
      <x:c r="D55" s="26" t="n">
        <x:v>1</x:v>
      </x:c>
      <x:c r="E55" s="28" t="n">
        <x:f>IF(AND(ISNUMBER(C55),ISNUMBER(D55)),C55-D55,IF(AND(C55="Не найдено",ISNUMBER(D55)),"Появился",IF(AND(ISNUMBER(C55),D55="Не найдено"),"Не найдено","Нет сравнения")))</x:f>
        <x:v>0</x:v>
      </x:c>
      <x:c r="F55" s="15" t="str">
        <x:v>https://kozhaclinic.ru/inekcionnaya-kosmetologiya/botulinoterapiya/</x:v>
      </x:c>
      <x:c r="G55" s="26" t="str">
        <x:v>Не найдено</x:v>
      </x:c>
      <x:c r="H55" s="26" t="n">
        <x:v>1</x:v>
      </x:c>
      <x:c r="I55" s="28" t="str">
        <x:f>IF(AND(ISNUMBER(G55),ISNUMBER(H55)),G55-H55,IF(AND(G55="Не найдено",ISNUMBER(H55)),"Появился",IF(AND(ISNUMBER(G55),H55="Не найдено"),"Не найдено","Нет сравнения")))</x:f>
        <x:v>Появился</x:v>
      </x:c>
      <x:c r="J55" s="15" t="str">
        <x:v>https://kozhaclinic.ru/inekcionnaya-kosmetologiya/botulinoterapiya/</x:v>
      </x:c>
    </x:row>
    <x:row r="56" ht="40" customHeight="1">
      <x:c r="A56" s="14" t="str">
        <x:v>ботокс под глаза сургут</x:v>
      </x:c>
      <x:c r="B56" s="14" t="str">
        <x:v>Ботокс для лица и вокруг глаз</x:v>
      </x:c>
      <x:c r="C56" s="27" t="n">
        <x:v>1</x:v>
      </x:c>
      <x:c r="D56" s="27" t="n">
        <x:v>3</x:v>
      </x:c>
      <x:c r="E56" s="29" t="n">
        <x:f>IF(AND(ISNUMBER(C56),ISNUMBER(D56)),C56-D56,IF(AND(C56="Не найдено",ISNUMBER(D56)),"Появился",IF(AND(ISNUMBER(C56),D56="Не найдено"),"Не найдено","Нет сравнения")))</x:f>
        <x:v>-2</x:v>
      </x:c>
      <x:c r="F56" s="16" t="str">
        <x:v>https://kozhaclinic.ru/inekcionnaya-kosmetologiya/botulinoterapiya/botoks-dlya-litsa-i-vokrug-glaz/</x:v>
      </x:c>
      <x:c r="G56" s="27" t="n">
        <x:v>1</x:v>
      </x:c>
      <x:c r="H56" s="27" t="n">
        <x:v>1</x:v>
      </x:c>
      <x:c r="I56" s="29" t="n">
        <x:f>IF(AND(ISNUMBER(G56),ISNUMBER(H56)),G56-H56,IF(AND(G56="Не найдено",ISNUMBER(H56)),"Появился",IF(AND(ISNUMBER(G56),H56="Не найдено"),"Не найдено","Нет сравнения")))</x:f>
        <x:v>0</x:v>
      </x:c>
      <x:c r="J56" s="16" t="str">
        <x:v>https://kozhaclinic.ru/inekcionnaya-kosmetologiya/botulinoterapiya/botoks-dlya-litsa-i-vokrug-glaz/</x:v>
      </x:c>
    </x:row>
    <x:row r="57" ht="40" customHeight="1">
      <x:c r="A57" s="12" t="str">
        <x:v>ботулинотерапия глаз сургут</x:v>
      </x:c>
      <x:c r="B57" s="12" t="str">
        <x:v>Ботокс для лица и вокруг глаз</x:v>
      </x:c>
      <x:c r="C57" s="26" t="n">
        <x:v>2</x:v>
      </x:c>
      <x:c r="D57" s="26" t="n">
        <x:v>1</x:v>
      </x:c>
      <x:c r="E57" s="28" t="n">
        <x:f>IF(AND(ISNUMBER(C57),ISNUMBER(D57)),C57-D57,IF(AND(C57="Не найдено",ISNUMBER(D57)),"Появился",IF(AND(ISNUMBER(C57),D57="Не найдено"),"Не найдено","Нет сравнения")))</x:f>
        <x:v>1</x:v>
      </x:c>
      <x:c r="F57" s="15" t="str">
        <x:v>https://kozhaclinic.ru/meshki-i-oteki-pod-glazami/</x:v>
      </x:c>
      <x:c r="G57" s="26" t="n">
        <x:v>1</x:v>
      </x:c>
      <x:c r="H57" s="26" t="n">
        <x:v>1</x:v>
      </x:c>
      <x:c r="I57" s="28" t="n">
        <x:f>IF(AND(ISNUMBER(G57),ISNUMBER(H57)),G57-H57,IF(AND(G57="Не найдено",ISNUMBER(H57)),"Появился",IF(AND(ISNUMBER(G57),H57="Не найдено"),"Не найдено","Нет сравнения")))</x:f>
        <x:v>0</x:v>
      </x:c>
      <x:c r="J57" s="15" t="str">
        <x:v>https://kozhaclinic.ru/inekcionnaya-kosmetologiya/botulinoterapiya/botoks-dlya-litsa-i-vokrug-glaz/</x:v>
      </x:c>
    </x:row>
    <x:row r="58" ht="40" customHeight="1">
      <x:c r="A58" s="14" t="str">
        <x:v>ботулинотерапия лица сургут</x:v>
      </x:c>
      <x:c r="B58" s="14" t="str">
        <x:v>Ботокс для лица и вокруг глаз</x:v>
      </x:c>
      <x:c r="C58" s="27" t="n">
        <x:v>2</x:v>
      </x:c>
      <x:c r="D58" s="27" t="n">
        <x:v>1</x:v>
      </x:c>
      <x:c r="E58" s="29" t="n">
        <x:f>IF(AND(ISNUMBER(C58),ISNUMBER(D58)),C58-D58,IF(AND(C58="Не найдено",ISNUMBER(D58)),"Появился",IF(AND(ISNUMBER(C58),D58="Не найдено"),"Не найдено","Нет сравнения")))</x:f>
        <x:v>1</x:v>
      </x:c>
      <x:c r="F58" s="16" t="str">
        <x:v>https://kozhaclinic.ru/inekcionnaya-kosmetologiya/botulinoterapiya/</x:v>
      </x:c>
      <x:c r="G58" s="27" t="n">
        <x:v>2</x:v>
      </x:c>
      <x:c r="H58" s="27" t="n">
        <x:v>2</x:v>
      </x:c>
      <x:c r="I58" s="29" t="n">
        <x:f>IF(AND(ISNUMBER(G58),ISNUMBER(H58)),G58-H58,IF(AND(G58="Не найдено",ISNUMBER(H58)),"Появился",IF(AND(ISNUMBER(G58),H58="Не найдено"),"Не найдено","Нет сравнения")))</x:f>
        <x:v>0</x:v>
      </x:c>
      <x:c r="J58" s="16" t="str">
        <x:v>https://kozhaclinic.ru/inekcionnaya-kosmetologiya/botulinoterapiya/botoks-dlya-litsa-i-vokrug-glaz/</x:v>
      </x:c>
    </x:row>
    <x:row r="59" ht="40" customHeight="1">
      <x:c r="A59" s="12" t="str">
        <x:v>ботокс в лоб сургут</x:v>
      </x:c>
      <x:c r="B59" s="12" t="str">
        <x:v>Ботулинотерапия в лоб и межбровье</x:v>
      </x:c>
      <x:c r="C59" s="26" t="n">
        <x:v>1</x:v>
      </x:c>
      <x:c r="D59" s="26" t="n">
        <x:v>1</x:v>
      </x:c>
      <x:c r="E59" s="28" t="n">
        <x:f>IF(AND(ISNUMBER(C59),ISNUMBER(D59)),C59-D59,IF(AND(C59="Не найдено",ISNUMBER(D59)),"Появился",IF(AND(ISNUMBER(C59),D59="Не найдено"),"Не найдено","Нет сравнения")))</x:f>
        <x:v>0</x:v>
      </x:c>
      <x:c r="F59" s="15" t="str">
        <x:v>https://kozhaclinic.ru/inekcionnaya-kosmetologiya/botulinoterapiya/botulinoterapiya-v-lob-i-mezhbrove/</x:v>
      </x:c>
      <x:c r="G59" s="26" t="n">
        <x:v>2</x:v>
      </x:c>
      <x:c r="H59" s="26" t="n">
        <x:v>2</x:v>
      </x:c>
      <x:c r="I59" s="28" t="n">
        <x:f>IF(AND(ISNUMBER(G59),ISNUMBER(H59)),G59-H59,IF(AND(G59="Не найдено",ISNUMBER(H59)),"Появился",IF(AND(ISNUMBER(G59),H59="Не найдено"),"Не найдено","Нет сравнения")))</x:f>
        <x:v>0</x:v>
      </x:c>
      <x:c r="J59" s="15" t="str">
        <x:v>https://kozhaclinic.ru/inekcionnaya-kosmetologiya/botulinoterapiya/</x:v>
      </x:c>
    </x:row>
    <x:row r="60" ht="40" customHeight="1">
      <x:c r="A60" s="14" t="str">
        <x:v>ботокс в шею сургут</x:v>
      </x:c>
      <x:c r="B60" s="14" t="str">
        <x:v>Ботулинотерапия в шею</x:v>
      </x:c>
      <x:c r="C60" s="27" t="n">
        <x:v>1</x:v>
      </x:c>
      <x:c r="D60" s="27" t="n">
        <x:v>1</x:v>
      </x:c>
      <x:c r="E60" s="29" t="n">
        <x:f>IF(AND(ISNUMBER(C60),ISNUMBER(D60)),C60-D60,IF(AND(C60="Не найдено",ISNUMBER(D60)),"Появился",IF(AND(ISNUMBER(C60),D60="Не найдено"),"Не найдено","Нет сравнения")))</x:f>
        <x:v>0</x:v>
      </x:c>
      <x:c r="F60" s="16" t="str">
        <x:v>https://kozhaclinic.ru/omolozhenie-shei-i-dekolte/</x:v>
      </x:c>
      <x:c r="G60" s="27" t="n">
        <x:v>2</x:v>
      </x:c>
      <x:c r="H60" s="27" t="n">
        <x:v>4</x:v>
      </x:c>
      <x:c r="I60" s="29" t="n">
        <x:f>IF(AND(ISNUMBER(G60),ISNUMBER(H60)),G60-H60,IF(AND(G60="Не найдено",ISNUMBER(H60)),"Появился",IF(AND(ISNUMBER(G60),H60="Не найдено"),"Не найдено","Нет сравнения")))</x:f>
        <x:v>-2</x:v>
      </x:c>
      <x:c r="J60" s="16" t="str">
        <x:v>https://kozhaclinic.ru/inekcionnaya-kosmetologiya/botulinoterapiya/</x:v>
      </x:c>
    </x:row>
    <x:row r="61" ht="40" customHeight="1">
      <x:c r="A61" s="12" t="str">
        <x:v>ботулинотерапия в подмышки цена в сургуте</x:v>
      </x:c>
      <x:c r="B61" s="12" t="str">
        <x:v>Ботулинотерапия подмышек</x:v>
      </x:c>
      <x:c r="C61" s="26" t="n">
        <x:v>2</x:v>
      </x:c>
      <x:c r="D61" s="26" t="n">
        <x:v>1</x:v>
      </x:c>
      <x:c r="E61" s="28" t="n">
        <x:f>IF(AND(ISNUMBER(C61),ISNUMBER(D61)),C61-D61,IF(AND(C61="Не найдено",ISNUMBER(D61)),"Появился",IF(AND(ISNUMBER(C61),D61="Не найдено"),"Не найдено","Нет сравнения")))</x:f>
        <x:v>1</x:v>
      </x:c>
      <x:c r="F61" s="15" t="str">
        <x:v>https://kozhaclinic.ru/inekcionnaya-kosmetologiya/lechenie-gipergidroza/botulinoterapiya-podmyshek/</x:v>
      </x:c>
      <x:c r="G61" s="26" t="n">
        <x:v>1</x:v>
      </x:c>
      <x:c r="H61" s="26" t="n">
        <x:v>1</x:v>
      </x:c>
      <x:c r="I61" s="28" t="n">
        <x:f>IF(AND(ISNUMBER(G61),ISNUMBER(H61)),G61-H61,IF(AND(G61="Не найдено",ISNUMBER(H61)),"Появился",IF(AND(ISNUMBER(G61),H61="Не найдено"),"Не найдено","Нет сравнения")))</x:f>
        <x:v>0</x:v>
      </x:c>
      <x:c r="J61" s="15" t="str">
        <x:v>https://kozhaclinic.ru/inekcionnaya-kosmetologiya/lechenie-gipergidroza/botulinoterapiya-podmyshek/</x:v>
      </x:c>
    </x:row>
    <x:row r="62" ht="40" customHeight="1">
      <x:c r="A62" s="14" t="str">
        <x:v>ботулинотерапия подмышек сургут</x:v>
      </x:c>
      <x:c r="B62" s="14" t="str">
        <x:v>Ботулинотерапия подмышек</x:v>
      </x:c>
      <x:c r="C62" s="27" t="n">
        <x:v>1</x:v>
      </x:c>
      <x:c r="D62" s="27" t="n">
        <x:v>1</x:v>
      </x:c>
      <x:c r="E62" s="29" t="n">
        <x:f>IF(AND(ISNUMBER(C62),ISNUMBER(D62)),C62-D62,IF(AND(C62="Не найдено",ISNUMBER(D62)),"Появился",IF(AND(ISNUMBER(C62),D62="Не найдено"),"Не найдено","Нет сравнения")))</x:f>
        <x:v>0</x:v>
      </x:c>
      <x:c r="F62" s="16" t="str">
        <x:v>https://kozhaclinic.ru/inekcionnaya-kosmetologiya/lechenie-gipergidroza/botulinoterapiya-podmyshek/</x:v>
      </x:c>
      <x:c r="G62" s="27" t="n">
        <x:v>1</x:v>
      </x:c>
      <x:c r="H62" s="27" t="n">
        <x:v>7</x:v>
      </x:c>
      <x:c r="I62" s="29" t="n">
        <x:f>IF(AND(ISNUMBER(G62),ISNUMBER(H62)),G62-H62,IF(AND(G62="Не найдено",ISNUMBER(H62)),"Появился",IF(AND(ISNUMBER(G62),H62="Не найдено"),"Не найдено","Нет сравнения")))</x:f>
        <x:v>-6</x:v>
      </x:c>
      <x:c r="J62" s="16" t="str">
        <x:v>https://kozhaclinic.ru/inekcionnaya-kosmetologiya/lechenie-gipergidroza/botulinoterapiya-podmyshek/</x:v>
      </x:c>
    </x:row>
    <x:row r="63" ht="40" customHeight="1">
      <x:c r="A63" s="12" t="str">
        <x:v>ботулинотерапия подмышек цена</x:v>
      </x:c>
      <x:c r="B63" s="12" t="str">
        <x:v>Ботулинотерапия подмышек</x:v>
      </x:c>
      <x:c r="C63" s="26" t="n">
        <x:v>2</x:v>
      </x:c>
      <x:c r="D63" s="26" t="n">
        <x:v>1</x:v>
      </x:c>
      <x:c r="E63" s="28" t="n">
        <x:f>IF(AND(ISNUMBER(C63),ISNUMBER(D63)),C63-D63,IF(AND(C63="Не найдено",ISNUMBER(D63)),"Появился",IF(AND(ISNUMBER(C63),D63="Не найдено"),"Не найдено","Нет сравнения")))</x:f>
        <x:v>1</x:v>
      </x:c>
      <x:c r="F63" s="15" t="str">
        <x:v>https://kozhaclinic.ru/inekcionnaya-kosmetologiya/lechenie-gipergidroza/botulinoterapiya-podmyshek/</x:v>
      </x:c>
      <x:c r="G63" s="26" t="n">
        <x:v>1</x:v>
      </x:c>
      <x:c r="H63" s="26" t="n">
        <x:v>1</x:v>
      </x:c>
      <x:c r="I63" s="28" t="n">
        <x:f>IF(AND(ISNUMBER(G63),ISNUMBER(H63)),G63-H63,IF(AND(G63="Не найдено",ISNUMBER(H63)),"Появился",IF(AND(ISNUMBER(G63),H63="Не найдено"),"Не найдено","Нет сравнения")))</x:f>
        <x:v>0</x:v>
      </x:c>
      <x:c r="J63" s="15" t="str">
        <x:v>https://kozhaclinic.ru/inekcionnaya-kosmetologiya/lechenie-gipergidroza/botulinoterapiya-podmyshek/</x:v>
      </x:c>
    </x:row>
    <x:row r="64" ht="40" customHeight="1">
      <x:c r="A64" s="14" t="str">
        <x:v>гипергидроз подмышек лечение цена</x:v>
      </x:c>
      <x:c r="B64" s="14" t="str">
        <x:v>Ботулинотерапия подмышек</x:v>
      </x:c>
      <x:c r="C64" s="27" t="n">
        <x:v>3</x:v>
      </x:c>
      <x:c r="D64" s="27" t="n">
        <x:v>3</x:v>
      </x:c>
      <x:c r="E64" s="29" t="n">
        <x:f>IF(AND(ISNUMBER(C64),ISNUMBER(D64)),C64-D64,IF(AND(C64="Не найдено",ISNUMBER(D64)),"Появился",IF(AND(ISNUMBER(C64),D64="Не найдено"),"Не найдено","Нет сравнения")))</x:f>
        <x:v>0</x:v>
      </x:c>
      <x:c r="F64" s="16" t="str">
        <x:v>https://kozhaclinic.ru/inekcionnaya-kosmetologiya/lechenie-gipergidroza/botulinoterapiya-podmyshek/</x:v>
      </x:c>
      <x:c r="G64" s="27" t="n">
        <x:v>3</x:v>
      </x:c>
      <x:c r="H64" s="27" t="n">
        <x:v>3</x:v>
      </x:c>
      <x:c r="I64" s="29" t="n">
        <x:f>IF(AND(ISNUMBER(G64),ISNUMBER(H64)),G64-H64,IF(AND(G64="Не найдено",ISNUMBER(H64)),"Появился",IF(AND(ISNUMBER(G64),H64="Не найдено"),"Не найдено","Нет сравнения")))</x:f>
        <x:v>0</x:v>
      </x:c>
      <x:c r="J64" s="16" t="str">
        <x:v>https://kozhaclinic.ru/inekcionnaya-kosmetologiya/lechenie-gipergidroza/</x:v>
      </x:c>
    </x:row>
    <x:row r="65" ht="40" customHeight="1">
      <x:c r="A65" s="12" t="str">
        <x:v>контурная пластика сургут</x:v>
      </x:c>
      <x:c r="B65" s="12" t="str">
        <x:v>Контурная пластика</x:v>
      </x:c>
      <x:c r="C65" s="26" t="n">
        <x:v>5</x:v>
      </x:c>
      <x:c r="D65" s="26" t="n">
        <x:v>6</x:v>
      </x:c>
      <x:c r="E65" s="28" t="n">
        <x:f>IF(AND(ISNUMBER(C65),ISNUMBER(D65)),C65-D65,IF(AND(C65="Не найдено",ISNUMBER(D65)),"Появился",IF(AND(ISNUMBER(C65),D65="Не найдено"),"Не найдено","Нет сравнения")))</x:f>
        <x:v>-1</x:v>
      </x:c>
      <x:c r="F65" s="15" t="str">
        <x:v>https://kozhaclinic.ru/inekcionnaya-kosmetologiya/konturnaya-plastika/konturnaya-plastika-litsa/</x:v>
      </x:c>
      <x:c r="G65" s="26" t="n">
        <x:v>4</x:v>
      </x:c>
      <x:c r="H65" s="26" t="n">
        <x:v>4</x:v>
      </x:c>
      <x:c r="I65" s="28" t="n">
        <x:f>IF(AND(ISNUMBER(G65),ISNUMBER(H65)),G65-H65,IF(AND(G65="Не найдено",ISNUMBER(H65)),"Появился",IF(AND(ISNUMBER(G65),H65="Не найдено"),"Не найдено","Нет сравнения")))</x:f>
        <x:v>0</x:v>
      </x:c>
      <x:c r="J65" s="15" t="str">
        <x:v>https://kozhaclinic.ru/inekcionnaya-kosmetologiya/konturnaya-plastika/konturnaya-plastika-litsa/</x:v>
      </x:c>
    </x:row>
    <x:row r="66" ht="40" customHeight="1">
      <x:c r="A66" s="14" t="str">
        <x:v>контурная пластика губ</x:v>
      </x:c>
      <x:c r="B66" s="14" t="str">
        <x:v>Контурная пластика губ</x:v>
      </x:c>
      <x:c r="C66" s="27" t="n">
        <x:v>4</x:v>
      </x:c>
      <x:c r="D66" s="27" t="n">
        <x:v>2</x:v>
      </x:c>
      <x:c r="E66" s="29" t="n">
        <x:f>IF(AND(ISNUMBER(C66),ISNUMBER(D66)),C66-D66,IF(AND(C66="Не найдено",ISNUMBER(D66)),"Появился",IF(AND(ISNUMBER(C66),D66="Не найдено"),"Не найдено","Нет сравнения")))</x:f>
        <x:v>2</x:v>
      </x:c>
      <x:c r="F66" s="16" t="str">
        <x:v>https://kozhaclinic.ru/inekcionnaya-kosmetologiya/konturnaya-plastika/uvelichenie-gub/</x:v>
      </x:c>
      <x:c r="G66" s="27" t="n">
        <x:v>3</x:v>
      </x:c>
      <x:c r="H66" s="27" t="n">
        <x:v>2</x:v>
      </x:c>
      <x:c r="I66" s="29" t="n">
        <x:f>IF(AND(ISNUMBER(G66),ISNUMBER(H66)),G66-H66,IF(AND(G66="Не найдено",ISNUMBER(H66)),"Появился",IF(AND(ISNUMBER(G66),H66="Не найдено"),"Не найдено","Нет сравнения")))</x:f>
        <x:v>1</x:v>
      </x:c>
      <x:c r="J66" s="16" t="str">
        <x:v>https://kozhaclinic.ru/inekcionnaya-kosmetologiya/konturnaya-plastika/uvelichenie-gub/</x:v>
      </x:c>
    </x:row>
    <x:row r="67" ht="40" customHeight="1">
      <x:c r="A67" s="12" t="str">
        <x:v>контурная пластика губ сургут</x:v>
      </x:c>
      <x:c r="B67" s="12" t="str">
        <x:v>Контурная пластика губ</x:v>
      </x:c>
      <x:c r="C67" s="26" t="n">
        <x:v>3</x:v>
      </x:c>
      <x:c r="D67" s="26" t="n">
        <x:v>1</x:v>
      </x:c>
      <x:c r="E67" s="28" t="n">
        <x:f>IF(AND(ISNUMBER(C67),ISNUMBER(D67)),C67-D67,IF(AND(C67="Не найдено",ISNUMBER(D67)),"Появился",IF(AND(ISNUMBER(C67),D67="Не найдено"),"Не найдено","Нет сравнения")))</x:f>
        <x:v>2</x:v>
      </x:c>
      <x:c r="F67" s="15" t="str">
        <x:v>https://kozhaclinic.ru/inekcionnaya-kosmetologiya/konturnaya-plastika/uvelichenie-gub/</x:v>
      </x:c>
      <x:c r="G67" s="26" t="n">
        <x:v>3</x:v>
      </x:c>
      <x:c r="H67" s="26" t="n">
        <x:v>3</x:v>
      </x:c>
      <x:c r="I67" s="28" t="n">
        <x:f>IF(AND(ISNUMBER(G67),ISNUMBER(H67)),G67-H67,IF(AND(G67="Не найдено",ISNUMBER(H67)),"Появился",IF(AND(ISNUMBER(G67),H67="Не найдено"),"Не найдено","Нет сравнения")))</x:f>
        <x:v>0</x:v>
      </x:c>
      <x:c r="J67" s="15" t="str">
        <x:v>https://kozhaclinic.ru/inekcionnaya-kosmetologiya/konturnaya-plastika/uvelichenie-gub/</x:v>
      </x:c>
    </x:row>
    <x:row r="68" ht="40" customHeight="1">
      <x:c r="A68" s="14" t="str">
        <x:v>контурная пластика лица</x:v>
      </x:c>
      <x:c r="B68" s="14" t="str">
        <x:v>Контурная пластика лица</x:v>
      </x:c>
      <x:c r="C68" s="27" t="n">
        <x:v>6</x:v>
      </x:c>
      <x:c r="D68" s="27" t="n">
        <x:v>2</x:v>
      </x:c>
      <x:c r="E68" s="29" t="n">
        <x:f>IF(AND(ISNUMBER(C68),ISNUMBER(D68)),C68-D68,IF(AND(C68="Не найдено",ISNUMBER(D68)),"Появился",IF(AND(ISNUMBER(C68),D68="Не найдено"),"Не найдено","Нет сравнения")))</x:f>
        <x:v>4</x:v>
      </x:c>
      <x:c r="F68" s="16" t="str">
        <x:v>https://kozhaclinic.ru/inekcionnaya-kosmetologiya/konturnaya-plastika/konturnaya-plastika-litsa/</x:v>
      </x:c>
      <x:c r="G68" s="27" t="n">
        <x:v>2</x:v>
      </x:c>
      <x:c r="H68" s="27" t="n">
        <x:v>8</x:v>
      </x:c>
      <x:c r="I68" s="29" t="n">
        <x:f>IF(AND(ISNUMBER(G68),ISNUMBER(H68)),G68-H68,IF(AND(G68="Не найдено",ISNUMBER(H68)),"Появился",IF(AND(ISNUMBER(G68),H68="Не найдено"),"Не найдено","Нет сравнения")))</x:f>
        <x:v>-6</x:v>
      </x:c>
      <x:c r="J68" s="16" t="str">
        <x:v>https://kozhaclinic.ru/inekcionnaya-kosmetologiya/konturnaya-plastika/konturnaya-plastika-litsa/</x:v>
      </x:c>
    </x:row>
    <x:row r="69" ht="40" customHeight="1">
      <x:c r="A69" s="12" t="str">
        <x:v>контурная пластика лица сургут</x:v>
      </x:c>
      <x:c r="B69" s="12" t="str">
        <x:v>Контурная пластика лица</x:v>
      </x:c>
      <x:c r="C69" s="26" t="n">
        <x:v>4</x:v>
      </x:c>
      <x:c r="D69" s="26" t="n">
        <x:v>5</x:v>
      </x:c>
      <x:c r="E69" s="28" t="n">
        <x:f>IF(AND(ISNUMBER(C69),ISNUMBER(D69)),C69-D69,IF(AND(C69="Не найдено",ISNUMBER(D69)),"Появился",IF(AND(ISNUMBER(C69),D69="Не найдено"),"Не найдено","Нет сравнения")))</x:f>
        <x:v>-1</x:v>
      </x:c>
      <x:c r="F69" s="15" t="str">
        <x:v>https://kozhaclinic.ru/inekcionnaya-kosmetologiya/konturnaya-plastika/konturnaya-plastika-litsa/</x:v>
      </x:c>
      <x:c r="G69" s="26" t="n">
        <x:v>3</x:v>
      </x:c>
      <x:c r="H69" s="26" t="n">
        <x:v>3</x:v>
      </x:c>
      <x:c r="I69" s="28" t="n">
        <x:f>IF(AND(ISNUMBER(G69),ISNUMBER(H69)),G69-H69,IF(AND(G69="Не найдено",ISNUMBER(H69)),"Появился",IF(AND(ISNUMBER(G69),H69="Не найдено"),"Не найдено","Нет сравнения")))</x:f>
        <x:v>0</x:v>
      </x:c>
      <x:c r="J69" s="15" t="str">
        <x:v>https://kozhaclinic.ru/inekcionnaya-kosmetologiya/konturnaya-plastika/konturnaya-plastika-litsa/</x:v>
      </x:c>
    </x:row>
    <x:row r="70" ht="40" customHeight="1">
      <x:c r="A70" s="14" t="str">
        <x:v>лечение гипергидроза сургут</x:v>
      </x:c>
      <x:c r="B70" s="14" t="str">
        <x:v>Лечение гипергидроза</x:v>
      </x:c>
      <x:c r="C70" s="27" t="n">
        <x:v>5</x:v>
      </x:c>
      <x:c r="D70" s="27" t="n">
        <x:v>4</x:v>
      </x:c>
      <x:c r="E70" s="29" t="n">
        <x:f>IF(AND(ISNUMBER(C70),ISNUMBER(D70)),C70-D70,IF(AND(C70="Не найдено",ISNUMBER(D70)),"Появился",IF(AND(ISNUMBER(C70),D70="Не найдено"),"Не найдено","Нет сравнения")))</x:f>
        <x:v>1</x:v>
      </x:c>
      <x:c r="F70" s="16" t="str">
        <x:v>https://kozhaclinic.ru/inekcionnaya-kosmetologiya/lechenie-gipergidroza/botulinoterapiya-podmyshek/</x:v>
      </x:c>
      <x:c r="G70" s="27" t="n">
        <x:v>4</x:v>
      </x:c>
      <x:c r="H70" s="27" t="n">
        <x:v>4</x:v>
      </x:c>
      <x:c r="I70" s="29" t="n">
        <x:f>IF(AND(ISNUMBER(G70),ISNUMBER(H70)),G70-H70,IF(AND(G70="Не найдено",ISNUMBER(H70)),"Появился",IF(AND(ISNUMBER(G70),H70="Не найдено"),"Не найдено","Нет сравнения")))</x:f>
        <x:v>0</x:v>
      </x:c>
      <x:c r="J70" s="16" t="str">
        <x:v>https://kozhaclinic.ru/inekcionnaya-kosmetologiya/lechenie-gipergidroza/</x:v>
      </x:c>
    </x:row>
    <x:row r="71" ht="40" customHeight="1">
      <x:c r="A71" s="12" t="str">
        <x:v>лечение гипергидроза ботоксом сургут</x:v>
      </x:c>
      <x:c r="B71" s="12" t="str">
        <x:v>Лечение гипергидроза</x:v>
      </x:c>
      <x:c r="C71" s="26" t="n">
        <x:v>3</x:v>
      </x:c>
      <x:c r="D71" s="26" t="n">
        <x:v>3</x:v>
      </x:c>
      <x:c r="E71" s="28" t="n">
        <x:f>IF(AND(ISNUMBER(C71),ISNUMBER(D71)),C71-D71,IF(AND(C71="Не найдено",ISNUMBER(D71)),"Появился",IF(AND(ISNUMBER(C71),D71="Не найдено"),"Не найдено","Нет сравнения")))</x:f>
        <x:v>0</x:v>
      </x:c>
      <x:c r="F71" s="15" t="str">
        <x:v>https://kozhaclinic.ru/inekcionnaya-kosmetologiya/lechenie-gipergidroza/botulinoterapiya-podmyshek/</x:v>
      </x:c>
      <x:c r="G71" s="26" t="n">
        <x:v>2</x:v>
      </x:c>
      <x:c r="H71" s="26" t="n">
        <x:v>2</x:v>
      </x:c>
      <x:c r="I71" s="28" t="n">
        <x:f>IF(AND(ISNUMBER(G71),ISNUMBER(H71)),G71-H71,IF(AND(G71="Не найдено",ISNUMBER(H71)),"Появился",IF(AND(ISNUMBER(G71),H71="Не найдено"),"Не найдено","Нет сравнения")))</x:f>
        <x:v>0</x:v>
      </x:c>
      <x:c r="J71" s="15" t="str">
        <x:v>https://kozhaclinic.ru/inekcionnaya-kosmetologiya/lechenie-gipergidroza/botulinoterapiya-podmyshek/</x:v>
      </x:c>
    </x:row>
    <x:row r="72" ht="40" customHeight="1">
      <x:c r="A72" s="14" t="str">
        <x:v>лечение повышенного потоотделения сургут</x:v>
      </x:c>
      <x:c r="B72" s="14" t="str">
        <x:v>Лечение гипергидроза</x:v>
      </x:c>
      <x:c r="C72" s="27" t="n">
        <x:v>4</x:v>
      </x:c>
      <x:c r="D72" s="27" t="n">
        <x:v>3</x:v>
      </x:c>
      <x:c r="E72" s="29" t="n">
        <x:f>IF(AND(ISNUMBER(C72),ISNUMBER(D72)),C72-D72,IF(AND(C72="Не найдено",ISNUMBER(D72)),"Появился",IF(AND(ISNUMBER(C72),D72="Не найдено"),"Не найдено","Нет сравнения")))</x:f>
        <x:v>1</x:v>
      </x:c>
      <x:c r="F72" s="16" t="str">
        <x:v>https://kozhaclinic.ru/inekcionnaya-kosmetologiya/lechenie-gipergidroza/botulinoterapiya-podmyshek/</x:v>
      </x:c>
      <x:c r="G72" s="27" t="n">
        <x:v>4</x:v>
      </x:c>
      <x:c r="H72" s="27" t="n">
        <x:v>4</x:v>
      </x:c>
      <x:c r="I72" s="29" t="n">
        <x:f>IF(AND(ISNUMBER(G72),ISNUMBER(H72)),G72-H72,IF(AND(G72="Не найдено",ISNUMBER(H72)),"Появился",IF(AND(ISNUMBER(G72),H72="Не найдено"),"Не найдено","Нет сравнения")))</x:f>
        <x:v>0</x:v>
      </x:c>
      <x:c r="J72" s="16" t="str">
        <x:v>https://kozhaclinic.ru/inekcionnaya-kosmetologiya/lechenie-gipergidroza/gipergidroz-stop/</x:v>
      </x:c>
    </x:row>
    <x:row r="73" ht="40" customHeight="1">
      <x:c r="A73" s="12" t="str">
        <x:v>лечение потоотделения сургут</x:v>
      </x:c>
      <x:c r="B73" s="12" t="str">
        <x:v>Лечение гипергидроза</x:v>
      </x:c>
      <x:c r="C73" s="26" t="n">
        <x:v>5</x:v>
      </x:c>
      <x:c r="D73" s="26" t="n">
        <x:v>3</x:v>
      </x:c>
      <x:c r="E73" s="28" t="n">
        <x:f>IF(AND(ISNUMBER(C73),ISNUMBER(D73)),C73-D73,IF(AND(C73="Не найдено",ISNUMBER(D73)),"Появился",IF(AND(ISNUMBER(C73),D73="Не найдено"),"Не найдено","Нет сравнения")))</x:f>
        <x:v>2</x:v>
      </x:c>
      <x:c r="F73" s="15" t="str">
        <x:v>https://kozhaclinic.ru/inekcionnaya-kosmetologiya/lechenie-gipergidroza/</x:v>
      </x:c>
      <x:c r="G73" s="26" t="n">
        <x:v>3</x:v>
      </x:c>
      <x:c r="H73" s="26" t="n">
        <x:v>3</x:v>
      </x:c>
      <x:c r="I73" s="28" t="n">
        <x:f>IF(AND(ISNUMBER(G73),ISNUMBER(H73)),G73-H73,IF(AND(G73="Не найдено",ISNUMBER(H73)),"Появился",IF(AND(ISNUMBER(G73),H73="Не найдено"),"Не найдено","Нет сравнения")))</x:f>
        <x:v>0</x:v>
      </x:c>
      <x:c r="J73" s="15" t="str">
        <x:v>https://kozhaclinic.ru/inekcionnaya-kosmetologiya/lechenie-gipergidroza/</x:v>
      </x:c>
    </x:row>
    <x:row r="74" ht="40" customHeight="1">
      <x:c r="A74" s="14" t="str">
        <x:v>плазмолифтинг головы сургут</x:v>
      </x:c>
      <x:c r="B74" s="14" t="str">
        <x:v>Плазмолифтинг для волос</x:v>
      </x:c>
      <x:c r="C74" s="27" t="n">
        <x:v>2</x:v>
      </x:c>
      <x:c r="D74" s="27" t="n">
        <x:v>2</x:v>
      </x:c>
      <x:c r="E74" s="29" t="n">
        <x:f>IF(AND(ISNUMBER(C74),ISNUMBER(D74)),C74-D74,IF(AND(C74="Не найдено",ISNUMBER(D74)),"Появился",IF(AND(ISNUMBER(C74),D74="Не найдено"),"Не найдено","Нет сравнения")))</x:f>
        <x:v>0</x:v>
      </x:c>
      <x:c r="F74" s="16" t="str">
        <x:v>https://kozhaclinic.ru/inekcionnaya-kosmetologiya/omolozhenie-i-pitanie-kozhi/plazmolifting-dlya-volos/</x:v>
      </x:c>
      <x:c r="G74" s="27" t="n">
        <x:v>2</x:v>
      </x:c>
      <x:c r="H74" s="27" t="n">
        <x:v>2</x:v>
      </x:c>
      <x:c r="I74" s="29" t="n">
        <x:f>IF(AND(ISNUMBER(G74),ISNUMBER(H74)),G74-H74,IF(AND(G74="Не найдено",ISNUMBER(H74)),"Появился",IF(AND(ISNUMBER(G74),H74="Не найдено"),"Не найдено","Нет сравнения")))</x:f>
        <x:v>0</x:v>
      </x:c>
      <x:c r="J74" s="16" t="str">
        <x:v>https://kozhaclinic.ru/inekcionnaya-kosmetologiya/omolozhenie-i-pitanie-kozhi/plazmolifting-dlya-volos/</x:v>
      </x:c>
    </x:row>
    <x:row r="75" ht="40" customHeight="1">
      <x:c r="A75" s="12" t="str">
        <x:v>плазмолифтинг волос сургут</x:v>
      </x:c>
      <x:c r="B75" s="12" t="str">
        <x:v>Плазмолифтинг для волос</x:v>
      </x:c>
      <x:c r="C75" s="26" t="n">
        <x:v>1</x:v>
      </x:c>
      <x:c r="D75" s="26" t="n">
        <x:v>1</x:v>
      </x:c>
      <x:c r="E75" s="28" t="n">
        <x:f>IF(AND(ISNUMBER(C75),ISNUMBER(D75)),C75-D75,IF(AND(C75="Не найдено",ISNUMBER(D75)),"Появился",IF(AND(ISNUMBER(C75),D75="Не найдено"),"Не найдено","Нет сравнения")))</x:f>
        <x:v>0</x:v>
      </x:c>
      <x:c r="F75" s="15" t="str">
        <x:v>https://kozhaclinic.ru/inekcionnaya-kosmetologiya/omolozhenie-i-pitanie-kozhi/plazmolifting-dlya-volos/</x:v>
      </x:c>
      <x:c r="G75" s="26" t="n">
        <x:v>3</x:v>
      </x:c>
      <x:c r="H75" s="26" t="n">
        <x:v>3</x:v>
      </x:c>
      <x:c r="I75" s="28" t="n">
        <x:f>IF(AND(ISNUMBER(G75),ISNUMBER(H75)),G75-H75,IF(AND(G75="Не найдено",ISNUMBER(H75)),"Появился",IF(AND(ISNUMBER(G75),H75="Не найдено"),"Не найдено","Нет сравнения")))</x:f>
        <x:v>0</x:v>
      </x:c>
      <x:c r="J75" s="15" t="str">
        <x:v>https://kozhaclinic.ru/vypadenie-volos-rgr-terapiya/</x:v>
      </x:c>
    </x:row>
    <x:row r="76" ht="40" customHeight="1">
      <x:c r="A76" s="14" t="str">
        <x:v>плазмолифтинг для волос цена</x:v>
      </x:c>
      <x:c r="B76" s="14" t="str">
        <x:v>Плазмолифтинг для волос</x:v>
      </x:c>
      <x:c r="C76" s="27" t="n">
        <x:v>1</x:v>
      </x:c>
      <x:c r="D76" s="27" t="n">
        <x:v>1</x:v>
      </x:c>
      <x:c r="E76" s="29" t="n">
        <x:f>IF(AND(ISNUMBER(C76),ISNUMBER(D76)),C76-D76,IF(AND(C76="Не найдено",ISNUMBER(D76)),"Появился",IF(AND(ISNUMBER(C76),D76="Не найдено"),"Не найдено","Нет сравнения")))</x:f>
        <x:v>0</x:v>
      </x:c>
      <x:c r="F76" s="16" t="str">
        <x:v>https://kozhaclinic.ru/inekcionnaya-kosmetologiya/omolozhenie-i-pitanie-kozhi/plazmolifting-dlya-volos/</x:v>
      </x:c>
      <x:c r="G76" s="27" t="n">
        <x:v>1</x:v>
      </x:c>
      <x:c r="H76" s="27" t="n">
        <x:v>1</x:v>
      </x:c>
      <x:c r="I76" s="29" t="n">
        <x:f>IF(AND(ISNUMBER(G76),ISNUMBER(H76)),G76-H76,IF(AND(G76="Не найдено",ISNUMBER(H76)),"Появился",IF(AND(ISNUMBER(G76),H76="Не найдено"),"Не найдено","Нет сравнения")))</x:f>
        <x:v>0</x:v>
      </x:c>
      <x:c r="J76" s="16" t="str">
        <x:v>https://kozhaclinic.ru/inekcionnaya-kosmetologiya/omolozhenie-i-pitanie-kozhi/plazmolifting-dlya-volos/</x:v>
      </x:c>
    </x:row>
    <x:row r="77" ht="40" customHeight="1">
      <x:c r="A77" s="12" t="str">
        <x:v>биоревитализация лица сургут</x:v>
      </x:c>
      <x:c r="B77" s="12" t="str">
        <x:v>Биоревитализация</x:v>
      </x:c>
      <x:c r="C77" s="26" t="n">
        <x:v>5</x:v>
      </x:c>
      <x:c r="D77" s="26" t="n">
        <x:v>5</x:v>
      </x:c>
      <x:c r="E77" s="28" t="n">
        <x:f>IF(AND(ISNUMBER(C77),ISNUMBER(D77)),C77-D77,IF(AND(C77="Не найдено",ISNUMBER(D77)),"Появился",IF(AND(ISNUMBER(C77),D77="Не найдено"),"Не найдено","Нет сравнения")))</x:f>
        <x:v>0</x:v>
      </x:c>
      <x:c r="F77" s="15" t="str">
        <x:v>https://kozhaclinic.ru/inekcionnaya-kosmetologiya/omolozhenie-i-pitanie-kozhi/biorevitalizatsiya/</x:v>
      </x:c>
      <x:c r="G77" s="26" t="n">
        <x:v>3</x:v>
      </x:c>
      <x:c r="H77" s="26" t="n">
        <x:v>3</x:v>
      </x:c>
      <x:c r="I77" s="28" t="n">
        <x:f>IF(AND(ISNUMBER(G77),ISNUMBER(H77)),G77-H77,IF(AND(G77="Не найдено",ISNUMBER(H77)),"Появился",IF(AND(ISNUMBER(G77),H77="Не найдено"),"Не найдено","Нет сравнения")))</x:f>
        <x:v>0</x:v>
      </x:c>
      <x:c r="J77" s="15" t="str">
        <x:v>https://kozhaclinic.ru/inekcionnaya-kosmetologiya/omolozhenie-i-pitanie-kozhi/biorevitalizatsiya/</x:v>
      </x:c>
    </x:row>
    <x:row r="78" ht="40" customHeight="1">
      <x:c r="A78" s="14" t="str">
        <x:v>биоревитализация сургут</x:v>
      </x:c>
      <x:c r="B78" s="14" t="str">
        <x:v>Биоревитализация</x:v>
      </x:c>
      <x:c r="C78" s="27" t="n">
        <x:v>4</x:v>
      </x:c>
      <x:c r="D78" s="27" t="n">
        <x:v>4</x:v>
      </x:c>
      <x:c r="E78" s="29" t="n">
        <x:f>IF(AND(ISNUMBER(C78),ISNUMBER(D78)),C78-D78,IF(AND(C78="Не найдено",ISNUMBER(D78)),"Появился",IF(AND(ISNUMBER(C78),D78="Не найдено"),"Не найдено","Нет сравнения")))</x:f>
        <x:v>0</x:v>
      </x:c>
      <x:c r="F78" s="16" t="str">
        <x:v>https://kozhaclinic.ru/inekcionnaya-kosmetologiya/omolozhenie-i-pitanie-kozhi/biorevitalizatsiya/</x:v>
      </x:c>
      <x:c r="G78" s="27" t="n">
        <x:v>3</x:v>
      </x:c>
      <x:c r="H78" s="27" t="n">
        <x:v>3</x:v>
      </x:c>
      <x:c r="I78" s="29" t="n">
        <x:f>IF(AND(ISNUMBER(G78),ISNUMBER(H78)),G78-H78,IF(AND(G78="Не найдено",ISNUMBER(H78)),"Появился",IF(AND(ISNUMBER(G78),H78="Не найдено"),"Не найдено","Нет сравнения")))</x:f>
        <x:v>0</x:v>
      </x:c>
      <x:c r="J78" s="16" t="str">
        <x:v>https://kozhaclinic.ru/inekcionnaya-kosmetologiya/omolozhenie-i-pitanie-kozhi/biorevitalizatsiya/</x:v>
      </x:c>
    </x:row>
    <x:row r="79" ht="40" customHeight="1">
      <x:c r="A79" s="12" t="str">
        <x:v>биоревитализация сургут цена</x:v>
      </x:c>
      <x:c r="B79" s="12" t="str">
        <x:v>Биоревитализация</x:v>
      </x:c>
      <x:c r="C79" s="26" t="n">
        <x:v>3</x:v>
      </x:c>
      <x:c r="D79" s="26" t="n">
        <x:v>4</x:v>
      </x:c>
      <x:c r="E79" s="28" t="n">
        <x:f>IF(AND(ISNUMBER(C79),ISNUMBER(D79)),C79-D79,IF(AND(C79="Не найдено",ISNUMBER(D79)),"Появился",IF(AND(ISNUMBER(C79),D79="Не найдено"),"Не найдено","Нет сравнения")))</x:f>
        <x:v>-1</x:v>
      </x:c>
      <x:c r="F79" s="15" t="str">
        <x:v>https://kozhaclinic.ru/inekcionnaya-kosmetologiya/omolozhenie-i-pitanie-kozhi/biorevitalizatsiya/</x:v>
      </x:c>
      <x:c r="G79" s="26" t="n">
        <x:v>3</x:v>
      </x:c>
      <x:c r="H79" s="26" t="n">
        <x:v>4</x:v>
      </x:c>
      <x:c r="I79" s="28" t="n">
        <x:f>IF(AND(ISNUMBER(G79),ISNUMBER(H79)),G79-H79,IF(AND(G79="Не найдено",ISNUMBER(H79)),"Появился",IF(AND(ISNUMBER(G79),H79="Не найдено"),"Не найдено","Нет сравнения")))</x:f>
        <x:v>-1</x:v>
      </x:c>
      <x:c r="J79" s="15" t="str">
        <x:v>https://kozhaclinic.ru/inekcionnaya-kosmetologiya/omolozhenie-i-pitanie-kozhi/biorevitalizatsiya/</x:v>
      </x:c>
    </x:row>
    <x:row r="80" ht="40" customHeight="1">
      <x:c r="A80" s="14" t="str">
        <x:v>биоревитализация цена</x:v>
      </x:c>
      <x:c r="B80" s="14" t="str">
        <x:v>Биоревитализация</x:v>
      </x:c>
      <x:c r="C80" s="27" t="n">
        <x:v>10</x:v>
      </x:c>
      <x:c r="D80" s="27" t="n">
        <x:v>4</x:v>
      </x:c>
      <x:c r="E80" s="29" t="n">
        <x:f>IF(AND(ISNUMBER(C80),ISNUMBER(D80)),C80-D80,IF(AND(C80="Не найдено",ISNUMBER(D80)),"Появился",IF(AND(ISNUMBER(C80),D80="Не найдено"),"Не найдено","Нет сравнения")))</x:f>
        <x:v>6</x:v>
      </x:c>
      <x:c r="F80" s="16" t="str">
        <x:v>https://kozhaclinic.ru/inekcionnaya-kosmetologiya/omolozhenie-i-pitanie-kozhi/biorevitalizatsiya/</x:v>
      </x:c>
      <x:c r="G80" s="27" t="n">
        <x:v>2</x:v>
      </x:c>
      <x:c r="H80" s="27" t="n">
        <x:v>1</x:v>
      </x:c>
      <x:c r="I80" s="29" t="n">
        <x:f>IF(AND(ISNUMBER(G80),ISNUMBER(H80)),G80-H80,IF(AND(G80="Не найдено",ISNUMBER(H80)),"Появился",IF(AND(ISNUMBER(G80),H80="Не найдено"),"Не найдено","Нет сравнения")))</x:f>
        <x:v>1</x:v>
      </x:c>
      <x:c r="J80" s="16" t="str">
        <x:v>https://kozhaclinic.ru/inekcionnaya-kosmetologiya/omolozhenie-i-pitanie-kozhi/biorevitalizatsiya/</x:v>
      </x:c>
    </x:row>
    <x:row r="81" ht="40" customHeight="1">
      <x:c r="A81" s="12" t="str">
        <x:v>бланширование лица сургут</x:v>
      </x:c>
      <x:c r="B81" s="12" t="str">
        <x:v>Бланширование</x:v>
      </x:c>
      <x:c r="C81" s="26" t="n">
        <x:v>1</x:v>
      </x:c>
      <x:c r="D81" s="26" t="n">
        <x:v>1</x:v>
      </x:c>
      <x:c r="E81" s="28" t="n">
        <x:f>IF(AND(ISNUMBER(C81),ISNUMBER(D81)),C81-D81,IF(AND(C81="Не найдено",ISNUMBER(D81)),"Появился",IF(AND(ISNUMBER(C81),D81="Не найдено"),"Не найдено","Нет сравнения")))</x:f>
        <x:v>0</x:v>
      </x:c>
      <x:c r="F81" s="15" t="str">
        <x:v>https://kozhaclinic.ru/inekcionnaya-kosmetologiya/konturnaya-plastika/blanshirovanie/</x:v>
      </x:c>
      <x:c r="G81" s="26" t="n">
        <x:v>1</x:v>
      </x:c>
      <x:c r="H81" s="26" t="n">
        <x:v>1</x:v>
      </x:c>
      <x:c r="I81" s="28" t="n">
        <x:f>IF(AND(ISNUMBER(G81),ISNUMBER(H81)),G81-H81,IF(AND(G81="Не найдено",ISNUMBER(H81)),"Появился",IF(AND(ISNUMBER(G81),H81="Не найдено"),"Не найдено","Нет сравнения")))</x:f>
        <x:v>0</x:v>
      </x:c>
      <x:c r="J81" s="15" t="str">
        <x:v>https://kozhaclinic.ru/inekcionnaya-kosmetologiya/konturnaya-plastika/blanshirovanie/</x:v>
      </x:c>
    </x:row>
    <x:row r="82" ht="40" customHeight="1">
      <x:c r="A82" s="14" t="str">
        <x:v>бланширование морщин сургут</x:v>
      </x:c>
      <x:c r="B82" s="14" t="str">
        <x:v>Бланширование</x:v>
      </x:c>
      <x:c r="C82" s="27" t="n">
        <x:v>1</x:v>
      </x:c>
      <x:c r="D82" s="27" t="n">
        <x:v>1</x:v>
      </x:c>
      <x:c r="E82" s="29" t="n">
        <x:f>IF(AND(ISNUMBER(C82),ISNUMBER(D82)),C82-D82,IF(AND(C82="Не найдено",ISNUMBER(D82)),"Появился",IF(AND(ISNUMBER(C82),D82="Не найдено"),"Не найдено","Нет сравнения")))</x:f>
        <x:v>0</x:v>
      </x:c>
      <x:c r="F82" s="16" t="str">
        <x:v>https://kozhaclinic.ru/inekcionnaya-kosmetologiya/konturnaya-plastika/blanshirovanie/</x:v>
      </x:c>
      <x:c r="G82" s="27" t="n">
        <x:v>1</x:v>
      </x:c>
      <x:c r="H82" s="27" t="n">
        <x:v>1</x:v>
      </x:c>
      <x:c r="I82" s="29" t="n">
        <x:f>IF(AND(ISNUMBER(G82),ISNUMBER(H82)),G82-H82,IF(AND(G82="Не найдено",ISNUMBER(H82)),"Появился",IF(AND(ISNUMBER(G82),H82="Не найдено"),"Не найдено","Нет сравнения")))</x:f>
        <x:v>0</x:v>
      </x:c>
      <x:c r="J82" s="16" t="str">
        <x:v>https://kozhaclinic.ru/inekcionnaya-kosmetologiya/konturnaya-plastika/blanshirovanie/</x:v>
      </x:c>
    </x:row>
    <x:row r="83" ht="40" customHeight="1">
      <x:c r="A83" s="12" t="str">
        <x:v>бланширование сургут</x:v>
      </x:c>
      <x:c r="B83" s="12" t="str">
        <x:v>Бланширование</x:v>
      </x:c>
      <x:c r="C83" s="26" t="n">
        <x:v>2</x:v>
      </x:c>
      <x:c r="D83" s="26" t="n">
        <x:v>2</x:v>
      </x:c>
      <x:c r="E83" s="28" t="n">
        <x:f>IF(AND(ISNUMBER(C83),ISNUMBER(D83)),C83-D83,IF(AND(C83="Не найдено",ISNUMBER(D83)),"Появился",IF(AND(ISNUMBER(C83),D83="Не найдено"),"Не найдено","Нет сравнения")))</x:f>
        <x:v>0</x:v>
      </x:c>
      <x:c r="F83" s="15" t="str">
        <x:v>https://kozhaclinic.ru/inekcionnaya-kosmetologiya/konturnaya-plastika/blanshirovanie/</x:v>
      </x:c>
      <x:c r="G83" s="26" t="n">
        <x:v>1</x:v>
      </x:c>
      <x:c r="H83" s="26" t="n">
        <x:v>1</x:v>
      </x:c>
      <x:c r="I83" s="28" t="n">
        <x:f>IF(AND(ISNUMBER(G83),ISNUMBER(H83)),G83-H83,IF(AND(G83="Не найдено",ISNUMBER(H83)),"Появился",IF(AND(ISNUMBER(G83),H83="Не найдено"),"Не найдено","Нет сравнения")))</x:f>
        <x:v>0</x:v>
      </x:c>
      <x:c r="J83" s="15" t="str">
        <x:v>https://kozhaclinic.ru/inekcionnaya-kosmetologiya/konturnaya-plastika/blanshirovanie/</x:v>
      </x:c>
    </x:row>
    <x:row r="84" ht="40" customHeight="1">
      <x:c r="A84" s="14" t="str">
        <x:v>ботокс сургут</x:v>
      </x:c>
      <x:c r="B84" s="14" t="str">
        <x:v>Ботулинотерапия</x:v>
      </x:c>
      <x:c r="C84" s="27" t="n">
        <x:v>3</x:v>
      </x:c>
      <x:c r="D84" s="27" t="n">
        <x:v>4</x:v>
      </x:c>
      <x:c r="E84" s="29" t="n">
        <x:f>IF(AND(ISNUMBER(C84),ISNUMBER(D84)),C84-D84,IF(AND(C84="Не найдено",ISNUMBER(D84)),"Появился",IF(AND(ISNUMBER(C84),D84="Не найдено"),"Не найдено","Нет сравнения")))</x:f>
        <x:v>-1</x:v>
      </x:c>
      <x:c r="F84" s="16" t="str">
        <x:v>https://kozhaclinic.ru/inekcionnaya-kosmetologiya/botulinoterapiya/</x:v>
      </x:c>
      <x:c r="G84" s="27" t="n">
        <x:v>1</x:v>
      </x:c>
      <x:c r="H84" s="27" t="n">
        <x:v>2</x:v>
      </x:c>
      <x:c r="I84" s="29" t="n">
        <x:f>IF(AND(ISNUMBER(G84),ISNUMBER(H84)),G84-H84,IF(AND(G84="Не найдено",ISNUMBER(H84)),"Появился",IF(AND(ISNUMBER(G84),H84="Не найдено"),"Не найдено","Нет сравнения")))</x:f>
        <x:v>-1</x:v>
      </x:c>
      <x:c r="J84" s="16" t="str">
        <x:v>https://kozhaclinic.ru/inekcionnaya-kosmetologiya/botulinoterapiya/</x:v>
      </x:c>
    </x:row>
    <x:row r="85" ht="40" customHeight="1">
      <x:c r="A85" s="12" t="str">
        <x:v>ботулинотерапия сургут</x:v>
      </x:c>
      <x:c r="B85" s="12" t="str">
        <x:v>Ботулинотерапия</x:v>
      </x:c>
      <x:c r="C85" s="26" t="n">
        <x:v>1</x:v>
      </x:c>
      <x:c r="D85" s="26" t="n">
        <x:v>3</x:v>
      </x:c>
      <x:c r="E85" s="28" t="n">
        <x:f>IF(AND(ISNUMBER(C85),ISNUMBER(D85)),C85-D85,IF(AND(C85="Не найдено",ISNUMBER(D85)),"Появился",IF(AND(ISNUMBER(C85),D85="Не найдено"),"Не найдено","Нет сравнения")))</x:f>
        <x:v>-2</x:v>
      </x:c>
      <x:c r="F85" s="15" t="str">
        <x:v>https://kozhaclinic.ru/inekcionnaya-kosmetologiya/botulinoterapiya/</x:v>
      </x:c>
      <x:c r="G85" s="26" t="n">
        <x:v>4</x:v>
      </x:c>
      <x:c r="H85" s="26" t="n">
        <x:v>4</x:v>
      </x:c>
      <x:c r="I85" s="28" t="n">
        <x:f>IF(AND(ISNUMBER(G85),ISNUMBER(H85)),G85-H85,IF(AND(G85="Не найдено",ISNUMBER(H85)),"Появился",IF(AND(ISNUMBER(G85),H85="Не найдено"),"Не найдено","Нет сравнения")))</x:f>
        <x:v>0</x:v>
      </x:c>
      <x:c r="J85" s="15" t="str">
        <x:v>https://kozhaclinic.ru/inekcionnaya-kosmetologiya/botulinoterapiya/</x:v>
      </x:c>
    </x:row>
    <x:row r="86" ht="40" customHeight="1">
      <x:c r="A86" s="14" t="str">
        <x:v>ботулинотерапия цена</x:v>
      </x:c>
      <x:c r="B86" s="14" t="str">
        <x:v>Ботулинотерапия</x:v>
      </x:c>
      <x:c r="C86" s="27" t="n">
        <x:v>4</x:v>
      </x:c>
      <x:c r="D86" s="27" t="n">
        <x:v>2</x:v>
      </x:c>
      <x:c r="E86" s="29" t="n">
        <x:f>IF(AND(ISNUMBER(C86),ISNUMBER(D86)),C86-D86,IF(AND(C86="Не найдено",ISNUMBER(D86)),"Появился",IF(AND(ISNUMBER(C86),D86="Не найдено"),"Не найдено","Нет сравнения")))</x:f>
        <x:v>2</x:v>
      </x:c>
      <x:c r="F86" s="16" t="str">
        <x:v>https://kozhaclinic.ru/inekcionnaya-kosmetologiya/botulinoterapiya/full-face/</x:v>
      </x:c>
      <x:c r="G86" s="27" t="n">
        <x:v>2</x:v>
      </x:c>
      <x:c r="H86" s="27" t="n">
        <x:v>2</x:v>
      </x:c>
      <x:c r="I86" s="29" t="n">
        <x:f>IF(AND(ISNUMBER(G86),ISNUMBER(H86)),G86-H86,IF(AND(G86="Не найдено",ISNUMBER(H86)),"Появился",IF(AND(ISNUMBER(G86),H86="Не найдено"),"Не найдено","Нет сравнения")))</x:f>
        <x:v>0</x:v>
      </x:c>
      <x:c r="J86" s="16" t="str">
        <x:v>https://kozhaclinic.ru/inekcionnaya-kosmetologiya/botulinoterapiya/</x:v>
      </x:c>
    </x:row>
    <x:row r="87" ht="40" customHeight="1">
      <x:c r="A87" s="12" t="str">
        <x:v>инъекции ботокса сургут</x:v>
      </x:c>
      <x:c r="B87" s="12" t="str">
        <x:v>Ботулинотерапия</x:v>
      </x:c>
      <x:c r="C87" s="26" t="n">
        <x:v>1</x:v>
      </x:c>
      <x:c r="D87" s="26" t="n">
        <x:v>1</x:v>
      </x:c>
      <x:c r="E87" s="28" t="n">
        <x:f>IF(AND(ISNUMBER(C87),ISNUMBER(D87)),C87-D87,IF(AND(C87="Не найдено",ISNUMBER(D87)),"Появился",IF(AND(ISNUMBER(C87),D87="Не найдено"),"Не найдено","Нет сравнения")))</x:f>
        <x:v>0</x:v>
      </x:c>
      <x:c r="F87" s="15" t="str">
        <x:v>https://kozhaclinic.ru/inekcionnaya-kosmetologiya/botulinoterapiya/</x:v>
      </x:c>
      <x:c r="G87" s="26" t="n">
        <x:v>1</x:v>
      </x:c>
      <x:c r="H87" s="26" t="n">
        <x:v>1</x:v>
      </x:c>
      <x:c r="I87" s="28" t="n">
        <x:f>IF(AND(ISNUMBER(G87),ISNUMBER(H87)),G87-H87,IF(AND(G87="Не найдено",ISNUMBER(H87)),"Появился",IF(AND(ISNUMBER(G87),H87="Не найдено"),"Не найдено","Нет сравнения")))</x:f>
        <x:v>0</x:v>
      </x:c>
      <x:c r="J87" s="15" t="str">
        <x:v>https://kozhaclinic.ru/inekcionnaya-kosmetologiya/botulinoterapiya/</x:v>
      </x:c>
    </x:row>
    <x:row r="88" ht="40" customHeight="1">
      <x:c r="A88" s="14" t="str">
        <x:v>выведение филлера сургут</x:v>
      </x:c>
      <x:c r="B88" s="14" t="str">
        <x:v>Выведение филлера на основе гиалуроновой кислоты</x:v>
      </x:c>
      <x:c r="C88" s="27" t="n">
        <x:v>1</x:v>
      </x:c>
      <x:c r="D88" s="27" t="n">
        <x:v>1</x:v>
      </x:c>
      <x:c r="E88" s="29" t="n">
        <x:f>IF(AND(ISNUMBER(C88),ISNUMBER(D88)),C88-D88,IF(AND(C88="Не найдено",ISNUMBER(D88)),"Появился",IF(AND(ISNUMBER(C88),D88="Не найдено"),"Не найдено","Нет сравнения")))</x:f>
        <x:v>0</x:v>
      </x:c>
      <x:c r="F88" s="16" t="str">
        <x:v>https://kozhaclinic.ru/inekcionnaya-kosmetologiya/vyvedenie-fillera/</x:v>
      </x:c>
      <x:c r="G88" s="27" t="n">
        <x:v>1</x:v>
      </x:c>
      <x:c r="H88" s="27" t="n">
        <x:v>1</x:v>
      </x:c>
      <x:c r="I88" s="29" t="n">
        <x:f>IF(AND(ISNUMBER(G88),ISNUMBER(H88)),G88-H88,IF(AND(G88="Не найдено",ISNUMBER(H88)),"Появился",IF(AND(ISNUMBER(G88),H88="Не найдено"),"Не найдено","Нет сравнения")))</x:f>
        <x:v>0</x:v>
      </x:c>
      <x:c r="J88" s="16" t="str">
        <x:v>https://kozhaclinic.ru/inekcionnaya-kosmetologiya/vyvedenie-fillera/</x:v>
      </x:c>
    </x:row>
    <x:row r="89" ht="40" customHeight="1">
      <x:c r="A89" s="12" t="str">
        <x:v>выведение филлера из губ сургут</x:v>
      </x:c>
      <x:c r="B89" s="12" t="str">
        <x:v>Выведение филлера на основе гиалуроновой кислоты</x:v>
      </x:c>
      <x:c r="C89" s="26" t="n">
        <x:v>1</x:v>
      </x:c>
      <x:c r="D89" s="26" t="n">
        <x:v>1</x:v>
      </x:c>
      <x:c r="E89" s="28" t="n">
        <x:f>IF(AND(ISNUMBER(C89),ISNUMBER(D89)),C89-D89,IF(AND(C89="Не найдено",ISNUMBER(D89)),"Появился",IF(AND(ISNUMBER(C89),D89="Не найдено"),"Не найдено","Нет сравнения")))</x:f>
        <x:v>0</x:v>
      </x:c>
      <x:c r="F89" s="15" t="str">
        <x:v>https://kozhaclinic.ru/inekcionnaya-kosmetologiya/vyvedenie-fillera/</x:v>
      </x:c>
      <x:c r="G89" s="26" t="n">
        <x:v>1</x:v>
      </x:c>
      <x:c r="H89" s="26" t="n">
        <x:v>2</x:v>
      </x:c>
      <x:c r="I89" s="28" t="n">
        <x:f>IF(AND(ISNUMBER(G89),ISNUMBER(H89)),G89-H89,IF(AND(G89="Не найдено",ISNUMBER(H89)),"Появился",IF(AND(ISNUMBER(G89),H89="Не найдено"),"Не найдено","Нет сравнения")))</x:f>
        <x:v>-1</x:v>
      </x:c>
      <x:c r="J89" s="15" t="str">
        <x:v>https://kozhaclinic.ru/inekcionnaya-kosmetologiya/vyvedenie-fillera/</x:v>
      </x:c>
    </x:row>
    <x:row r="90" ht="40" customHeight="1">
      <x:c r="A90" s="14" t="str">
        <x:v>удаление филлера сургут</x:v>
      </x:c>
      <x:c r="B90" s="14" t="str">
        <x:v>Выведение филлера на основе гиалуроновой кислоты</x:v>
      </x:c>
      <x:c r="C90" s="27" t="n">
        <x:v>1</x:v>
      </x:c>
      <x:c r="D90" s="27" t="n">
        <x:v>2</x:v>
      </x:c>
      <x:c r="E90" s="29" t="n">
        <x:f>IF(AND(ISNUMBER(C90),ISNUMBER(D90)),C90-D90,IF(AND(C90="Не найдено",ISNUMBER(D90)),"Появился",IF(AND(ISNUMBER(C90),D90="Не найдено"),"Не найдено","Нет сравнения")))</x:f>
        <x:v>-1</x:v>
      </x:c>
      <x:c r="F90" s="16" t="str">
        <x:v>https://kozhaclinic.ru/inekcionnaya-kosmetologiya/vyvedenie-fillera/</x:v>
      </x:c>
      <x:c r="G90" s="27" t="n">
        <x:v>2</x:v>
      </x:c>
      <x:c r="H90" s="27" t="n">
        <x:v>2</x:v>
      </x:c>
      <x:c r="I90" s="29" t="n">
        <x:f>IF(AND(ISNUMBER(G90),ISNUMBER(H90)),G90-H90,IF(AND(G90="Не найдено",ISNUMBER(H90)),"Появился",IF(AND(ISNUMBER(G90),H90="Не найдено"),"Не найдено","Нет сравнения")))</x:f>
        <x:v>0</x:v>
      </x:c>
      <x:c r="J90" s="16" t="str">
        <x:v>https://kozhaclinic.ru/inekcionnaya-kosmetologiya/vyvedenie-fillera/</x:v>
      </x:c>
    </x:row>
    <x:row r="91" ht="40" customHeight="1">
      <x:c r="A91" s="12" t="str">
        <x:v>удаление филлера из губ сургут</x:v>
      </x:c>
      <x:c r="B91" s="12" t="str">
        <x:v>Выведение филлера на основе гиалуроновой кислоты</x:v>
      </x:c>
      <x:c r="C91" s="26" t="n">
        <x:v>2</x:v>
      </x:c>
      <x:c r="D91" s="26" t="n">
        <x:v>2</x:v>
      </x:c>
      <x:c r="E91" s="28" t="n">
        <x:f>IF(AND(ISNUMBER(C91),ISNUMBER(D91)),C91-D91,IF(AND(C91="Не найдено",ISNUMBER(D91)),"Появился",IF(AND(ISNUMBER(C91),D91="Не найдено"),"Не найдено","Нет сравнения")))</x:f>
        <x:v>0</x:v>
      </x:c>
      <x:c r="F91" s="15" t="str">
        <x:v>https://kozhaclinic.ru/inekcionnaya-kosmetologiya/vyvedenie-fillera/</x:v>
      </x:c>
      <x:c r="G91" s="26" t="n">
        <x:v>4</x:v>
      </x:c>
      <x:c r="H91" s="26" t="n">
        <x:v>3</x:v>
      </x:c>
      <x:c r="I91" s="28" t="n">
        <x:f>IF(AND(ISNUMBER(G91),ISNUMBER(H91)),G91-H91,IF(AND(G91="Не найдено",ISNUMBER(H91)),"Появился",IF(AND(ISNUMBER(G91),H91="Не найдено"),"Не найдено","Нет сравнения")))</x:f>
        <x:v>1</x:v>
      </x:c>
      <x:c r="J91" s="15" t="str">
        <x:v>https://kozhaclinic.ru/inekcionnaya-kosmetologiya/vyvedenie-fillera/</x:v>
      </x:c>
    </x:row>
    <x:row r="92" ht="40" customHeight="1">
      <x:c r="A92" s="14" t="str">
        <x:v>инъекции ксеомина сургут</x:v>
      </x:c>
      <x:c r="B92" s="14" t="str">
        <x:v>Инъекции Ксеомина (Xeomin)</x:v>
      </x:c>
      <x:c r="C92" s="27" t="n">
        <x:v>9</x:v>
      </x:c>
      <x:c r="D92" s="27" t="n">
        <x:v>4</x:v>
      </x:c>
      <x:c r="E92" s="29" t="n">
        <x:f>IF(AND(ISNUMBER(C92),ISNUMBER(D92)),C92-D92,IF(AND(C92="Не найдено",ISNUMBER(D92)),"Появился",IF(AND(ISNUMBER(C92),D92="Не найдено"),"Не найдено","Нет сравнения")))</x:f>
        <x:v>5</x:v>
      </x:c>
      <x:c r="F92" s="16" t="str">
        <x:v>https://kozhaclinic.ru/inekcionnaya-kosmetologiya/botulinoterapiya/xeomin/</x:v>
      </x:c>
      <x:c r="G92" s="27" t="n">
        <x:v>4</x:v>
      </x:c>
      <x:c r="H92" s="27" t="n">
        <x:v>5</x:v>
      </x:c>
      <x:c r="I92" s="29" t="n">
        <x:f>IF(AND(ISNUMBER(G92),ISNUMBER(H92)),G92-H92,IF(AND(G92="Не найдено",ISNUMBER(H92)),"Появился",IF(AND(ISNUMBER(G92),H92="Не найдено"),"Не найдено","Нет сравнения")))</x:f>
        <x:v>-1</x:v>
      </x:c>
      <x:c r="J92" s="16" t="str">
        <x:v>https://kozhaclinic.ru/inekcionnaya-kosmetologiya/botulinoterapiya/</x:v>
      </x:c>
    </x:row>
    <x:row r="93" ht="40" customHeight="1">
      <x:c r="A93" s="12" t="str">
        <x:v>ботулинотерапия миотокс сургут</x:v>
      </x:c>
      <x:c r="B93" s="12" t="str">
        <x:v>Инъекции миотокса</x:v>
      </x:c>
      <x:c r="C93" s="26" t="n">
        <x:v>1</x:v>
      </x:c>
      <x:c r="D93" s="26" t="n">
        <x:v>1</x:v>
      </x:c>
      <x:c r="E93" s="28" t="n">
        <x:f>IF(AND(ISNUMBER(C93),ISNUMBER(D93)),C93-D93,IF(AND(C93="Не найдено",ISNUMBER(D93)),"Появился",IF(AND(ISNUMBER(C93),D93="Не найдено"),"Не найдено","Нет сравнения")))</x:f>
        <x:v>0</x:v>
      </x:c>
      <x:c r="F93" s="15" t="str">
        <x:v>https://kozhaclinic.ru/inekcionnaya-kosmetologiya/botulinoterapiya/miotoks/</x:v>
      </x:c>
      <x:c r="G93" s="26" t="n">
        <x:v>1</x:v>
      </x:c>
      <x:c r="H93" s="26" t="n">
        <x:v>2</x:v>
      </x:c>
      <x:c r="I93" s="28" t="n">
        <x:f>IF(AND(ISNUMBER(G93),ISNUMBER(H93)),G93-H93,IF(AND(G93="Не найдено",ISNUMBER(H93)),"Появился",IF(AND(ISNUMBER(G93),H93="Не найдено"),"Не найдено","Нет сравнения")))</x:f>
        <x:v>-1</x:v>
      </x:c>
      <x:c r="J93" s="15" t="str">
        <x:v>https://kozhaclinic.ru/inekcionnaya-kosmetologiya/botulinoterapiya/miotoks/</x:v>
      </x:c>
    </x:row>
    <x:row r="94" ht="40" customHeight="1">
      <x:c r="A94" s="14" t="str">
        <x:v>инъекции миотокса сургут</x:v>
      </x:c>
      <x:c r="B94" s="14" t="str">
        <x:v>Инъекции миотокса</x:v>
      </x:c>
      <x:c r="C94" s="27" t="n">
        <x:v>1</x:v>
      </x:c>
      <x:c r="D94" s="27" t="n">
        <x:v>1</x:v>
      </x:c>
      <x:c r="E94" s="29" t="n">
        <x:f>IF(AND(ISNUMBER(C94),ISNUMBER(D94)),C94-D94,IF(AND(C94="Не найдено",ISNUMBER(D94)),"Появился",IF(AND(ISNUMBER(C94),D94="Не найдено"),"Не найдено","Нет сравнения")))</x:f>
        <x:v>0</x:v>
      </x:c>
      <x:c r="F94" s="16" t="str">
        <x:v>https://kozhaclinic.ru/inekcionnaya-kosmetologiya/botulinoterapiya/miotoks/</x:v>
      </x:c>
      <x:c r="G94" s="27" t="n">
        <x:v>1</x:v>
      </x:c>
      <x:c r="H94" s="27" t="n">
        <x:v>1</x:v>
      </x:c>
      <x:c r="I94" s="29" t="n">
        <x:f>IF(AND(ISNUMBER(G94),ISNUMBER(H94)),G94-H94,IF(AND(G94="Не найдено",ISNUMBER(H94)),"Появился",IF(AND(ISNUMBER(G94),H94="Не найдено"),"Не найдено","Нет сравнения")))</x:f>
        <x:v>0</x:v>
      </x:c>
      <x:c r="J94" s="16" t="str">
        <x:v>https://kozhaclinic.ru/inekcionnaya-kosmetologiya/botulinoterapiya/</x:v>
      </x:c>
    </x:row>
    <x:row r="95" ht="40" customHeight="1">
      <x:c r="A95" s="12" t="str">
        <x:v>миотокс сургут</x:v>
      </x:c>
      <x:c r="B95" s="12" t="str">
        <x:v>Инъекции миотокса</x:v>
      </x:c>
      <x:c r="C95" s="26" t="n">
        <x:v>1</x:v>
      </x:c>
      <x:c r="D95" s="26" t="n">
        <x:v>1</x:v>
      </x:c>
      <x:c r="E95" s="28" t="n">
        <x:f>IF(AND(ISNUMBER(C95),ISNUMBER(D95)),C95-D95,IF(AND(C95="Не найдено",ISNUMBER(D95)),"Появился",IF(AND(ISNUMBER(C95),D95="Не найдено"),"Не найдено","Нет сравнения")))</x:f>
        <x:v>0</x:v>
      </x:c>
      <x:c r="F95" s="15" t="str">
        <x:v>https://kozhaclinic.ru/inekcionnaya-kosmetologiya/botulinoterapiya/miotoks/</x:v>
      </x:c>
      <x:c r="G95" s="26" t="str">
        <x:v>Не найдено</x:v>
      </x:c>
      <x:c r="H95" s="26" t="n">
        <x:v>1</x:v>
      </x:c>
      <x:c r="I95" s="28" t="str">
        <x:f>IF(AND(ISNUMBER(G95),ISNUMBER(H95)),G95-H95,IF(AND(G95="Не найдено",ISNUMBER(H95)),"Появился",IF(AND(ISNUMBER(G95),H95="Не найдено"),"Не найдено","Нет сравнения")))</x:f>
        <x:v>Появился</x:v>
      </x:c>
      <x:c r="J95" s="15" t="str">
        <x:v>https://kozhaclinic.ru/inekcionnaya-kosmetologiya/botulinoterapiya/miotoks/</x:v>
      </x:c>
    </x:row>
    <x:row r="96" ht="40" customHeight="1">
      <x:c r="A96" s="14" t="str">
        <x:v>миотокс цена сургут</x:v>
      </x:c>
      <x:c r="B96" s="14" t="str">
        <x:v>Инъекции миотокса</x:v>
      </x:c>
      <x:c r="C96" s="27" t="n">
        <x:v>4</x:v>
      </x:c>
      <x:c r="D96" s="27" t="n">
        <x:v>6</x:v>
      </x:c>
      <x:c r="E96" s="29" t="n">
        <x:f>IF(AND(ISNUMBER(C96),ISNUMBER(D96)),C96-D96,IF(AND(C96="Не найдено",ISNUMBER(D96)),"Появился",IF(AND(ISNUMBER(C96),D96="Не найдено"),"Не найдено","Нет сравнения")))</x:f>
        <x:v>-2</x:v>
      </x:c>
      <x:c r="F96" s="16" t="str">
        <x:v>https://kozhaclinic.ru/inekcionnaya-kosmetologiya/botulinoterapiya/</x:v>
      </x:c>
      <x:c r="G96" s="27" t="n">
        <x:v>1</x:v>
      </x:c>
      <x:c r="H96" s="27" t="n">
        <x:v>1</x:v>
      </x:c>
      <x:c r="I96" s="29" t="n">
        <x:f>IF(AND(ISNUMBER(G96),ISNUMBER(H96)),G96-H96,IF(AND(G96="Не найдено",ISNUMBER(H96)),"Появился",IF(AND(ISNUMBER(G96),H96="Не найдено"),"Не найдено","Нет сравнения")))</x:f>
        <x:v>0</x:v>
      </x:c>
      <x:c r="J96" s="16" t="str">
        <x:v>https://kozhaclinic.ru/inekcionnaya-kosmetologiya/botulinoterapiya/miotoks/</x:v>
      </x:c>
    </x:row>
    <x:row r="97" ht="40" customHeight="1">
      <x:c r="A97" s="12" t="str">
        <x:v>инъекционная косметология</x:v>
      </x:c>
      <x:c r="B97" s="12" t="str">
        <x:v>Инъекционная косметология</x:v>
      </x:c>
      <x:c r="C97" s="26" t="n">
        <x:v>3</x:v>
      </x:c>
      <x:c r="D97" s="26" t="n">
        <x:v>2</x:v>
      </x:c>
      <x:c r="E97" s="28" t="n">
        <x:f>IF(AND(ISNUMBER(C97),ISNUMBER(D97)),C97-D97,IF(AND(C97="Не найдено",ISNUMBER(D97)),"Появился",IF(AND(ISNUMBER(C97),D97="Не найдено"),"Не найдено","Нет сравнения")))</x:f>
        <x:v>1</x:v>
      </x:c>
      <x:c r="F97" s="15" t="str">
        <x:v>https://kozhaclinic.ru/inekcionnaya-kosmetologiya/</x:v>
      </x:c>
      <x:c r="G97" s="26" t="n">
        <x:v>2</x:v>
      </x:c>
      <x:c r="H97" s="26" t="n">
        <x:v>2</x:v>
      </x:c>
      <x:c r="I97" s="28" t="n">
        <x:f>IF(AND(ISNUMBER(G97),ISNUMBER(H97)),G97-H97,IF(AND(G97="Не найдено",ISNUMBER(H97)),"Появился",IF(AND(ISNUMBER(G97),H97="Не найдено"),"Не найдено","Нет сравнения")))</x:f>
        <x:v>0</x:v>
      </x:c>
      <x:c r="J97" s="15" t="str">
        <x:v>https://kozhaclinic.ru/inekcionnaya-kosmetologiya/</x:v>
      </x:c>
    </x:row>
    <x:row r="98" ht="40" customHeight="1">
      <x:c r="A98" s="14" t="str">
        <x:v>инъекционная косметология сургут</x:v>
      </x:c>
      <x:c r="B98" s="14" t="str">
        <x:v>Инъекционная косметология</x:v>
      </x:c>
      <x:c r="C98" s="27" t="n">
        <x:v>3</x:v>
      </x:c>
      <x:c r="D98" s="27" t="n">
        <x:v>3</x:v>
      </x:c>
      <x:c r="E98" s="29" t="n">
        <x:f>IF(AND(ISNUMBER(C98),ISNUMBER(D98)),C98-D98,IF(AND(C98="Не найдено",ISNUMBER(D98)),"Появился",IF(AND(ISNUMBER(C98),D98="Не найдено"),"Не найдено","Нет сравнения")))</x:f>
        <x:v>0</x:v>
      </x:c>
      <x:c r="F98" s="16" t="str">
        <x:v>https://kozhaclinic.ru/inekcionnaya-kosmetologiya/</x:v>
      </x:c>
      <x:c r="G98" s="27" t="str">
        <x:v>Не найдено</x:v>
      </x:c>
      <x:c r="H98" s="27" t="n">
        <x:v>3</x:v>
      </x:c>
      <x:c r="I98" s="29" t="str">
        <x:f>IF(AND(ISNUMBER(G98),ISNUMBER(H98)),G98-H98,IF(AND(G98="Не найдено",ISNUMBER(H98)),"Появился",IF(AND(ISNUMBER(G98),H98="Не найдено"),"Не найдено","Нет сравнения")))</x:f>
        <x:v>Появился</x:v>
      </x:c>
      <x:c r="J98" s="16" t="str">
        <x:v>https://kozhaclinic.ru/inekcionnaya-kosmetologiya/</x:v>
      </x:c>
    </x:row>
    <x:row r="99" ht="40" customHeight="1">
      <x:c r="A99" s="12" t="str">
        <x:v>карбокситерапия для лица сургут</x:v>
      </x:c>
      <x:c r="B99" s="12" t="str">
        <x:v>Карбокситерапия инъекционная</x:v>
      </x:c>
      <x:c r="C99" s="26" t="n">
        <x:v>2</x:v>
      </x:c>
      <x:c r="D99" s="26" t="n">
        <x:v>2</x:v>
      </x:c>
      <x:c r="E99" s="28" t="n">
        <x:f>IF(AND(ISNUMBER(C99),ISNUMBER(D99)),C99-D99,IF(AND(C99="Не найдено",ISNUMBER(D99)),"Появился",IF(AND(ISNUMBER(C99),D99="Не найдено"),"Не найдено","Нет сравнения")))</x:f>
        <x:v>0</x:v>
      </x:c>
      <x:c r="F99" s="15" t="str">
        <x:v>https://kozhaclinic.ru/inekcionnaya-kosmetologiya/omolozhenie-i-pitanie-kozhi/karboksiterapiya-inektsionnaya/</x:v>
      </x:c>
      <x:c r="G99" s="26" t="n">
        <x:v>2</x:v>
      </x:c>
      <x:c r="H99" s="26" t="n">
        <x:v>3</x:v>
      </x:c>
      <x:c r="I99" s="28" t="n">
        <x:f>IF(AND(ISNUMBER(G99),ISNUMBER(H99)),G99-H99,IF(AND(G99="Не найдено",ISNUMBER(H99)),"Появился",IF(AND(ISNUMBER(G99),H99="Не найдено"),"Не найдено","Нет сравнения")))</x:f>
        <x:v>-1</x:v>
      </x:c>
      <x:c r="J99" s="15" t="str">
        <x:v>https://kozhaclinic.ru/inekcionnaya-kosmetologiya/omolozhenie-i-pitanie-kozhi/karboksiterapiya-inektsionnaya/</x:v>
      </x:c>
    </x:row>
    <x:row r="100" ht="40" customHeight="1">
      <x:c r="A100" s="14" t="str">
        <x:v>карбокситерапия для лица цена</x:v>
      </x:c>
      <x:c r="B100" s="14" t="str">
        <x:v>Карбокситерапия инъекционная</x:v>
      </x:c>
      <x:c r="C100" s="27" t="n">
        <x:v>11</x:v>
      </x:c>
      <x:c r="D100" s="27" t="n">
        <x:v>5</x:v>
      </x:c>
      <x:c r="E100" s="29" t="n">
        <x:f>IF(AND(ISNUMBER(C100),ISNUMBER(D100)),C100-D100,IF(AND(C100="Не найдено",ISNUMBER(D100)),"Появился",IF(AND(ISNUMBER(C100),D100="Не найдено"),"Не найдено","Нет сравнения")))</x:f>
        <x:v>6</x:v>
      </x:c>
      <x:c r="F100" s="16" t="str">
        <x:v>https://kozhaclinic.ru/inekcionnaya-kosmetologiya/omolozhenie-i-pitanie-kozhi/karboksiterapiya-inektsionnaya/</x:v>
      </x:c>
      <x:c r="G100" s="27" t="n">
        <x:v>1</x:v>
      </x:c>
      <x:c r="H100" s="27" t="n">
        <x:v>4</x:v>
      </x:c>
      <x:c r="I100" s="29" t="n">
        <x:f>IF(AND(ISNUMBER(G100),ISNUMBER(H100)),G100-H100,IF(AND(G100="Не найдено",ISNUMBER(H100)),"Появился",IF(AND(ISNUMBER(G100),H100="Не найдено"),"Не найдено","Нет сравнения")))</x:f>
        <x:v>-3</x:v>
      </x:c>
      <x:c r="J100" s="16" t="str">
        <x:v>https://kozhaclinic.ru/inekcionnaya-kosmetologiya/omolozhenie-i-pitanie-kozhi/karboksiterapiya-inektsionnaya/</x:v>
      </x:c>
    </x:row>
    <x:row r="101" ht="40" customHeight="1">
      <x:c r="A101" s="12" t="str">
        <x:v>карбокситерапия сургут</x:v>
      </x:c>
      <x:c r="B101" s="12" t="str">
        <x:v>Карбокситерапия инъекционная</x:v>
      </x:c>
      <x:c r="C101" s="26" t="n">
        <x:v>3</x:v>
      </x:c>
      <x:c r="D101" s="26" t="n">
        <x:v>2</x:v>
      </x:c>
      <x:c r="E101" s="28" t="n">
        <x:f>IF(AND(ISNUMBER(C101),ISNUMBER(D101)),C101-D101,IF(AND(C101="Не найдено",ISNUMBER(D101)),"Появился",IF(AND(ISNUMBER(C101),D101="Не найдено"),"Не найдено","Нет сравнения")))</x:f>
        <x:v>1</x:v>
      </x:c>
      <x:c r="F101" s="15" t="str">
        <x:v>https://kozhaclinic.ru/inekcionnaya-kosmetologiya/omolozhenie-i-pitanie-kozhi/karboksiterapiya-inektsionnaya/</x:v>
      </x:c>
      <x:c r="G101" s="26" t="n">
        <x:v>2</x:v>
      </x:c>
      <x:c r="H101" s="26" t="n">
        <x:v>3</x:v>
      </x:c>
      <x:c r="I101" s="28" t="n">
        <x:f>IF(AND(ISNUMBER(G101),ISNUMBER(H101)),G101-H101,IF(AND(G101="Не найдено",ISNUMBER(H101)),"Появился",IF(AND(ISNUMBER(G101),H101="Не найдено"),"Не найдено","Нет сравнения")))</x:f>
        <x:v>-1</x:v>
      </x:c>
      <x:c r="J101" s="15" t="str">
        <x:v>https://kozhaclinic.ru/inekcionnaya-kosmetologiya/omolozhenie-i-pitanie-kozhi/karboksiterapiya-inektsionnaya/</x:v>
      </x:c>
    </x:row>
    <x:row r="102" ht="40" customHeight="1">
      <x:c r="A102" s="14" t="str">
        <x:v>карбокситерапия цена</x:v>
      </x:c>
      <x:c r="B102" s="14" t="str">
        <x:v>Карбокситерапия инъекционная</x:v>
      </x:c>
      <x:c r="C102" s="27" t="n">
        <x:v>19</x:v>
      </x:c>
      <x:c r="D102" s="27" t="n">
        <x:v>7</x:v>
      </x:c>
      <x:c r="E102" s="29" t="n">
        <x:f>IF(AND(ISNUMBER(C102),ISNUMBER(D102)),C102-D102,IF(AND(C102="Не найдено",ISNUMBER(D102)),"Появился",IF(AND(ISNUMBER(C102),D102="Не найдено"),"Не найдено","Нет сравнения")))</x:f>
        <x:v>12</x:v>
      </x:c>
      <x:c r="F102" s="16" t="str">
        <x:v>https://kozhaclinic.ru/inekcionnaya-kosmetologiya/omolozhenie-i-pitanie-kozhi/karboksiterapiya-inektsionnaya/</x:v>
      </x:c>
      <x:c r="G102" s="27" t="n">
        <x:v>1</x:v>
      </x:c>
      <x:c r="H102" s="27" t="n">
        <x:v>3</x:v>
      </x:c>
      <x:c r="I102" s="29" t="n">
        <x:f>IF(AND(ISNUMBER(G102),ISNUMBER(H102)),G102-H102,IF(AND(G102="Не найдено",ISNUMBER(H102)),"Появился",IF(AND(ISNUMBER(G102),H102="Не найдено"),"Не найдено","Нет сравнения")))</x:f>
        <x:v>-2</x:v>
      </x:c>
      <x:c r="J102" s="16" t="str">
        <x:v>https://kozhaclinic.ru/inekcionnaya-kosmetologiya/omolozhenie-i-pitanie-kozhi/karboksiterapiya-inektsionnaya/</x:v>
      </x:c>
    </x:row>
    <x:row r="103" ht="40" customHeight="1">
      <x:c r="A103" s="12" t="str">
        <x:v>коллагенотерапия кожи сургут</x:v>
      </x:c>
      <x:c r="B103" s="12" t="str">
        <x:v>Коллагенотерапия</x:v>
      </x:c>
      <x:c r="C103" s="26" t="n">
        <x:v>1</x:v>
      </x:c>
      <x:c r="D103" s="26" t="n">
        <x:v>1</x:v>
      </x:c>
      <x:c r="E103" s="28" t="n">
        <x:f>IF(AND(ISNUMBER(C103),ISNUMBER(D103)),C103-D103,IF(AND(C103="Не найдено",ISNUMBER(D103)),"Появился",IF(AND(ISNUMBER(C103),D103="Не найдено"),"Не найдено","Нет сравнения")))</x:f>
        <x:v>0</x:v>
      </x:c>
      <x:c r="F103" s="15" t="str">
        <x:v>https://kozhaclinic.ru/inekcionnaya-kosmetologiya/kollagenoterapiya/</x:v>
      </x:c>
      <x:c r="G103" s="26" t="n">
        <x:v>2</x:v>
      </x:c>
      <x:c r="H103" s="26" t="n">
        <x:v>1</x:v>
      </x:c>
      <x:c r="I103" s="28" t="n">
        <x:f>IF(AND(ISNUMBER(G103),ISNUMBER(H103)),G103-H103,IF(AND(G103="Не найдено",ISNUMBER(H103)),"Появился",IF(AND(ISNUMBER(G103),H103="Не найдено"),"Не найдено","Нет сравнения")))</x:f>
        <x:v>1</x:v>
      </x:c>
      <x:c r="J103" s="15" t="str">
        <x:v>https://kozhaclinic.ru/inekcionnaya-kosmetologiya/kollagenoterapiya/</x:v>
      </x:c>
    </x:row>
    <x:row r="104" ht="40" customHeight="1">
      <x:c r="A104" s="14" t="str">
        <x:v>коллагенотерапия лица сургут</x:v>
      </x:c>
      <x:c r="B104" s="14" t="str">
        <x:v>Коллагенотерапия</x:v>
      </x:c>
      <x:c r="C104" s="27" t="n">
        <x:v>1</x:v>
      </x:c>
      <x:c r="D104" s="27" t="n">
        <x:v>1</x:v>
      </x:c>
      <x:c r="E104" s="29" t="n">
        <x:f>IF(AND(ISNUMBER(C104),ISNUMBER(D104)),C104-D104,IF(AND(C104="Не найдено",ISNUMBER(D104)),"Появился",IF(AND(ISNUMBER(C104),D104="Не найдено"),"Не найдено","Нет сравнения")))</x:f>
        <x:v>0</x:v>
      </x:c>
      <x:c r="F104" s="16" t="str">
        <x:v>https://kozhaclinic.ru/inekcionnaya-kosmetologiya/kollagenoterapiya/</x:v>
      </x:c>
      <x:c r="G104" s="27" t="n">
        <x:v>2</x:v>
      </x:c>
      <x:c r="H104" s="27" t="str">
        <x:v>Не найдено</x:v>
      </x:c>
      <x:c r="I104" s="29" t="str">
        <x:f>IF(AND(ISNUMBER(G104),ISNUMBER(H104)),G104-H104,IF(AND(G104="Не найдено",ISNUMBER(H104)),"Появился",IF(AND(ISNUMBER(G104),H104="Не найдено"),"Не найдено","Нет сравнения")))</x:f>
        <x:v>Не найдено</x:v>
      </x:c>
      <x:c r="J104" s="14"/>
    </x:row>
    <x:row r="105" ht="40" customHeight="1">
      <x:c r="A105" s="12" t="str">
        <x:v>коллагенотерапия сургут</x:v>
      </x:c>
      <x:c r="B105" s="12" t="str">
        <x:v>Коллагенотерапия</x:v>
      </x:c>
      <x:c r="C105" s="26" t="n">
        <x:v>2</x:v>
      </x:c>
      <x:c r="D105" s="26" t="n">
        <x:v>2</x:v>
      </x:c>
      <x:c r="E105" s="28" t="n">
        <x:f>IF(AND(ISNUMBER(C105),ISNUMBER(D105)),C105-D105,IF(AND(C105="Не найдено",ISNUMBER(D105)),"Появился",IF(AND(ISNUMBER(C105),D105="Не найдено"),"Не найдено","Нет сравнения")))</x:f>
        <x:v>0</x:v>
      </x:c>
      <x:c r="F105" s="15" t="str">
        <x:v>https://kozhaclinic.ru/inekcionnaya-kosmetologiya/kollagenoterapiya/</x:v>
      </x:c>
      <x:c r="G105" s="26" t="n">
        <x:v>2</x:v>
      </x:c>
      <x:c r="H105" s="26" t="n">
        <x:v>1</x:v>
      </x:c>
      <x:c r="I105" s="28" t="n">
        <x:f>IF(AND(ISNUMBER(G105),ISNUMBER(H105)),G105-H105,IF(AND(G105="Не найдено",ISNUMBER(H105)),"Появился",IF(AND(ISNUMBER(G105),H105="Не найдено"),"Не найдено","Нет сравнения")))</x:f>
        <x:v>1</x:v>
      </x:c>
      <x:c r="J105" s="15" t="str">
        <x:v>https://kozhaclinic.ru/inekcionnaya-kosmetologiya/kollagenoterapiya/</x:v>
      </x:c>
    </x:row>
    <x:row r="106" ht="40" customHeight="1">
      <x:c r="A106" s="14" t="str">
        <x:v>коллагенотерапия вокруг глаз сургут</x:v>
      </x:c>
      <x:c r="B106" s="14" t="str">
        <x:v>Коллагенотерапия вокруг глаз</x:v>
      </x:c>
      <x:c r="C106" s="27" t="n">
        <x:v>1</x:v>
      </x:c>
      <x:c r="D106" s="27" t="n">
        <x:v>1</x:v>
      </x:c>
      <x:c r="E106" s="29" t="n">
        <x:f>IF(AND(ISNUMBER(C106),ISNUMBER(D106)),C106-D106,IF(AND(C106="Не найдено",ISNUMBER(D106)),"Появился",IF(AND(ISNUMBER(C106),D106="Не найдено"),"Не найдено","Нет сравнения")))</x:f>
        <x:v>0</x:v>
      </x:c>
      <x:c r="F106" s="16" t="str">
        <x:v>https://kozhaclinic.ru/inekcionnaya-kosmetologiya/kollagenoterapiya/kollagenoterapiya-vokrug-glaz/</x:v>
      </x:c>
      <x:c r="G106" s="27" t="n">
        <x:v>1</x:v>
      </x:c>
      <x:c r="H106" s="27" t="n">
        <x:v>1</x:v>
      </x:c>
      <x:c r="I106" s="29" t="n">
        <x:f>IF(AND(ISNUMBER(G106),ISNUMBER(H106)),G106-H106,IF(AND(G106="Не найдено",ISNUMBER(H106)),"Появился",IF(AND(ISNUMBER(G106),H106="Не найдено"),"Не найдено","Нет сравнения")))</x:f>
        <x:v>0</x:v>
      </x:c>
      <x:c r="J106" s="16" t="str">
        <x:v>https://kozhaclinic.ru/inekcionnaya-kosmetologiya/kollagenoterapiya/</x:v>
      </x:c>
    </x:row>
    <x:row r="107" ht="40" customHeight="1">
      <x:c r="A107" s="12" t="str">
        <x:v>коллагеновое восстановление волос сургут</x:v>
      </x:c>
      <x:c r="B107" s="12" t="str">
        <x:v>Коллагенотерапия волос</x:v>
      </x:c>
      <x:c r="C107" s="26" t="str">
        <x:v>Не найдено</x:v>
      </x:c>
      <x:c r="D107" s="26" t="n">
        <x:v>13</x:v>
      </x:c>
      <x:c r="E107" s="28" t="str">
        <x:f>IF(AND(ISNUMBER(C107),ISNUMBER(D107)),C107-D107,IF(AND(C107="Не найдено",ISNUMBER(D107)),"Появился",IF(AND(ISNUMBER(C107),D107="Не найдено"),"Не найдено","Нет сравнения")))</x:f>
        <x:v>Появился</x:v>
      </x:c>
      <x:c r="F107" s="15" t="str">
        <x:v>https://kozhaclinic.ru/inekcionnaya-kosmetologiya/kollagenoterapiya/</x:v>
      </x:c>
      <x:c r="G107" s="26" t="n">
        <x:v>8</x:v>
      </x:c>
      <x:c r="H107" s="26" t="n">
        <x:v>7</x:v>
      </x:c>
      <x:c r="I107" s="28" t="n">
        <x:f>IF(AND(ISNUMBER(G107),ISNUMBER(H107)),G107-H107,IF(AND(G107="Не найдено",ISNUMBER(H107)),"Появился",IF(AND(ISNUMBER(G107),H107="Не найдено"),"Не найдено","Нет сравнения")))</x:f>
        <x:v>1</x:v>
      </x:c>
      <x:c r="J107" s="15" t="str">
        <x:v>https://kozhaclinic.ru/vypadenie-volos-rgr-terapiya/</x:v>
      </x:c>
    </x:row>
    <x:row r="108" ht="40" customHeight="1">
      <x:c r="A108" s="14" t="str">
        <x:v>коллагенирование волос сургут</x:v>
      </x:c>
      <x:c r="B108" s="14" t="str">
        <x:v>Коллагенотерапия волос</x:v>
      </x:c>
      <x:c r="C108" s="27" t="str">
        <x:v>Не найдено</x:v>
      </x:c>
      <x:c r="D108" s="27" t="n">
        <x:v>37</x:v>
      </x:c>
      <x:c r="E108" s="29" t="str">
        <x:f>IF(AND(ISNUMBER(C108),ISNUMBER(D108)),C108-D108,IF(AND(C108="Не найдено",ISNUMBER(D108)),"Появился",IF(AND(ISNUMBER(C108),D108="Не найдено"),"Не найдено","Нет сравнения")))</x:f>
        <x:v>Появился</x:v>
      </x:c>
      <x:c r="F108" s="16" t="str">
        <x:v>https://kozhaclinic.ru/inekcionnaya-kosmetologiya/kollagenoterapiya/</x:v>
      </x:c>
      <x:c r="G108" s="27" t="str">
        <x:v>Не найдено</x:v>
      </x:c>
      <x:c r="H108" s="27" t="n">
        <x:v>7</x:v>
      </x:c>
      <x:c r="I108" s="29" t="str">
        <x:f>IF(AND(ISNUMBER(G108),ISNUMBER(H108)),G108-H108,IF(AND(G108="Не найдено",ISNUMBER(H108)),"Появился",IF(AND(ISNUMBER(G108),H108="Не найдено"),"Не найдено","Нет сравнения")))</x:f>
        <x:v>Появился</x:v>
      </x:c>
      <x:c r="J108" s="16" t="str">
        <x:v>https://kozhaclinic.ru/vypadenie-volos-rgr-terapiya/</x:v>
      </x:c>
    </x:row>
    <x:row r="109" ht="40" customHeight="1">
      <x:c r="A109" s="12" t="str">
        <x:v>коллагенотерапия волос сургут</x:v>
      </x:c>
      <x:c r="B109" s="12" t="str">
        <x:v>Коллагенотерапия волос</x:v>
      </x:c>
      <x:c r="C109" s="26" t="n">
        <x:v>3</x:v>
      </x:c>
      <x:c r="D109" s="26" t="n">
        <x:v>1</x:v>
      </x:c>
      <x:c r="E109" s="28" t="n">
        <x:f>IF(AND(ISNUMBER(C109),ISNUMBER(D109)),C109-D109,IF(AND(C109="Не найдено",ISNUMBER(D109)),"Появился",IF(AND(ISNUMBER(C109),D109="Не найдено"),"Не найдено","Нет сравнения")))</x:f>
        <x:v>2</x:v>
      </x:c>
      <x:c r="F109" s="15" t="str">
        <x:v>https://kozhaclinic.ru/ceny-prajs-list/</x:v>
      </x:c>
      <x:c r="G109" s="26" t="n">
        <x:v>2</x:v>
      </x:c>
      <x:c r="H109" s="26" t="n">
        <x:v>1</x:v>
      </x:c>
      <x:c r="I109" s="28" t="n">
        <x:f>IF(AND(ISNUMBER(G109),ISNUMBER(H109)),G109-H109,IF(AND(G109="Не найдено",ISNUMBER(H109)),"Появился",IF(AND(ISNUMBER(G109),H109="Не найдено"),"Не найдено","Нет сравнения")))</x:f>
        <x:v>1</x:v>
      </x:c>
      <x:c r="J109" s="15" t="str">
        <x:v>https://kozhaclinic.ru/inekcionnaya-kosmetologiya/kollagenoterapiya/</x:v>
      </x:c>
    </x:row>
    <x:row r="110" ht="40" customHeight="1">
      <x:c r="A110" s="14" t="str">
        <x:v>коррекция носослезной борозды в сургуте</x:v>
      </x:c>
      <x:c r="B110" s="14" t="str">
        <x:v>Коррекция носослезной борозды</x:v>
      </x:c>
      <x:c r="C110" s="27" t="n">
        <x:v>1</x:v>
      </x:c>
      <x:c r="D110" s="27" t="n">
        <x:v>3</x:v>
      </x:c>
      <x:c r="E110" s="29" t="n">
        <x:f>IF(AND(ISNUMBER(C110),ISNUMBER(D110)),C110-D110,IF(AND(C110="Не найдено",ISNUMBER(D110)),"Появился",IF(AND(ISNUMBER(C110),D110="Не найдено"),"Не найдено","Нет сравнения")))</x:f>
        <x:v>-2</x:v>
      </x:c>
      <x:c r="F110" s="16" t="str">
        <x:v>https://kozhaclinic.ru/inekcionnaya-kosmetologiya/konturnaya-plastika/korrektsiya-nososleznoy-borozdy/</x:v>
      </x:c>
      <x:c r="G110" s="27" t="n">
        <x:v>1</x:v>
      </x:c>
      <x:c r="H110" s="27" t="n">
        <x:v>1</x:v>
      </x:c>
      <x:c r="I110" s="29" t="n">
        <x:f>IF(AND(ISNUMBER(G110),ISNUMBER(H110)),G110-H110,IF(AND(G110="Не найдено",ISNUMBER(H110)),"Появился",IF(AND(ISNUMBER(G110),H110="Не найдено"),"Не найдено","Нет сравнения")))</x:f>
        <x:v>0</x:v>
      </x:c>
      <x:c r="J110" s="16" t="str">
        <x:v>https://kozhaclinic.ru/inekcionnaya-kosmetologiya/konturnaya-plastika/korrektsiya-nososleznoy-borozdy/</x:v>
      </x:c>
    </x:row>
    <x:row r="111" ht="40" customHeight="1">
      <x:c r="A111" s="12" t="str">
        <x:v>коррекция носослезной борозды сургут</x:v>
      </x:c>
      <x:c r="B111" s="12" t="str">
        <x:v>Коррекция носослезной борозды</x:v>
      </x:c>
      <x:c r="C111" s="26" t="n">
        <x:v>1</x:v>
      </x:c>
      <x:c r="D111" s="26" t="n">
        <x:v>2</x:v>
      </x:c>
      <x:c r="E111" s="28" t="n">
        <x:f>IF(AND(ISNUMBER(C111),ISNUMBER(D111)),C111-D111,IF(AND(C111="Не найдено",ISNUMBER(D111)),"Появился",IF(AND(ISNUMBER(C111),D111="Не найдено"),"Не найдено","Нет сравнения")))</x:f>
        <x:v>-1</x:v>
      </x:c>
      <x:c r="F111" s="15" t="str">
        <x:v>https://kozhaclinic.ru/inekcionnaya-kosmetologiya/konturnaya-plastika/korrektsiya-nososleznoy-borozdy/</x:v>
      </x:c>
      <x:c r="G111" s="26" t="str">
        <x:v>Не найдено</x:v>
      </x:c>
      <x:c r="H111" s="26" t="str">
        <x:v>Не найдено</x:v>
      </x:c>
      <x:c r="I111" s="28" t="str">
        <x:f>IF(AND(ISNUMBER(G111),ISNUMBER(H111)),G111-H111,IF(AND(G111="Не найдено",ISNUMBER(H111)),"Появился",IF(AND(ISNUMBER(G111),H111="Не найдено"),"Не найдено","Нет сравнения")))</x:f>
        <x:v>Нет сравнения</x:v>
      </x:c>
      <x:c r="J111" s="12"/>
    </x:row>
    <x:row r="112" ht="40" customHeight="1">
      <x:c r="A112" s="14" t="str">
        <x:v>объемное моделирование подбородка сургут</x:v>
      </x:c>
      <x:c r="B112" s="14" t="str">
        <x:v>Объемное моделирование (скулы, подбородок)</x:v>
      </x:c>
      <x:c r="C112" s="27" t="n">
        <x:v>1</x:v>
      </x:c>
      <x:c r="D112" s="27" t="n">
        <x:v>1</x:v>
      </x:c>
      <x:c r="E112" s="29" t="n">
        <x:f>IF(AND(ISNUMBER(C112),ISNUMBER(D112)),C112-D112,IF(AND(C112="Не найдено",ISNUMBER(D112)),"Появился",IF(AND(ISNUMBER(C112),D112="Не найдено"),"Не найдено","Нет сравнения")))</x:f>
        <x:v>0</x:v>
      </x:c>
      <x:c r="F112" s="16" t="str">
        <x:v>https://kozhaclinic.ru/inekcionnaya-kosmetologiya/konturnaya-plastika/obemnoe-modelirovanie-skuly-podborodok-/</x:v>
      </x:c>
      <x:c r="G112" s="27" t="n">
        <x:v>1</x:v>
      </x:c>
      <x:c r="H112" s="27" t="n">
        <x:v>1</x:v>
      </x:c>
      <x:c r="I112" s="29" t="n">
        <x:f>IF(AND(ISNUMBER(G112),ISNUMBER(H112)),G112-H112,IF(AND(G112="Не найдено",ISNUMBER(H112)),"Появился",IF(AND(ISNUMBER(G112),H112="Не найдено"),"Не найдено","Нет сравнения")))</x:f>
        <x:v>0</x:v>
      </x:c>
      <x:c r="J112" s="16" t="str">
        <x:v>https://kozhaclinic.ru/inekcionnaya-kosmetologiya/konturnaya-plastika/obemnoe-modelirovanie-skuly-podborodok-/</x:v>
      </x:c>
    </x:row>
    <x:row r="113" ht="40" customHeight="1">
      <x:c r="A113" s="12" t="str">
        <x:v>объемное моделирование скул сургут</x:v>
      </x:c>
      <x:c r="B113" s="12" t="str">
        <x:v>Объемное моделирование (скулы, подбородок)</x:v>
      </x:c>
      <x:c r="C113" s="26" t="n">
        <x:v>1</x:v>
      </x:c>
      <x:c r="D113" s="26" t="n">
        <x:v>1</x:v>
      </x:c>
      <x:c r="E113" s="28" t="n">
        <x:f>IF(AND(ISNUMBER(C113),ISNUMBER(D113)),C113-D113,IF(AND(C113="Не найдено",ISNUMBER(D113)),"Появился",IF(AND(ISNUMBER(C113),D113="Не найдено"),"Не найдено","Нет сравнения")))</x:f>
        <x:v>0</x:v>
      </x:c>
      <x:c r="F113" s="15" t="str">
        <x:v>https://kozhaclinic.ru/inekcionnaya-kosmetologiya/konturnaya-plastika/obemnoe-modelirovanie-skuly-podborodok-/</x:v>
      </x:c>
      <x:c r="G113" s="26" t="n">
        <x:v>1</x:v>
      </x:c>
      <x:c r="H113" s="26" t="n">
        <x:v>1</x:v>
      </x:c>
      <x:c r="I113" s="28" t="n">
        <x:f>IF(AND(ISNUMBER(G113),ISNUMBER(H113)),G113-H113,IF(AND(G113="Не найдено",ISNUMBER(H113)),"Появился",IF(AND(ISNUMBER(G113),H113="Не найдено"),"Не найдено","Нет сравнения")))</x:f>
        <x:v>0</x:v>
      </x:c>
      <x:c r="J113" s="15" t="str">
        <x:v>https://kozhaclinic.ru/inekcionnaya-kosmetologiya/konturnaya-plastika/obemnoe-modelirovanie-skuly-podborodok-/</x:v>
      </x:c>
    </x:row>
    <x:row r="114" ht="40" customHeight="1">
      <x:c r="A114" s="14" t="str">
        <x:v>увеличение губ</x:v>
      </x:c>
      <x:c r="B114" s="14" t="str">
        <x:v>Увеличение губ</x:v>
      </x:c>
      <x:c r="C114" s="27" t="n">
        <x:v>17</x:v>
      </x:c>
      <x:c r="D114" s="27" t="n">
        <x:v>6</x:v>
      </x:c>
      <x:c r="E114" s="29" t="n">
        <x:f>IF(AND(ISNUMBER(C114),ISNUMBER(D114)),C114-D114,IF(AND(C114="Не найдено",ISNUMBER(D114)),"Появился",IF(AND(ISNUMBER(C114),D114="Не найдено"),"Не найдено","Нет сравнения")))</x:f>
        <x:v>11</x:v>
      </x:c>
      <x:c r="F114" s="16" t="str">
        <x:v>https://kozhaclinic.ru/inekcionnaya-kosmetologiya/konturnaya-plastika/uvelichenie-gub/</x:v>
      </x:c>
      <x:c r="G114" s="27" t="n">
        <x:v>2</x:v>
      </x:c>
      <x:c r="H114" s="27" t="n">
        <x:v>2</x:v>
      </x:c>
      <x:c r="I114" s="29" t="n">
        <x:f>IF(AND(ISNUMBER(G114),ISNUMBER(H114)),G114-H114,IF(AND(G114="Не найдено",ISNUMBER(H114)),"Появился",IF(AND(ISNUMBER(G114),H114="Не найдено"),"Не найдено","Нет сравнения")))</x:f>
        <x:v>0</x:v>
      </x:c>
      <x:c r="J114" s="16" t="str">
        <x:v>https://kozhaclinic.ru/inekcionnaya-kosmetologiya/konturnaya-plastika/uvelichenie-gub/</x:v>
      </x:c>
    </x:row>
    <x:row r="115" ht="40" customHeight="1">
      <x:c r="A115" s="12" t="str">
        <x:v>увеличение губ сургут</x:v>
      </x:c>
      <x:c r="B115" s="12" t="str">
        <x:v>Увеличение губ</x:v>
      </x:c>
      <x:c r="C115" s="26" t="n">
        <x:v>5</x:v>
      </x:c>
      <x:c r="D115" s="26" t="n">
        <x:v>5</x:v>
      </x:c>
      <x:c r="E115" s="28" t="n">
        <x:f>IF(AND(ISNUMBER(C115),ISNUMBER(D115)),C115-D115,IF(AND(C115="Не найдено",ISNUMBER(D115)),"Появился",IF(AND(ISNUMBER(C115),D115="Не найдено"),"Не найдено","Нет сравнения")))</x:f>
        <x:v>0</x:v>
      </x:c>
      <x:c r="F115" s="15" t="str">
        <x:v>https://kozhaclinic.ru/inekcionnaya-kosmetologiya/konturnaya-plastika/uvelichenie-gub/</x:v>
      </x:c>
      <x:c r="G115" s="26" t="n">
        <x:v>2</x:v>
      </x:c>
      <x:c r="H115" s="26" t="n">
        <x:v>2</x:v>
      </x:c>
      <x:c r="I115" s="28" t="n">
        <x:f>IF(AND(ISNUMBER(G115),ISNUMBER(H115)),G115-H115,IF(AND(G115="Не найдено",ISNUMBER(H115)),"Появился",IF(AND(ISNUMBER(G115),H115="Не найдено"),"Не найдено","Нет сравнения")))</x:f>
        <x:v>0</x:v>
      </x:c>
      <x:c r="J115" s="15" t="str">
        <x:v>https://kozhaclinic.ru/inekcionnaya-kosmetologiya/konturnaya-plastika/uvelichenie-gub/</x:v>
      </x:c>
    </x:row>
    <x:row r="116" ht="40" customHeight="1">
      <x:c r="A116" s="14" t="str">
        <x:v>увеличение губ цена</x:v>
      </x:c>
      <x:c r="B116" s="14" t="str">
        <x:v>Увеличение губ</x:v>
      </x:c>
      <x:c r="C116" s="27" t="n">
        <x:v>8</x:v>
      </x:c>
      <x:c r="D116" s="27" t="n">
        <x:v>7</x:v>
      </x:c>
      <x:c r="E116" s="29" t="n">
        <x:f>IF(AND(ISNUMBER(C116),ISNUMBER(D116)),C116-D116,IF(AND(C116="Не найдено",ISNUMBER(D116)),"Появился",IF(AND(ISNUMBER(C116),D116="Не найдено"),"Не найдено","Нет сравнения")))</x:f>
        <x:v>1</x:v>
      </x:c>
      <x:c r="F116" s="16" t="str">
        <x:v>https://kozhaclinic.ru/inekcionnaya-kosmetologiya/konturnaya-plastika/uvelichenie-gub/</x:v>
      </x:c>
      <x:c r="G116" s="27" t="n">
        <x:v>3</x:v>
      </x:c>
      <x:c r="H116" s="27" t="n">
        <x:v>3</x:v>
      </x:c>
      <x:c r="I116" s="29" t="n">
        <x:f>IF(AND(ISNUMBER(G116),ISNUMBER(H116)),G116-H116,IF(AND(G116="Не найдено",ISNUMBER(H116)),"Появился",IF(AND(ISNUMBER(G116),H116="Не найдено"),"Не найдено","Нет сравнения")))</x:f>
        <x:v>0</x:v>
      </x:c>
      <x:c r="J116" s="16" t="str">
        <x:v>https://kozhaclinic.ru/inekcionnaya-kosmetologiya/konturnaya-plastika/uvelichenie-gub/</x:v>
      </x:c>
    </x:row>
    <x:row r="117" ht="40" customHeight="1">
      <x:c r="A117" s="12" t="str">
        <x:v>увеличить губы сургут</x:v>
      </x:c>
      <x:c r="B117" s="12" t="str">
        <x:v>Увеличение губ</x:v>
      </x:c>
      <x:c r="C117" s="26" t="n">
        <x:v>9</x:v>
      </x:c>
      <x:c r="D117" s="26" t="n">
        <x:v>10</x:v>
      </x:c>
      <x:c r="E117" s="28" t="n">
        <x:f>IF(AND(ISNUMBER(C117),ISNUMBER(D117)),C117-D117,IF(AND(C117="Не найдено",ISNUMBER(D117)),"Появился",IF(AND(ISNUMBER(C117),D117="Не найдено"),"Не найдено","Нет сравнения")))</x:f>
        <x:v>-1</x:v>
      </x:c>
      <x:c r="F117" s="15" t="str">
        <x:v>https://kozhaclinic.ru/ceny-prajs-list/</x:v>
      </x:c>
      <x:c r="G117" s="26" t="n">
        <x:v>2</x:v>
      </x:c>
      <x:c r="H117" s="26" t="n">
        <x:v>2</x:v>
      </x:c>
      <x:c r="I117" s="28" t="n">
        <x:f>IF(AND(ISNUMBER(G117),ISNUMBER(H117)),G117-H117,IF(AND(G117="Не найдено",ISNUMBER(H117)),"Появился",IF(AND(ISNUMBER(G117),H117="Не найдено"),"Не найдено","Нет сравнения")))</x:f>
        <x:v>0</x:v>
      </x:c>
      <x:c r="J117" s="15" t="str">
        <x:v>https://kozhaclinic.ru/inekcionnaya-kosmetologiya/konturnaya-plastika/uvelichenie-gub/</x:v>
      </x:c>
    </x:row>
    <x:row r="118" ht="40" customHeight="1">
      <x:c r="A118" s="14" t="str">
        <x:v>увеличить губы цена</x:v>
      </x:c>
      <x:c r="B118" s="14" t="str">
        <x:v>Увеличение губ</x:v>
      </x:c>
      <x:c r="C118" s="27" t="n">
        <x:v>10</x:v>
      </x:c>
      <x:c r="D118" s="27" t="n">
        <x:v>3</x:v>
      </x:c>
      <x:c r="E118" s="29" t="n">
        <x:f>IF(AND(ISNUMBER(C118),ISNUMBER(D118)),C118-D118,IF(AND(C118="Не найдено",ISNUMBER(D118)),"Появился",IF(AND(ISNUMBER(C118),D118="Не найдено"),"Не найдено","Нет сравнения")))</x:f>
        <x:v>7</x:v>
      </x:c>
      <x:c r="F118" s="16" t="str">
        <x:v>https://kozhaclinic.ru/ceny-prajs-list/</x:v>
      </x:c>
      <x:c r="G118" s="27" t="n">
        <x:v>3</x:v>
      </x:c>
      <x:c r="H118" s="27" t="n">
        <x:v>3</x:v>
      </x:c>
      <x:c r="I118" s="29" t="n">
        <x:f>IF(AND(ISNUMBER(G118),ISNUMBER(H118)),G118-H118,IF(AND(G118="Не найдено",ISNUMBER(H118)),"Появился",IF(AND(ISNUMBER(G118),H118="Не найдено"),"Не найдено","Нет сравнения")))</x:f>
        <x:v>0</x:v>
      </x:c>
      <x:c r="J118" s="16" t="str">
        <x:v>https://kozhaclinic.ru/inekcionnaya-kosmetologiya/konturnaya-plastika/uvelichenie-gub/</x:v>
      </x:c>
    </x:row>
    <x:row r="119" ht="40" customHeight="1">
      <x:c r="A119" s="12" t="str">
        <x:v>cortexil prp сургут</x:v>
      </x:c>
      <x:c r="B119" s="12" t="str">
        <x:v>PRP-терапия (Cortexil)</x:v>
      </x:c>
      <x:c r="C119" s="26" t="n">
        <x:v>3</x:v>
      </x:c>
      <x:c r="D119" s="26" t="n">
        <x:v>3</x:v>
      </x:c>
      <x:c r="E119" s="28" t="n">
        <x:f>IF(AND(ISNUMBER(C119),ISNUMBER(D119)),C119-D119,IF(AND(C119="Не найдено",ISNUMBER(D119)),"Появился",IF(AND(ISNUMBER(C119),D119="Не найдено"),"Не найдено","Нет сравнения")))</x:f>
        <x:v>0</x:v>
      </x:c>
      <x:c r="F119" s="15" t="str">
        <x:v>https://kozhaclinic.ru/inekcionnaya-kosmetologiya/omolozhenie-i-pitanie-kozhi/prp-terapiya-cortexil/</x:v>
      </x:c>
      <x:c r="G119" s="26" t="n">
        <x:v>1</x:v>
      </x:c>
      <x:c r="H119" s="26" t="n">
        <x:v>1</x:v>
      </x:c>
      <x:c r="I119" s="28" t="n">
        <x:f>IF(AND(ISNUMBER(G119),ISNUMBER(H119)),G119-H119,IF(AND(G119="Не найдено",ISNUMBER(H119)),"Появился",IF(AND(ISNUMBER(G119),H119="Не найдено"),"Не найдено","Нет сравнения")))</x:f>
        <x:v>0</x:v>
      </x:c>
      <x:c r="J119" s="15" t="str">
        <x:v>https://kozhaclinic.ru/inekcionnaya-kosmetologiya/omolozhenie-i-pitanie-kozhi/prp-terapiya-cortexil/</x:v>
      </x:c>
    </x:row>
    <x:row r="120" ht="40" customHeight="1">
      <x:c r="A120" s="14" t="str">
        <x:v>prp терапия сургут</x:v>
      </x:c>
      <x:c r="B120" s="14" t="str">
        <x:v>PRP-терапия (Cortexil)</x:v>
      </x:c>
      <x:c r="C120" s="27" t="n">
        <x:v>8</x:v>
      </x:c>
      <x:c r="D120" s="27" t="n">
        <x:v>7</x:v>
      </x:c>
      <x:c r="E120" s="29" t="n">
        <x:f>IF(AND(ISNUMBER(C120),ISNUMBER(D120)),C120-D120,IF(AND(C120="Не найдено",ISNUMBER(D120)),"Появился",IF(AND(ISNUMBER(C120),D120="Не найдено"),"Не найдено","Нет сравнения")))</x:f>
        <x:v>1</x:v>
      </x:c>
      <x:c r="F120" s="16" t="str">
        <x:v>https://kozhaclinic.ru/inekcionnaya-kosmetologiya/omolozhenie-i-pitanie-kozhi/prp-terapiya-cortexil/</x:v>
      </x:c>
      <x:c r="G120" s="27" t="n">
        <x:v>6</x:v>
      </x:c>
      <x:c r="H120" s="27" t="n">
        <x:v>6</x:v>
      </x:c>
      <x:c r="I120" s="29" t="n">
        <x:f>IF(AND(ISNUMBER(G120),ISNUMBER(H120)),G120-H120,IF(AND(G120="Не найдено",ISNUMBER(H120)),"Появился",IF(AND(ISNUMBER(G120),H120="Не найдено"),"Не найдено","Нет сравнения")))</x:f>
        <x:v>0</x:v>
      </x:c>
      <x:c r="J120" s="16" t="str">
        <x:v>https://kozhaclinic.ru/inekcionnaya-kosmetologiya/omolozhenie-i-pitanie-kozhi/prp-terapiya-cortexil/</x:v>
      </x:c>
    </x:row>
    <x:row r="121" ht="40" customHeight="1">
      <x:c r="A121" s="12" t="str">
        <x:v>prp терапия цена</x:v>
      </x:c>
      <x:c r="B121" s="12" t="str">
        <x:v>PRP-терапия (Cortexil)</x:v>
      </x:c>
      <x:c r="C121" s="26" t="n">
        <x:v>7</x:v>
      </x:c>
      <x:c r="D121" s="26" t="str">
        <x:v>Не найдено</x:v>
      </x:c>
      <x:c r="E121" s="28" t="str">
        <x:f>IF(AND(ISNUMBER(C121),ISNUMBER(D121)),C121-D121,IF(AND(C121="Не найдено",ISNUMBER(D121)),"Появился",IF(AND(ISNUMBER(C121),D121="Не найдено"),"Не найдено","Нет сравнения")))</x:f>
        <x:v>Не найдено</x:v>
      </x:c>
      <x:c r="F121" s="12"/>
      <x:c r="G121" s="26" t="n">
        <x:v>5</x:v>
      </x:c>
      <x:c r="H121" s="26" t="str">
        <x:v>Не найдено</x:v>
      </x:c>
      <x:c r="I121" s="28" t="str">
        <x:f>IF(AND(ISNUMBER(G121),ISNUMBER(H121)),G121-H121,IF(AND(G121="Не найдено",ISNUMBER(H121)),"Появился",IF(AND(ISNUMBER(G121),H121="Не найдено"),"Не найдено","Нет сравнения")))</x:f>
        <x:v>Не найдено</x:v>
      </x:c>
      <x:c r="J121" s="12"/>
    </x:row>
    <x:row r="122" ht="40" customHeight="1">
      <x:c r="A122" s="14" t="str">
        <x:v>мезотерапия для лица сургут</x:v>
      </x:c>
      <x:c r="B122" s="14" t="str">
        <x:v>Мезотерапия</x:v>
      </x:c>
      <x:c r="C122" s="27" t="n">
        <x:v>5</x:v>
      </x:c>
      <x:c r="D122" s="27" t="n">
        <x:v>3</x:v>
      </x:c>
      <x:c r="E122" s="29" t="n">
        <x:f>IF(AND(ISNUMBER(C122),ISNUMBER(D122)),C122-D122,IF(AND(C122="Не найдено",ISNUMBER(D122)),"Появился",IF(AND(ISNUMBER(C122),D122="Не найдено"),"Не найдено","Нет сравнения")))</x:f>
        <x:v>2</x:v>
      </x:c>
      <x:c r="F122" s="16" t="str">
        <x:v>https://kozhaclinic.ru/inekcionnaya-kosmetologiya/omolozhenie-i-pitanie-kozhi/mezoterapiya/</x:v>
      </x:c>
      <x:c r="G122" s="27" t="n">
        <x:v>5</x:v>
      </x:c>
      <x:c r="H122" s="27" t="n">
        <x:v>5</x:v>
      </x:c>
      <x:c r="I122" s="29" t="n">
        <x:f>IF(AND(ISNUMBER(G122),ISNUMBER(H122)),G122-H122,IF(AND(G122="Не найдено",ISNUMBER(H122)),"Появился",IF(AND(ISNUMBER(G122),H122="Не найдено"),"Не найдено","Нет сравнения")))</x:f>
        <x:v>0</x:v>
      </x:c>
      <x:c r="J122" s="16" t="str">
        <x:v>https://kozhaclinic.ru/inekcionnaya-kosmetologiya/omolozhenie-i-pitanie-kozhi/mezoterapiya/</x:v>
      </x:c>
    </x:row>
    <x:row r="123" ht="40" customHeight="1">
      <x:c r="A123" s="12" t="str">
        <x:v>мезотерапия сургут</x:v>
      </x:c>
      <x:c r="B123" s="12" t="str">
        <x:v>Мезотерапия</x:v>
      </x:c>
      <x:c r="C123" s="26" t="n">
        <x:v>9</x:v>
      </x:c>
      <x:c r="D123" s="26" t="n">
        <x:v>7</x:v>
      </x:c>
      <x:c r="E123" s="28" t="n">
        <x:f>IF(AND(ISNUMBER(C123),ISNUMBER(D123)),C123-D123,IF(AND(C123="Не найдено",ISNUMBER(D123)),"Появился",IF(AND(ISNUMBER(C123),D123="Не найдено"),"Не найдено","Нет сравнения")))</x:f>
        <x:v>2</x:v>
      </x:c>
      <x:c r="F123" s="15" t="str">
        <x:v>https://kozhaclinic.ru/inekcionnaya-kosmetologiya/omolozhenie-i-pitanie-kozhi/</x:v>
      </x:c>
      <x:c r="G123" s="26" t="n">
        <x:v>4</x:v>
      </x:c>
      <x:c r="H123" s="26" t="n">
        <x:v>4</x:v>
      </x:c>
      <x:c r="I123" s="28" t="n">
        <x:f>IF(AND(ISNUMBER(G123),ISNUMBER(H123)),G123-H123,IF(AND(G123="Не найдено",ISNUMBER(H123)),"Появился",IF(AND(ISNUMBER(G123),H123="Не найдено"),"Не найдено","Нет сравнения")))</x:f>
        <x:v>0</x:v>
      </x:c>
      <x:c r="J123" s="15" t="str">
        <x:v>https://kozhaclinic.ru/inekcionnaya-kosmetologiya/omolozhenie-i-pitanie-kozhi/mezoterapiya/</x:v>
      </x:c>
    </x:row>
    <x:row r="124" ht="40" customHeight="1">
      <x:c r="A124" s="14" t="str">
        <x:v>мезотерапия для волос сургут</x:v>
      </x:c>
      <x:c r="B124" s="14" t="str">
        <x:v>Мезотерапия для волос</x:v>
      </x:c>
      <x:c r="C124" s="27" t="n">
        <x:v>2</x:v>
      </x:c>
      <x:c r="D124" s="27" t="n">
        <x:v>3</x:v>
      </x:c>
      <x:c r="E124" s="29" t="n">
        <x:f>IF(AND(ISNUMBER(C124),ISNUMBER(D124)),C124-D124,IF(AND(C124="Не найдено",ISNUMBER(D124)),"Появился",IF(AND(ISNUMBER(C124),D124="Не найдено"),"Не найдено","Нет сравнения")))</x:f>
        <x:v>-1</x:v>
      </x:c>
      <x:c r="F124" s="16" t="str">
        <x:v>https://kozhaclinic.ru/inekcionnaya-kosmetologiya/omolozhenie-i-pitanie-kozhi/mezoterapiya-dlya-volos/</x:v>
      </x:c>
      <x:c r="G124" s="27" t="n">
        <x:v>2</x:v>
      </x:c>
      <x:c r="H124" s="27" t="n">
        <x:v>3</x:v>
      </x:c>
      <x:c r="I124" s="29" t="n">
        <x:f>IF(AND(ISNUMBER(G124),ISNUMBER(H124)),G124-H124,IF(AND(G124="Не найдено",ISNUMBER(H124)),"Появился",IF(AND(ISNUMBER(G124),H124="Не найдено"),"Не найдено","Нет сравнения")))</x:f>
        <x:v>-1</x:v>
      </x:c>
      <x:c r="J124" s="16" t="str">
        <x:v>https://kozhaclinic.ru/inekcionnaya-kosmetologiya/omolozhenie-i-pitanie-kozhi/mezoterapiya-dlya-volos/</x:v>
      </x:c>
    </x:row>
    <x:row r="125" ht="40" customHeight="1">
      <x:c r="A125" s="12" t="str">
        <x:v>филлеры сургут</x:v>
      </x:c>
      <x:c r="B125" s="12" t="str">
        <x:v>Филлеры Belotero</x:v>
      </x:c>
      <x:c r="C125" s="26" t="n">
        <x:v>11</x:v>
      </x:c>
      <x:c r="D125" s="26" t="n">
        <x:v>11</x:v>
      </x:c>
      <x:c r="E125" s="28" t="n">
        <x:f>IF(AND(ISNUMBER(C125),ISNUMBER(D125)),C125-D125,IF(AND(C125="Не найдено",ISNUMBER(D125)),"Появился",IF(AND(ISNUMBER(C125),D125="Не найдено"),"Не найдено","Нет сравнения")))</x:f>
        <x:v>0</x:v>
      </x:c>
      <x:c r="F125" s="15" t="str">
        <x:v>https://kozhaclinic.ru/inekcionnaya-kosmetologiya/konturnaya-plastika/korrektsiya-nosogubnykh-skladok/</x:v>
      </x:c>
      <x:c r="G125" s="26" t="n">
        <x:v>5</x:v>
      </x:c>
      <x:c r="H125" s="26" t="n">
        <x:v>5</x:v>
      </x:c>
      <x:c r="I125" s="28" t="n">
        <x:f>IF(AND(ISNUMBER(G125),ISNUMBER(H125)),G125-H125,IF(AND(G125="Не найдено",ISNUMBER(H125)),"Появился",IF(AND(ISNUMBER(G125),H125="Не найдено"),"Не найдено","Нет сравнения")))</x:f>
        <x:v>0</x:v>
      </x:c>
      <x:c r="J125" s="15" t="str">
        <x:v>https://kozhaclinic.ru/inekcionnaya-kosmetologiya/fillery-belotero/</x:v>
      </x:c>
    </x:row>
    <x:row r="126" ht="40" customHeight="1">
      <x:c r="A126" s="14" t="str">
        <x:v>дерматоскопия сургут</x:v>
      </x:c>
      <x:c r="B126" s="14" t="str">
        <x:v>Дерматоскопия</x:v>
      </x:c>
      <x:c r="C126" s="27" t="n">
        <x:v>3</x:v>
      </x:c>
      <x:c r="D126" s="27" t="n">
        <x:v>2</x:v>
      </x:c>
      <x:c r="E126" s="29" t="n">
        <x:f>IF(AND(ISNUMBER(C126),ISNUMBER(D126)),C126-D126,IF(AND(C126="Не найдено",ISNUMBER(D126)),"Появился",IF(AND(ISNUMBER(C126),D126="Не найдено"),"Не найдено","Нет сравнения")))</x:f>
        <x:v>1</x:v>
      </x:c>
      <x:c r="F126" s="16" t="str">
        <x:v>https://kozhaclinic.ru/osmotry-i-konsultatsii/dermatoskopiya/</x:v>
      </x:c>
      <x:c r="G126" s="27" t="n">
        <x:v>6</x:v>
      </x:c>
      <x:c r="H126" s="27" t="n">
        <x:v>6</x:v>
      </x:c>
      <x:c r="I126" s="29" t="n">
        <x:f>IF(AND(ISNUMBER(G126),ISNUMBER(H126)),G126-H126,IF(AND(G126="Не найдено",ISNUMBER(H126)),"Появился",IF(AND(ISNUMBER(G126),H126="Не найдено"),"Не найдено","Нет сравнения")))</x:f>
        <x:v>0</x:v>
      </x:c>
      <x:c r="J126" s="16" t="str">
        <x:v>https://kozhaclinic.ru/osmotry-i-konsultatsii/dermatoskopiya/</x:v>
      </x:c>
    </x:row>
    <x:row r="127" ht="40" customHeight="1">
      <x:c r="A127" s="12" t="str">
        <x:v>дерматоскопия родинок сургут</x:v>
      </x:c>
      <x:c r="B127" s="12" t="str">
        <x:v>Дерматоскопия</x:v>
      </x:c>
      <x:c r="C127" s="26" t="n">
        <x:v>2</x:v>
      </x:c>
      <x:c r="D127" s="26" t="n">
        <x:v>2</x:v>
      </x:c>
      <x:c r="E127" s="28" t="n">
        <x:f>IF(AND(ISNUMBER(C127),ISNUMBER(D127)),C127-D127,IF(AND(C127="Не найдено",ISNUMBER(D127)),"Появился",IF(AND(ISNUMBER(C127),D127="Не найдено"),"Не найдено","Нет сравнения")))</x:f>
        <x:v>0</x:v>
      </x:c>
      <x:c r="F127" s="15" t="str">
        <x:v>https://kozhaclinic.ru/osmotry-i-konsultatsii/dermatoskopiya/</x:v>
      </x:c>
      <x:c r="G127" s="26" t="n">
        <x:v>5</x:v>
      </x:c>
      <x:c r="H127" s="26" t="n">
        <x:v>4</x:v>
      </x:c>
      <x:c r="I127" s="28" t="n">
        <x:f>IF(AND(ISNUMBER(G127),ISNUMBER(H127)),G127-H127,IF(AND(G127="Не найдено",ISNUMBER(H127)),"Появился",IF(AND(ISNUMBER(G127),H127="Не найдено"),"Не найдено","Нет сравнения")))</x:f>
        <x:v>1</x:v>
      </x:c>
      <x:c r="J127" s="15" t="str">
        <x:v>https://kozhaclinic.ru/udalenie-novoobrazovanij/udalenie-rodinok/</x:v>
      </x:c>
    </x:row>
    <x:row r="128" ht="40" customHeight="1">
      <x:c r="A128" s="14" t="str">
        <x:v>проверка родинок сургут</x:v>
      </x:c>
      <x:c r="B128" s="14" t="str">
        <x:v>Дерматоскопия</x:v>
      </x:c>
      <x:c r="C128" s="27" t="n">
        <x:v>2</x:v>
      </x:c>
      <x:c r="D128" s="27" t="n">
        <x:v>2</x:v>
      </x:c>
      <x:c r="E128" s="29" t="n">
        <x:f>IF(AND(ISNUMBER(C128),ISNUMBER(D128)),C128-D128,IF(AND(C128="Не найдено",ISNUMBER(D128)),"Появился",IF(AND(ISNUMBER(C128),D128="Не найдено"),"Не найдено","Нет сравнения")))</x:f>
        <x:v>0</x:v>
      </x:c>
      <x:c r="F128" s="16" t="str">
        <x:v>https://kozhaclinic.ru/osmotry-i-konsultatsii/dermatoskopiya/</x:v>
      </x:c>
      <x:c r="G128" s="27" t="n">
        <x:v>3</x:v>
      </x:c>
      <x:c r="H128" s="27" t="str">
        <x:v>Не найдено</x:v>
      </x:c>
      <x:c r="I128" s="29" t="str">
        <x:f>IF(AND(ISNUMBER(G128),ISNUMBER(H128)),G128-H128,IF(AND(G128="Не найдено",ISNUMBER(H128)),"Появился",IF(AND(ISNUMBER(G128),H128="Не найдено"),"Не найдено","Нет сравнения")))</x:f>
        <x:v>Не найдено</x:v>
      </x:c>
      <x:c r="J128" s="14"/>
    </x:row>
    <x:row r="129" ht="40" customHeight="1">
      <x:c r="A129" s="12" t="str">
        <x:v>осмотр родинок дерматологом сургут</x:v>
      </x:c>
      <x:c r="B129" s="12" t="str">
        <x:v>Дерматоскопия</x:v>
      </x:c>
      <x:c r="C129" s="26" t="n">
        <x:v>2</x:v>
      </x:c>
      <x:c r="D129" s="26" t="n">
        <x:v>2</x:v>
      </x:c>
      <x:c r="E129" s="28" t="n">
        <x:f>IF(AND(ISNUMBER(C129),ISNUMBER(D129)),C129-D129,IF(AND(C129="Не найдено",ISNUMBER(D129)),"Появился",IF(AND(ISNUMBER(C129),D129="Не найдено"),"Не найдено","Нет сравнения")))</x:f>
        <x:v>0</x:v>
      </x:c>
      <x:c r="F129" s="15" t="str">
        <x:v>https://kozhaclinic.ru/osmotry-i-konsultatsii/dermatoskopiya/</x:v>
      </x:c>
      <x:c r="G129" s="26" t="n">
        <x:v>6</x:v>
      </x:c>
      <x:c r="H129" s="26" t="n">
        <x:v>4</x:v>
      </x:c>
      <x:c r="I129" s="28" t="n">
        <x:f>IF(AND(ISNUMBER(G129),ISNUMBER(H129)),G129-H129,IF(AND(G129="Не найдено",ISNUMBER(H129)),"Появился",IF(AND(ISNUMBER(G129),H129="Не найдено"),"Не найдено","Нет сравнения")))</x:f>
        <x:v>2</x:v>
      </x:c>
      <x:c r="J129" s="15" t="str">
        <x:v>https://kozhaclinic.ru/osmotry-i-konsultatsii/dermatoskopiya/</x:v>
      </x:c>
    </x:row>
    <x:row r="130" ht="40" customHeight="1">
      <x:c r="A130" s="14" t="str">
        <x:v>проверить родинку сургут</x:v>
      </x:c>
      <x:c r="B130" s="14" t="str">
        <x:v>Дерматоскопия</x:v>
      </x:c>
      <x:c r="C130" s="27" t="n">
        <x:v>3</x:v>
      </x:c>
      <x:c r="D130" s="27" t="n">
        <x:v>3</x:v>
      </x:c>
      <x:c r="E130" s="29" t="n">
        <x:f>IF(AND(ISNUMBER(C130),ISNUMBER(D130)),C130-D130,IF(AND(C130="Не найдено",ISNUMBER(D130)),"Появился",IF(AND(ISNUMBER(C130),D130="Не найдено"),"Не найдено","Нет сравнения")))</x:f>
        <x:v>0</x:v>
      </x:c>
      <x:c r="F130" s="16" t="str">
        <x:v>https://kozhaclinic.ru/osmotry-i-konsultatsii/dermatoskopiya/</x:v>
      </x:c>
      <x:c r="G130" s="27" t="n">
        <x:v>6</x:v>
      </x:c>
      <x:c r="H130" s="27" t="n">
        <x:v>5</x:v>
      </x:c>
      <x:c r="I130" s="29" t="n">
        <x:f>IF(AND(ISNUMBER(G130),ISNUMBER(H130)),G130-H130,IF(AND(G130="Не найдено",ISNUMBER(H130)),"Появился",IF(AND(ISNUMBER(G130),H130="Не найдено"),"Не найдено","Нет сравнения")))</x:f>
        <x:v>1</x:v>
      </x:c>
      <x:c r="J130" s="16" t="str">
        <x:v>https://kozhaclinic.ru/udalenie-novoobrazovanij/udalenie-rodinok/</x:v>
      </x:c>
    </x:row>
    <x:row r="131" ht="40" customHeight="1">
      <x:c r="A131" s="12" t="str">
        <x:v>дерматоскопия новообразований сургут</x:v>
      </x:c>
      <x:c r="B131" s="12" t="str">
        <x:v>Дерматоскопия</x:v>
      </x:c>
      <x:c r="C131" s="26" t="n">
        <x:v>3</x:v>
      </x:c>
      <x:c r="D131" s="26" t="n">
        <x:v>3</x:v>
      </x:c>
      <x:c r="E131" s="28" t="n">
        <x:f>IF(AND(ISNUMBER(C131),ISNUMBER(D131)),C131-D131,IF(AND(C131="Не найдено",ISNUMBER(D131)),"Появился",IF(AND(ISNUMBER(C131),D131="Не найдено"),"Не найдено","Нет сравнения")))</x:f>
        <x:v>0</x:v>
      </x:c>
      <x:c r="F131" s="15" t="str">
        <x:v>https://kozhaclinic.ru/osmotry-i-konsultatsii/dermatoskopiya/</x:v>
      </x:c>
      <x:c r="G131" s="26" t="n">
        <x:v>7</x:v>
      </x:c>
      <x:c r="H131" s="26" t="str">
        <x:v>Не найдено</x:v>
      </x:c>
      <x:c r="I131" s="28" t="str">
        <x:f>IF(AND(ISNUMBER(G131),ISNUMBER(H131)),G131-H131,IF(AND(G131="Не найдено",ISNUMBER(H131)),"Появился",IF(AND(ISNUMBER(G131),H131="Не найдено"),"Не найдено","Нет сравнения")))</x:f>
        <x:v>Не найдено</x:v>
      </x:c>
      <x:c r="J131" s="12"/>
    </x:row>
    <x:row r="132" ht="40" customHeight="1">
      <x:c r="A132" s="14" t="str">
        <x:v>дерматолог с дерматоскопией сургут</x:v>
      </x:c>
      <x:c r="B132" s="14" t="str">
        <x:v>Дерматоскопия</x:v>
      </x:c>
      <x:c r="C132" s="27" t="n">
        <x:v>2</x:v>
      </x:c>
      <x:c r="D132" s="27" t="n">
        <x:v>2</x:v>
      </x:c>
      <x:c r="E132" s="29" t="n">
        <x:f>IF(AND(ISNUMBER(C132),ISNUMBER(D132)),C132-D132,IF(AND(C132="Не найдено",ISNUMBER(D132)),"Появился",IF(AND(ISNUMBER(C132),D132="Не найдено"),"Не найдено","Нет сравнения")))</x:f>
        <x:v>0</x:v>
      </x:c>
      <x:c r="F132" s="16" t="str">
        <x:v>https://kozhaclinic.ru/osmotry-i-konsultatsii/dermatoskopiya/</x:v>
      </x:c>
      <x:c r="G132" s="27" t="n">
        <x:v>5</x:v>
      </x:c>
      <x:c r="H132" s="27" t="n">
        <x:v>7</x:v>
      </x:c>
      <x:c r="I132" s="29" t="n">
        <x:f>IF(AND(ISNUMBER(G132),ISNUMBER(H132)),G132-H132,IF(AND(G132="Не найдено",ISNUMBER(H132)),"Появился",IF(AND(ISNUMBER(G132),H132="Не найдено"),"Не найдено","Нет сравнения")))</x:f>
        <x:v>-2</x:v>
      </x:c>
      <x:c r="J132" s="16" t="str">
        <x:v>https://kozhaclinic.ru/osmotry-i-konsultatsii/dermatoskopiya/</x:v>
      </x:c>
    </x:row>
    <x:row r="133" ht="40" customHeight="1">
      <x:c r="A133" s="12" t="str">
        <x:v>диагностика родинок сургут</x:v>
      </x:c>
      <x:c r="B133" s="12" t="str">
        <x:v>Дерматоскопия</x:v>
      </x:c>
      <x:c r="C133" s="26" t="n">
        <x:v>3</x:v>
      </x:c>
      <x:c r="D133" s="26" t="n">
        <x:v>2</x:v>
      </x:c>
      <x:c r="E133" s="28" t="n">
        <x:f>IF(AND(ISNUMBER(C133),ISNUMBER(D133)),C133-D133,IF(AND(C133="Не найдено",ISNUMBER(D133)),"Появился",IF(AND(ISNUMBER(C133),D133="Не найдено"),"Не найдено","Нет сравнения")))</x:f>
        <x:v>1</x:v>
      </x:c>
      <x:c r="F133" s="15" t="str">
        <x:v>https://kozhaclinic.ru/osmotry-i-konsultatsii/dermatoskopiya/</x:v>
      </x:c>
      <x:c r="G133" s="26" t="n">
        <x:v>6</x:v>
      </x:c>
      <x:c r="H133" s="26" t="n">
        <x:v>4</x:v>
      </x:c>
      <x:c r="I133" s="28" t="n">
        <x:f>IF(AND(ISNUMBER(G133),ISNUMBER(H133)),G133-H133,IF(AND(G133="Не найдено",ISNUMBER(H133)),"Появился",IF(AND(ISNUMBER(G133),H133="Не найдено"),"Не найдено","Нет сравнения")))</x:f>
        <x:v>2</x:v>
      </x:c>
      <x:c r="J133" s="15" t="str">
        <x:v>https://kozhaclinic.ru/udalenie-novoobrazovanij/udalenie-rodinok/</x:v>
      </x:c>
    </x:row>
    <x:row r="134" ht="40" customHeight="1">
      <x:c r="A134" s="14" t="str">
        <x:v>дерматоскопия перед удалением родинки</x:v>
      </x:c>
      <x:c r="B134" s="14" t="str">
        <x:v>Дерматоскопия</x:v>
      </x:c>
      <x:c r="C134" s="27" t="str">
        <x:v>Не найдено</x:v>
      </x:c>
      <x:c r="D134" s="27" t="str">
        <x:v>Не найдено</x:v>
      </x:c>
      <x:c r="E134" s="29" t="str">
        <x:f>IF(AND(ISNUMBER(C134),ISNUMBER(D134)),C134-D134,IF(AND(C134="Не найдено",ISNUMBER(D134)),"Появился",IF(AND(ISNUMBER(C134),D134="Не найдено"),"Не найдено","Нет сравнения")))</x:f>
        <x:v>Нет сравнения</x:v>
      </x:c>
      <x:c r="F134" s="14"/>
      <x:c r="G134" s="27" t="n">
        <x:v>7</x:v>
      </x:c>
      <x:c r="H134" s="27" t="str">
        <x:v>Не найдено</x:v>
      </x:c>
      <x:c r="I134" s="29" t="str">
        <x:f>IF(AND(ISNUMBER(G134),ISNUMBER(H134)),G134-H134,IF(AND(G134="Не найдено",ISNUMBER(H134)),"Появился",IF(AND(ISNUMBER(G134),H134="Не найдено"),"Не найдено","Нет сравнения")))</x:f>
        <x:v>Не найдено</x:v>
      </x:c>
      <x:c r="J134" s="14"/>
    </x:row>
    <x:row r="135" ht="40" customHeight="1">
      <x:c r="A135" s="12" t="str">
        <x:v>дерматоскопия цена сургут</x:v>
      </x:c>
      <x:c r="B135" s="12" t="str">
        <x:v>Дерматоскопия</x:v>
      </x:c>
      <x:c r="C135" s="26" t="n">
        <x:v>7</x:v>
      </x:c>
      <x:c r="D135" s="26" t="n">
        <x:v>6</x:v>
      </x:c>
      <x:c r="E135" s="28" t="n">
        <x:f>IF(AND(ISNUMBER(C135),ISNUMBER(D135)),C135-D135,IF(AND(C135="Не найдено",ISNUMBER(D135)),"Появился",IF(AND(ISNUMBER(C135),D135="Не найдено"),"Не найдено","Нет сравнения")))</x:f>
        <x:v>1</x:v>
      </x:c>
      <x:c r="F135" s="15" t="str">
        <x:v>https://kozhaclinic.ru/osmotry-i-konsultatsii/dermatoskopiya/</x:v>
      </x:c>
      <x:c r="G135" s="26" t="str">
        <x:v>Не найдено</x:v>
      </x:c>
      <x:c r="H135" s="26" t="str">
        <x:v>Не найдено</x:v>
      </x:c>
      <x:c r="I135" s="28" t="str">
        <x:f>IF(AND(ISNUMBER(G135),ISNUMBER(H135)),G135-H135,IF(AND(G135="Не найдено",ISNUMBER(H135)),"Появился",IF(AND(ISNUMBER(G135),H135="Не найдено"),"Не найдено","Нет сравнения")))</x:f>
        <x:v>Нет сравнения</x:v>
      </x:c>
      <x:c r="J135" s="12"/>
    </x:row>
    <x:row r="136" ht="40" customHeight="1">
      <x:c r="A136" s="14" t="str">
        <x:v>дерматолог сургут</x:v>
      </x:c>
      <x:c r="B136" s="14" t="str">
        <x:v>Врачи</x:v>
      </x:c>
      <x:c r="C136" s="27" t="n">
        <x:v>19</x:v>
      </x:c>
      <x:c r="D136" s="27" t="n">
        <x:v>21</x:v>
      </x:c>
      <x:c r="E136" s="29" t="n">
        <x:f>IF(AND(ISNUMBER(C136),ISNUMBER(D136)),C136-D136,IF(AND(C136="Не найдено",ISNUMBER(D136)),"Появился",IF(AND(ISNUMBER(C136),D136="Не найдено"),"Не найдено","Нет сравнения")))</x:f>
        <x:v>-2</x:v>
      </x:c>
      <x:c r="F136" s="16" t="str">
        <x:v>https://kozhaclinic.ru/osmotry-i-konsultatsii/konsultatsiya-vracha-dermatologa-s-naznacheniem-plana-protsedur/</x:v>
      </x:c>
      <x:c r="G136" s="27" t="str">
        <x:v>Не найдено</x:v>
      </x:c>
      <x:c r="H136" s="27" t="str">
        <x:v>Не найдено</x:v>
      </x:c>
      <x:c r="I136" s="29" t="str">
        <x:f>IF(AND(ISNUMBER(G136),ISNUMBER(H136)),G136-H136,IF(AND(G136="Не найдено",ISNUMBER(H136)),"Появился",IF(AND(ISNUMBER(G136),H136="Не найдено"),"Не найдено","Нет сравнения")))</x:f>
        <x:v>Нет сравнения</x:v>
      </x:c>
      <x:c r="J136" s="14"/>
    </x:row>
    <x:row r="137" ht="40" customHeight="1">
      <x:c r="A137" s="12" t="str">
        <x:v>трихолог сургут</x:v>
      </x:c>
      <x:c r="B137" s="12" t="str">
        <x:v>Врачи</x:v>
      </x:c>
      <x:c r="C137" s="26" t="n">
        <x:v>13</x:v>
      </x:c>
      <x:c r="D137" s="26" t="n">
        <x:v>16</x:v>
      </x:c>
      <x:c r="E137" s="28" t="n">
        <x:f>IF(AND(ISNUMBER(C137),ISNUMBER(D137)),C137-D137,IF(AND(C137="Не найдено",ISNUMBER(D137)),"Появился",IF(AND(ISNUMBER(C137),D137="Не найдено"),"Не найдено","Нет сравнения")))</x:f>
        <x:v>-3</x:v>
      </x:c>
      <x:c r="F137" s="15" t="str">
        <x:v>https://kozhaclinic.ru/osmotry-i-konsultatsii/konsultatsiya-vracha-trikhologa-s-naznacheniem-plana-protsedur/</x:v>
      </x:c>
      <x:c r="G137" s="26" t="n">
        <x:v>2</x:v>
      </x:c>
      <x:c r="H137" s="26" t="n">
        <x:v>3</x:v>
      </x:c>
      <x:c r="I137" s="28" t="n">
        <x:f>IF(AND(ISNUMBER(G137),ISNUMBER(H137)),G137-H137,IF(AND(G137="Не найдено",ISNUMBER(H137)),"Появился",IF(AND(ISNUMBER(G137),H137="Не найдено"),"Не найдено","Нет сравнения")))</x:f>
        <x:v>-1</x:v>
      </x:c>
      <x:c r="J137" s="15" t="str">
        <x:v>https://kozhaclinic.ru/osmotry-i-konsultatsii/konsultatsiya-vracha-trikhologa-s-naznacheniem-plana-protsedur/</x:v>
      </x:c>
    </x:row>
    <x:row r="138" ht="40" customHeight="1">
      <x:c r="A138" s="14" t="str">
        <x:v>косметолог сургут</x:v>
      </x:c>
      <x:c r="B138" s="14" t="str">
        <x:v>Врачи</x:v>
      </x:c>
      <x:c r="C138" s="27" t="n">
        <x:v>14</x:v>
      </x:c>
      <x:c r="D138" s="27" t="n">
        <x:v>10</x:v>
      </x:c>
      <x:c r="E138" s="29" t="n">
        <x:f>IF(AND(ISNUMBER(C138),ISNUMBER(D138)),C138-D138,IF(AND(C138="Не найдено",ISNUMBER(D138)),"Появился",IF(AND(ISNUMBER(C138),D138="Не найдено"),"Не найдено","Нет сравнения")))</x:f>
        <x:v>4</x:v>
      </x:c>
      <x:c r="F138" s="16" t="str">
        <x:v>https://kozhaclinic.ru/</x:v>
      </x:c>
      <x:c r="G138" s="27" t="n">
        <x:v>4</x:v>
      </x:c>
      <x:c r="H138" s="27" t="n">
        <x:v>3</x:v>
      </x:c>
      <x:c r="I138" s="29" t="n">
        <x:f>IF(AND(ISNUMBER(G138),ISNUMBER(H138)),G138-H138,IF(AND(G138="Не найдено",ISNUMBER(H138)),"Появился",IF(AND(ISNUMBER(G138),H138="Не найдено"),"Не найдено","Нет сравнения")))</x:f>
        <x:v>1</x:v>
      </x:c>
      <x:c r="J138" s="16" t="str">
        <x:v>https://kozhaclinic.ru/</x:v>
      </x:c>
    </x:row>
    <x:row r="139" ht="40" customHeight="1">
      <x:c r="A139" s="12" t="str">
        <x:v>платный дерматолог сургут</x:v>
      </x:c>
      <x:c r="B139" s="12" t="str">
        <x:v>Врачи</x:v>
      </x:c>
      <x:c r="C139" s="26" t="n">
        <x:v>20</x:v>
      </x:c>
      <x:c r="D139" s="26" t="n">
        <x:v>19</x:v>
      </x:c>
      <x:c r="E139" s="28" t="n">
        <x:f>IF(AND(ISNUMBER(C139),ISNUMBER(D139)),C139-D139,IF(AND(C139="Не найдено",ISNUMBER(D139)),"Появился",IF(AND(ISNUMBER(C139),D139="Не найдено"),"Не найдено","Нет сравнения")))</x:f>
        <x:v>1</x:v>
      </x:c>
      <x:c r="F139" s="15" t="str">
        <x:v>https://kozhaclinic.ru/osmotry-i-konsultatsii/konsultatsiya-vracha-dermatologa-s-naznacheniem-plana-protsedur/</x:v>
      </x:c>
      <x:c r="G139" s="26" t="str">
        <x:v>Не найдено</x:v>
      </x:c>
      <x:c r="H139" s="26" t="str">
        <x:v>Не найдено</x:v>
      </x:c>
      <x:c r="I139" s="28" t="str">
        <x:f>IF(AND(ISNUMBER(G139),ISNUMBER(H139)),G139-H139,IF(AND(G139="Не найдено",ISNUMBER(H139)),"Появился",IF(AND(ISNUMBER(G139),H139="Не найдено"),"Не найдено","Нет сравнения")))</x:f>
        <x:v>Нет сравнения</x:v>
      </x:c>
      <x:c r="J139" s="12"/>
    </x:row>
    <x:row r="140" ht="40" customHeight="1">
      <x:c r="A140" s="14" t="str">
        <x:v>платный трихолог сургут</x:v>
      </x:c>
      <x:c r="B140" s="14" t="str">
        <x:v>Врачи</x:v>
      </x:c>
      <x:c r="C140" s="27" t="n">
        <x:v>13</x:v>
      </x:c>
      <x:c r="D140" s="27" t="n">
        <x:v>16</x:v>
      </x:c>
      <x:c r="E140" s="29" t="n">
        <x:f>IF(AND(ISNUMBER(C140),ISNUMBER(D140)),C140-D140,IF(AND(C140="Не найдено",ISNUMBER(D140)),"Появился",IF(AND(ISNUMBER(C140),D140="Не найдено"),"Не найдено","Нет сравнения")))</x:f>
        <x:v>-3</x:v>
      </x:c>
      <x:c r="F140" s="16" t="str">
        <x:v>https://kozhaclinic.ru/osmotry-i-konsultatsii/konsultatsiya-vracha-trikhologa-s-naznacheniem-plana-protsedur/</x:v>
      </x:c>
      <x:c r="G140" s="27" t="n">
        <x:v>4</x:v>
      </x:c>
      <x:c r="H140" s="27" t="n">
        <x:v>3</x:v>
      </x:c>
      <x:c r="I140" s="29" t="n">
        <x:f>IF(AND(ISNUMBER(G140),ISNUMBER(H140)),G140-H140,IF(AND(G140="Не найдено",ISNUMBER(H140)),"Появился",IF(AND(ISNUMBER(G140),H140="Не найдено"),"Не найдено","Нет сравнения")))</x:f>
        <x:v>1</x:v>
      </x:c>
      <x:c r="J140" s="16" t="str">
        <x:v>https://kozhaclinic.ru/osmotry-i-konsultatsii/konsultatsiya-vracha-trikhologa-s-naznacheniem-plana-protsedur/</x:v>
      </x:c>
    </x:row>
    <x:row r="141" ht="40" customHeight="1">
      <x:c r="A141" s="12" t="str">
        <x:v>платный косметолог сургут</x:v>
      </x:c>
      <x:c r="B141" s="12" t="str">
        <x:v>Врачи</x:v>
      </x:c>
      <x:c r="C141" s="26" t="n">
        <x:v>4</x:v>
      </x:c>
      <x:c r="D141" s="26" t="n">
        <x:v>3</x:v>
      </x:c>
      <x:c r="E141" s="28" t="n">
        <x:f>IF(AND(ISNUMBER(C141),ISNUMBER(D141)),C141-D141,IF(AND(C141="Не найдено",ISNUMBER(D141)),"Появился",IF(AND(ISNUMBER(C141),D141="Не найдено"),"Не найдено","Нет сравнения")))</x:f>
        <x:v>1</x:v>
      </x:c>
      <x:c r="F141" s="15" t="str">
        <x:v>https://kozhaclinic.ru/ceny-prajs-list/</x:v>
      </x:c>
      <x:c r="G141" s="26" t="n">
        <x:v>5</x:v>
      </x:c>
      <x:c r="H141" s="26" t="n">
        <x:v>4</x:v>
      </x:c>
      <x:c r="I141" s="28" t="n">
        <x:f>IF(AND(ISNUMBER(G141),ISNUMBER(H141)),G141-H141,IF(AND(G141="Не найдено",ISNUMBER(H141)),"Появился",IF(AND(ISNUMBER(G141),H141="Не найдено"),"Не найдено","Нет сравнения")))</x:f>
        <x:v>1</x:v>
      </x:c>
      <x:c r="J141" s="15" t="str">
        <x:v>https://kozhaclinic.ru/</x:v>
      </x:c>
    </x:row>
    <x:row r="142" ht="40" customHeight="1">
      <x:c r="A142" s="14" t="str">
        <x:v>омоложение шеи и декольте сургут</x:v>
      </x:c>
      <x:c r="B142" s="14" t="str">
        <x:v>Омоложение шеи и декольте</x:v>
      </x:c>
      <x:c r="C142" s="27" t="n">
        <x:v>1</x:v>
      </x:c>
      <x:c r="D142" s="27" t="n">
        <x:v>1</x:v>
      </x:c>
      <x:c r="E142" s="29" t="n">
        <x:f>IF(AND(ISNUMBER(C142),ISNUMBER(D142)),C142-D142,IF(AND(C142="Не найдено",ISNUMBER(D142)),"Появился",IF(AND(ISNUMBER(C142),D142="Не найдено"),"Не найдено","Нет сравнения")))</x:f>
        <x:v>0</x:v>
      </x:c>
      <x:c r="F142" s="16" t="str">
        <x:v>https://kozhaclinic.ru/omolozhenie-shei-i-dekolte/</x:v>
      </x:c>
      <x:c r="G142" s="27" t="n">
        <x:v>1</x:v>
      </x:c>
      <x:c r="H142" s="27" t="n">
        <x:v>1</x:v>
      </x:c>
      <x:c r="I142" s="29" t="n">
        <x:f>IF(AND(ISNUMBER(G142),ISNUMBER(H142)),G142-H142,IF(AND(G142="Не найдено",ISNUMBER(H142)),"Появился",IF(AND(ISNUMBER(G142),H142="Не найдено"),"Не найдено","Нет сравнения")))</x:f>
        <x:v>0</x:v>
      </x:c>
      <x:c r="J142" s="16" t="str">
        <x:v>https://kozhaclinic.ru/omolozhenie-shei-i-dekolte/</x:v>
      </x:c>
    </x:row>
    <x:row r="143" ht="40" customHeight="1">
      <x:c r="A143" s="12" t="str">
        <x:v>омоложение шеи сургут</x:v>
      </x:c>
      <x:c r="B143" s="12" t="str">
        <x:v>Омоложение шеи и декольте</x:v>
      </x:c>
      <x:c r="C143" s="26" t="n">
        <x:v>1</x:v>
      </x:c>
      <x:c r="D143" s="26" t="n">
        <x:v>1</x:v>
      </x:c>
      <x:c r="E143" s="28" t="n">
        <x:f>IF(AND(ISNUMBER(C143),ISNUMBER(D143)),C143-D143,IF(AND(C143="Не найдено",ISNUMBER(D143)),"Появился",IF(AND(ISNUMBER(C143),D143="Не найдено"),"Не найдено","Нет сравнения")))</x:f>
        <x:v>0</x:v>
      </x:c>
      <x:c r="F143" s="15" t="str">
        <x:v>https://kozhaclinic.ru/omolozhenie-shei-i-dekolte/</x:v>
      </x:c>
      <x:c r="G143" s="26" t="n">
        <x:v>1</x:v>
      </x:c>
      <x:c r="H143" s="26" t="n">
        <x:v>1</x:v>
      </x:c>
      <x:c r="I143" s="28" t="n">
        <x:f>IF(AND(ISNUMBER(G143),ISNUMBER(H143)),G143-H143,IF(AND(G143="Не найдено",ISNUMBER(H143)),"Появился",IF(AND(ISNUMBER(G143),H143="Не найдено"),"Не найдено","Нет сравнения")))</x:f>
        <x:v>0</x:v>
      </x:c>
      <x:c r="J143" s="15" t="str">
        <x:v>https://kozhaclinic.ru/omolozhenie-shei-i-dekolte/</x:v>
      </x:c>
    </x:row>
    <x:row r="144" ht="40" customHeight="1">
      <x:c r="A144" s="14" t="str">
        <x:v>омоложение декольте сургут</x:v>
      </x:c>
      <x:c r="B144" s="14" t="str">
        <x:v>Омоложение шеи и декольте</x:v>
      </x:c>
      <x:c r="C144" s="27" t="n">
        <x:v>1</x:v>
      </x:c>
      <x:c r="D144" s="27" t="n">
        <x:v>1</x:v>
      </x:c>
      <x:c r="E144" s="29" t="n">
        <x:f>IF(AND(ISNUMBER(C144),ISNUMBER(D144)),C144-D144,IF(AND(C144="Не найдено",ISNUMBER(D144)),"Появился",IF(AND(ISNUMBER(C144),D144="Не найдено"),"Не найдено","Нет сравнения")))</x:f>
        <x:v>0</x:v>
      </x:c>
      <x:c r="F144" s="16" t="str">
        <x:v>https://kozhaclinic.ru/omolozhenie-shei-i-dekolte/</x:v>
      </x:c>
      <x:c r="G144" s="27" t="n">
        <x:v>1</x:v>
      </x:c>
      <x:c r="H144" s="27" t="n">
        <x:v>1</x:v>
      </x:c>
      <x:c r="I144" s="29" t="n">
        <x:f>IF(AND(ISNUMBER(G144),ISNUMBER(H144)),G144-H144,IF(AND(G144="Не найдено",ISNUMBER(H144)),"Появился",IF(AND(ISNUMBER(G144),H144="Не найдено"),"Не найдено","Нет сравнения")))</x:f>
        <x:v>0</x:v>
      </x:c>
      <x:c r="J144" s="16" t="str">
        <x:v>https://kozhaclinic.ru/omolozhenie-shei-i-dekolte/</x:v>
      </x:c>
    </x:row>
    <x:row r="145" ht="40" customHeight="1">
      <x:c r="A145" s="12" t="str">
        <x:v>процедуры для омоложения шеи сургут</x:v>
      </x:c>
      <x:c r="B145" s="12" t="str">
        <x:v>Омоложение шеи и декольте</x:v>
      </x:c>
      <x:c r="C145" s="26" t="n">
        <x:v>1</x:v>
      </x:c>
      <x:c r="D145" s="26" t="n">
        <x:v>1</x:v>
      </x:c>
      <x:c r="E145" s="28" t="n">
        <x:f>IF(AND(ISNUMBER(C145),ISNUMBER(D145)),C145-D145,IF(AND(C145="Не найдено",ISNUMBER(D145)),"Появился",IF(AND(ISNUMBER(C145),D145="Не найдено"),"Не найдено","Нет сравнения")))</x:f>
        <x:v>0</x:v>
      </x:c>
      <x:c r="F145" s="15" t="str">
        <x:v>https://kozhaclinic.ru/omolozhenie-shei-i-dekolte/</x:v>
      </x:c>
      <x:c r="G145" s="26" t="n">
        <x:v>1</x:v>
      </x:c>
      <x:c r="H145" s="26" t="n">
        <x:v>1</x:v>
      </x:c>
      <x:c r="I145" s="28" t="n">
        <x:f>IF(AND(ISNUMBER(G145),ISNUMBER(H145)),G145-H145,IF(AND(G145="Не найдено",ISNUMBER(H145)),"Появился",IF(AND(ISNUMBER(G145),H145="Не найдено"),"Не найдено","Нет сравнения")))</x:f>
        <x:v>0</x:v>
      </x:c>
      <x:c r="J145" s="15" t="str">
        <x:v>https://kozhaclinic.ru/omolozhenie-shei-i-dekolte/</x:v>
      </x:c>
    </x:row>
    <x:row r="146" ht="40" customHeight="1">
      <x:c r="A146" s="14" t="str">
        <x:v>процедуры для шеи и декольте сургут</x:v>
      </x:c>
      <x:c r="B146" s="14" t="str">
        <x:v>Омоложение шеи и декольте</x:v>
      </x:c>
      <x:c r="C146" s="27" t="n">
        <x:v>1</x:v>
      </x:c>
      <x:c r="D146" s="27" t="n">
        <x:v>1</x:v>
      </x:c>
      <x:c r="E146" s="29" t="n">
        <x:f>IF(AND(ISNUMBER(C146),ISNUMBER(D146)),C146-D146,IF(AND(C146="Не найдено",ISNUMBER(D146)),"Появился",IF(AND(ISNUMBER(C146),D146="Не найдено"),"Не найдено","Нет сравнения")))</x:f>
        <x:v>0</x:v>
      </x:c>
      <x:c r="F146" s="16" t="str">
        <x:v>https://kozhaclinic.ru/omolozhenie-shei-i-dekolte/</x:v>
      </x:c>
      <x:c r="G146" s="27" t="n">
        <x:v>1</x:v>
      </x:c>
      <x:c r="H146" s="27" t="n">
        <x:v>1</x:v>
      </x:c>
      <x:c r="I146" s="29" t="n">
        <x:f>IF(AND(ISNUMBER(G146),ISNUMBER(H146)),G146-H146,IF(AND(G146="Не найдено",ISNUMBER(H146)),"Появился",IF(AND(ISNUMBER(G146),H146="Не найдено"),"Не найдено","Нет сравнения")))</x:f>
        <x:v>0</x:v>
      </x:c>
      <x:c r="J146" s="16" t="str">
        <x:v>https://kozhaclinic.ru/omolozhenie-shei-i-dekolte/</x:v>
      </x:c>
    </x:row>
    <x:row r="147" ht="40" customHeight="1">
      <x:c r="A147" s="12" t="str">
        <x:v>косметология шеи и декольте сургут</x:v>
      </x:c>
      <x:c r="B147" s="12" t="str">
        <x:v>Омоложение шеи и декольте</x:v>
      </x:c>
      <x:c r="C147" s="26" t="n">
        <x:v>1</x:v>
      </x:c>
      <x:c r="D147" s="26" t="n">
        <x:v>3</x:v>
      </x:c>
      <x:c r="E147" s="28" t="n">
        <x:f>IF(AND(ISNUMBER(C147),ISNUMBER(D147)),C147-D147,IF(AND(C147="Не найдено",ISNUMBER(D147)),"Появился",IF(AND(ISNUMBER(C147),D147="Не найдено"),"Не найдено","Нет сравнения")))</x:f>
        <x:v>-2</x:v>
      </x:c>
      <x:c r="F147" s="15" t="str">
        <x:v>https://kozhaclinic.ru/omolozhenie-shei-i-dekolte/</x:v>
      </x:c>
      <x:c r="G147" s="26" t="n">
        <x:v>1</x:v>
      </x:c>
      <x:c r="H147" s="26" t="n">
        <x:v>1</x:v>
      </x:c>
      <x:c r="I147" s="28" t="n">
        <x:f>IF(AND(ISNUMBER(G147),ISNUMBER(H147)),G147-H147,IF(AND(G147="Не найдено",ISNUMBER(H147)),"Появился",IF(AND(ISNUMBER(G147),H147="Не найдено"),"Не найдено","Нет сравнения")))</x:f>
        <x:v>0</x:v>
      </x:c>
      <x:c r="J147" s="15" t="str">
        <x:v>https://kozhaclinic.ru/</x:v>
      </x:c>
    </x:row>
    <x:row r="148" ht="40" customHeight="1">
      <x:c r="A148" s="14" t="str">
        <x:v>убрать морщины на шее сургут</x:v>
      </x:c>
      <x:c r="B148" s="14" t="str">
        <x:v>Омоложение шеи и декольте</x:v>
      </x:c>
      <x:c r="C148" s="27" t="n">
        <x:v>1</x:v>
      </x:c>
      <x:c r="D148" s="27" t="n">
        <x:v>1</x:v>
      </x:c>
      <x:c r="E148" s="29" t="n">
        <x:f>IF(AND(ISNUMBER(C148),ISNUMBER(D148)),C148-D148,IF(AND(C148="Не найдено",ISNUMBER(D148)),"Появился",IF(AND(ISNUMBER(C148),D148="Не найдено"),"Не найдено","Нет сравнения")))</x:f>
        <x:v>0</x:v>
      </x:c>
      <x:c r="F148" s="16" t="str">
        <x:v>https://kozhaclinic.ru/omolozhenie-shei-i-dekolte/</x:v>
      </x:c>
      <x:c r="G148" s="27" t="n">
        <x:v>1</x:v>
      </x:c>
      <x:c r="H148" s="27" t="n">
        <x:v>1</x:v>
      </x:c>
      <x:c r="I148" s="29" t="n">
        <x:f>IF(AND(ISNUMBER(G148),ISNUMBER(H148)),G148-H148,IF(AND(G148="Не найдено",ISNUMBER(H148)),"Появился",IF(AND(ISNUMBER(G148),H148="Не найдено"),"Не найдено","Нет сравнения")))</x:f>
        <x:v>0</x:v>
      </x:c>
      <x:c r="J148" s="16" t="str">
        <x:v>https://kozhaclinic.ru/ustranenie-mimicheskikh-morshchin/</x:v>
      </x:c>
    </x:row>
    <x:row r="149" ht="40" customHeight="1">
      <x:c r="A149" s="12" t="str">
        <x:v>коррекция колец венеры сургут</x:v>
      </x:c>
      <x:c r="B149" s="12" t="str">
        <x:v>Омоложение шеи и декольте</x:v>
      </x:c>
      <x:c r="C149" s="26" t="n">
        <x:v>2</x:v>
      </x:c>
      <x:c r="D149" s="26" t="n">
        <x:v>2</x:v>
      </x:c>
      <x:c r="E149" s="28" t="n">
        <x:f>IF(AND(ISNUMBER(C149),ISNUMBER(D149)),C149-D149,IF(AND(C149="Не найдено",ISNUMBER(D149)),"Появился",IF(AND(ISNUMBER(C149),D149="Не найдено"),"Не найдено","Нет сравнения")))</x:f>
        <x:v>0</x:v>
      </x:c>
      <x:c r="F149" s="15" t="str">
        <x:v>https://kozhaclinic.ru/omolozhenie-shei-i-dekolte/</x:v>
      </x:c>
      <x:c r="G149" s="26" t="n">
        <x:v>4</x:v>
      </x:c>
      <x:c r="H149" s="26" t="n">
        <x:v>9</x:v>
      </x:c>
      <x:c r="I149" s="28" t="n">
        <x:f>IF(AND(ISNUMBER(G149),ISNUMBER(H149)),G149-H149,IF(AND(G149="Не найдено",ISNUMBER(H149)),"Появился",IF(AND(ISNUMBER(G149),H149="Не найдено"),"Не найдено","Нет сравнения")))</x:f>
        <x:v>-5</x:v>
      </x:c>
      <x:c r="J149" s="15" t="str">
        <x:v>https://kozhaclinic.ru/omolozhenie-shei-i-dekolte/</x:v>
      </x:c>
    </x:row>
    <x:row r="150" ht="40" customHeight="1">
      <x:c r="A150" s="14" t="str">
        <x:v>кольца венеры на шее коррекция сургут</x:v>
      </x:c>
      <x:c r="B150" s="14" t="str">
        <x:v>Омоложение шеи и декольте</x:v>
      </x:c>
      <x:c r="C150" s="27" t="n">
        <x:v>2</x:v>
      </x:c>
      <x:c r="D150" s="27" t="str">
        <x:v>Не найдено</x:v>
      </x:c>
      <x:c r="E150" s="29" t="str">
        <x:f>IF(AND(ISNUMBER(C150),ISNUMBER(D150)),C150-D150,IF(AND(C150="Не найдено",ISNUMBER(D150)),"Появился",IF(AND(ISNUMBER(C150),D150="Не найдено"),"Не найдено","Нет сравнения")))</x:f>
        <x:v>Не найдено</x:v>
      </x:c>
      <x:c r="F150" s="14"/>
      <x:c r="G150" s="27" t="n">
        <x:v>2</x:v>
      </x:c>
      <x:c r="H150" s="27" t="n">
        <x:v>8</x:v>
      </x:c>
      <x:c r="I150" s="29" t="n">
        <x:f>IF(AND(ISNUMBER(G150),ISNUMBER(H150)),G150-H150,IF(AND(G150="Не найдено",ISNUMBER(H150)),"Появился",IF(AND(ISNUMBER(G150),H150="Не найдено"),"Не найдено","Нет сравнения")))</x:f>
        <x:v>-6</x:v>
      </x:c>
      <x:c r="J150" s="16" t="str">
        <x:v>https://kozhaclinic.ru/omolozhenie-shei-i-dekolte/</x:v>
      </x:c>
    </x:row>
    <x:row r="151" ht="40" customHeight="1">
      <x:c r="A151" s="12" t="str">
        <x:v>ботокс шеи сургут</x:v>
      </x:c>
      <x:c r="B151" s="12" t="str">
        <x:v>Омоложение шеи и декольте</x:v>
      </x:c>
      <x:c r="C151" s="26" t="n">
        <x:v>1</x:v>
      </x:c>
      <x:c r="D151" s="26" t="n">
        <x:v>1</x:v>
      </x:c>
      <x:c r="E151" s="28" t="n">
        <x:f>IF(AND(ISNUMBER(C151),ISNUMBER(D151)),C151-D151,IF(AND(C151="Не найдено",ISNUMBER(D151)),"Появился",IF(AND(ISNUMBER(C151),D151="Не найдено"),"Не найдено","Нет сравнения")))</x:f>
        <x:v>0</x:v>
      </x:c>
      <x:c r="F151" s="15" t="str">
        <x:v>https://kozhaclinic.ru/inekcionnaya-kosmetologiya/botulinoterapiya/</x:v>
      </x:c>
      <x:c r="G151" s="26" t="n">
        <x:v>1</x:v>
      </x:c>
      <x:c r="H151" s="26" t="n">
        <x:v>1</x:v>
      </x:c>
      <x:c r="I151" s="28" t="n">
        <x:f>IF(AND(ISNUMBER(G151),ISNUMBER(H151)),G151-H151,IF(AND(G151="Не найдено",ISNUMBER(H151)),"Появился",IF(AND(ISNUMBER(G151),H151="Не найдено"),"Не найдено","Нет сравнения")))</x:f>
        <x:v>0</x:v>
      </x:c>
      <x:c r="J151" s="15" t="str">
        <x:v>https://kozhaclinic.ru/inekcionnaya-kosmetologiya/botulinoterapiya/</x:v>
      </x:c>
    </x:row>
    <x:row r="152" ht="40" customHeight="1">
      <x:c r="A152" s="14" t="str">
        <x:v>ботулинотерапия шеи сургут</x:v>
      </x:c>
      <x:c r="B152" s="14" t="str">
        <x:v>Омоложение шеи и декольте</x:v>
      </x:c>
      <x:c r="C152" s="27" t="n">
        <x:v>1</x:v>
      </x:c>
      <x:c r="D152" s="27" t="n">
        <x:v>1</x:v>
      </x:c>
      <x:c r="E152" s="29" t="n">
        <x:f>IF(AND(ISNUMBER(C152),ISNUMBER(D152)),C152-D152,IF(AND(C152="Не найдено",ISNUMBER(D152)),"Появился",IF(AND(ISNUMBER(C152),D152="Не найдено"),"Не найдено","Нет сравнения")))</x:f>
        <x:v>0</x:v>
      </x:c>
      <x:c r="F152" s="16" t="str">
        <x:v>https://kozhaclinic.ru/omolozhenie-shei-i-dekolte/</x:v>
      </x:c>
      <x:c r="G152" s="27" t="str">
        <x:v>Не найдено</x:v>
      </x:c>
      <x:c r="H152" s="27" t="n">
        <x:v>2</x:v>
      </x:c>
      <x:c r="I152" s="29" t="str">
        <x:f>IF(AND(ISNUMBER(G152),ISNUMBER(H152)),G152-H152,IF(AND(G152="Не найдено",ISNUMBER(H152)),"Появился",IF(AND(ISNUMBER(G152),H152="Не найдено"),"Не найдено","Нет сравнения")))</x:f>
        <x:v>Появился</x:v>
      </x:c>
      <x:c r="J152" s="16" t="str">
        <x:v>https://kozhaclinic.ru/inekcionnaya-kosmetologiya/botulinoterapiya/</x:v>
      </x:c>
    </x:row>
    <x:row r="153" ht="40" customHeight="1">
      <x:c r="A153" s="12" t="str">
        <x:v>биоревитализация шеи и декольте сургут</x:v>
      </x:c>
      <x:c r="B153" s="12" t="str">
        <x:v>Омоложение шеи и декольте</x:v>
      </x:c>
      <x:c r="C153" s="26" t="n">
        <x:v>1</x:v>
      </x:c>
      <x:c r="D153" s="26" t="n">
        <x:v>1</x:v>
      </x:c>
      <x:c r="E153" s="28" t="n">
        <x:f>IF(AND(ISNUMBER(C153),ISNUMBER(D153)),C153-D153,IF(AND(C153="Не найдено",ISNUMBER(D153)),"Появился",IF(AND(ISNUMBER(C153),D153="Не найдено"),"Не найдено","Нет сравнения")))</x:f>
        <x:v>0</x:v>
      </x:c>
      <x:c r="F153" s="15" t="str">
        <x:v>https://kozhaclinic.ru/inekcionnaya-kosmetologiya/omolozhenie-i-pitanie-kozhi/biorevitalizatsiya-shei-i-dekolte/</x:v>
      </x:c>
      <x:c r="G153" s="26" t="n">
        <x:v>1</x:v>
      </x:c>
      <x:c r="H153" s="26" t="n">
        <x:v>1</x:v>
      </x:c>
      <x:c r="I153" s="28" t="n">
        <x:f>IF(AND(ISNUMBER(G153),ISNUMBER(H153)),G153-H153,IF(AND(G153="Не найдено",ISNUMBER(H153)),"Появился",IF(AND(ISNUMBER(G153),H153="Не найдено"),"Не найдено","Нет сравнения")))</x:f>
        <x:v>0</x:v>
      </x:c>
      <x:c r="J153" s="15" t="str">
        <x:v>https://kozhaclinic.ru/inekcionnaya-kosmetologiya/omolozhenie-i-pitanie-kozhi/biorevitalizatsiya-shei-i-dekolte/</x:v>
      </x:c>
    </x:row>
    <x:row r="154" ht="40" customHeight="1">
      <x:c r="A154" s="14" t="str">
        <x:v>rf лифтинг шеи и декольте сургут</x:v>
      </x:c>
      <x:c r="B154" s="14" t="str">
        <x:v>Омоложение шеи и декольте</x:v>
      </x:c>
      <x:c r="C154" s="27" t="n">
        <x:v>1</x:v>
      </x:c>
      <x:c r="D154" s="27" t="n">
        <x:v>1</x:v>
      </x:c>
      <x:c r="E154" s="29" t="n">
        <x:f>IF(AND(ISNUMBER(C154),ISNUMBER(D154)),C154-D154,IF(AND(C154="Не найдено",ISNUMBER(D154)),"Появился",IF(AND(ISNUMBER(C154),D154="Не найдено"),"Не найдено","Нет сравнения")))</x:f>
        <x:v>0</x:v>
      </x:c>
      <x:c r="F154" s="16" t="str">
        <x:v>https://kozhaclinic.ru/omolozhenie-shei-i-dekolte/</x:v>
      </x:c>
      <x:c r="G154" s="27" t="n">
        <x:v>3</x:v>
      </x:c>
      <x:c r="H154" s="27" t="n">
        <x:v>5</x:v>
      </x:c>
      <x:c r="I154" s="29" t="n">
        <x:f>IF(AND(ISNUMBER(G154),ISNUMBER(H154)),G154-H154,IF(AND(G154="Не найдено",ISNUMBER(H154)),"Появился",IF(AND(ISNUMBER(G154),H154="Не найдено"),"Не найдено","Нет сравнения")))</x:f>
        <x:v>-2</x:v>
      </x:c>
      <x:c r="J154" s="16" t="str">
        <x:v>https://kozhaclinic.ru/apparatnaya-kosmetologiya/igolchatyy-rf-lifting-na-morpheus-8/</x:v>
      </x:c>
    </x:row>
    <x:row r="155" ht="40" customHeight="1">
      <x:c r="A155" s="12" t="str">
        <x:v>омоложение кожи шеи цена</x:v>
      </x:c>
      <x:c r="B155" s="12" t="str">
        <x:v>Омоложение шеи и декольте</x:v>
      </x:c>
      <x:c r="C155" s="26" t="n">
        <x:v>1</x:v>
      </x:c>
      <x:c r="D155" s="26" t="n">
        <x:v>1</x:v>
      </x:c>
      <x:c r="E155" s="28" t="n">
        <x:f>IF(AND(ISNUMBER(C155),ISNUMBER(D155)),C155-D155,IF(AND(C155="Не найдено",ISNUMBER(D155)),"Появился",IF(AND(ISNUMBER(C155),D155="Не найдено"),"Не найдено","Нет сравнения")))</x:f>
        <x:v>0</x:v>
      </x:c>
      <x:c r="F155" s="15" t="str">
        <x:v>https://kozhaclinic.ru/omolozhenie-shei-i-dekolte/</x:v>
      </x:c>
      <x:c r="G155" s="26" t="str">
        <x:v>Не найдено</x:v>
      </x:c>
      <x:c r="H155" s="26" t="str">
        <x:v>Не найдено</x:v>
      </x:c>
      <x:c r="I155" s="28" t="str">
        <x:f>IF(AND(ISNUMBER(G155),ISNUMBER(H155)),G155-H155,IF(AND(G155="Не найдено",ISNUMBER(H155)),"Появился",IF(AND(ISNUMBER(G155),H155="Не найдено"),"Не найдено","Нет сравнения")))</x:f>
        <x:v>Нет сравнения</x:v>
      </x:c>
      <x:c r="J155" s="12"/>
    </x:row>
    <x:row r="156" ht="40" customHeight="1">
      <x:c r="A156" s="14" t="str">
        <x:v>улучшение овала лица</x:v>
      </x:c>
      <x:c r="B156" s="14" t="str">
        <x:v>Улучшение овала лица</x:v>
      </x:c>
      <x:c r="C156" s="27" t="str">
        <x:v>Не найдено</x:v>
      </x:c>
      <x:c r="D156" s="27" t="str">
        <x:v>Не найдено</x:v>
      </x:c>
      <x:c r="E156" s="29" t="str">
        <x:f>IF(AND(ISNUMBER(C156),ISNUMBER(D156)),C156-D156,IF(AND(C156="Не найдено",ISNUMBER(D156)),"Появился",IF(AND(ISNUMBER(C156),D156="Не найдено"),"Не найдено","Нет сравнения")))</x:f>
        <x:v>Нет сравнения</x:v>
      </x:c>
      <x:c r="F156" s="14"/>
      <x:c r="G156" s="27" t="str">
        <x:v>Не найдено</x:v>
      </x:c>
      <x:c r="H156" s="27" t="str">
        <x:v>Не найдено</x:v>
      </x:c>
      <x:c r="I156" s="29" t="str">
        <x:f>IF(AND(ISNUMBER(G156),ISNUMBER(H156)),G156-H156,IF(AND(G156="Не найдено",ISNUMBER(H156)),"Появился",IF(AND(ISNUMBER(G156),H156="Не найдено"),"Не найдено","Нет сравнения")))</x:f>
        <x:v>Нет сравнения</x:v>
      </x:c>
      <x:c r="J156" s="14"/>
    </x:row>
    <x:row r="157" ht="40" customHeight="1">
      <x:c r="A157" s="12" t="str">
        <x:v>улучшение овала лица сургут</x:v>
      </x:c>
      <x:c r="B157" s="12" t="str">
        <x:v>Улучшение овала лица</x:v>
      </x:c>
      <x:c r="C157" s="26" t="n">
        <x:v>1</x:v>
      </x:c>
      <x:c r="D157" s="26" t="n">
        <x:v>1</x:v>
      </x:c>
      <x:c r="E157" s="28" t="n">
        <x:f>IF(AND(ISNUMBER(C157),ISNUMBER(D157)),C157-D157,IF(AND(C157="Не найдено",ISNUMBER(D157)),"Появился",IF(AND(ISNUMBER(C157),D157="Не найдено"),"Не найдено","Нет сравнения")))</x:f>
        <x:v>0</x:v>
      </x:c>
      <x:c r="F157" s="15" t="str">
        <x:v>https://kozhaclinic.ru/uluchshenie-ovala-litsa/</x:v>
      </x:c>
      <x:c r="G157" s="26" t="n">
        <x:v>1</x:v>
      </x:c>
      <x:c r="H157" s="26" t="n">
        <x:v>1</x:v>
      </x:c>
      <x:c r="I157" s="28" t="n">
        <x:f>IF(AND(ISNUMBER(G157),ISNUMBER(H157)),G157-H157,IF(AND(G157="Не найдено",ISNUMBER(H157)),"Появился",IF(AND(ISNUMBER(G157),H157="Не найдено"),"Не найдено","Нет сравнения")))</x:f>
        <x:v>0</x:v>
      </x:c>
      <x:c r="J157" s="15" t="str">
        <x:v>https://kozhaclinic.ru/inekcionnaya-kosmetologiya/konturnaya-plastika/konturnaya-plastika-litsa/</x:v>
      </x:c>
    </x:row>
    <x:row r="158" ht="40" customHeight="1">
      <x:c r="A158" s="14" t="str">
        <x:v>омоложение кожи лица</x:v>
      </x:c>
      <x:c r="B158" s="14" t="str">
        <x:v>Омоложениее кожи лица</x:v>
      </x:c>
      <x:c r="C158" s="27" t="n">
        <x:v>5</x:v>
      </x:c>
      <x:c r="D158" s="27" t="n">
        <x:v>5</x:v>
      </x:c>
      <x:c r="E158" s="29" t="n">
        <x:f>IF(AND(ISNUMBER(C158),ISNUMBER(D158)),C158-D158,IF(AND(C158="Не найдено",ISNUMBER(D158)),"Появился",IF(AND(ISNUMBER(C158),D158="Не найдено"),"Не найдено","Нет сравнения")))</x:f>
        <x:v>0</x:v>
      </x:c>
      <x:c r="F158" s="16" t="str">
        <x:v>https://kozhaclinic.ru/omolozhenie-kozhi-litsa/</x:v>
      </x:c>
      <x:c r="G158" s="27" t="str">
        <x:v>Не найдено</x:v>
      </x:c>
      <x:c r="H158" s="27" t="str">
        <x:v>Не найдено</x:v>
      </x:c>
      <x:c r="I158" s="29" t="str">
        <x:f>IF(AND(ISNUMBER(G158),ISNUMBER(H158)),G158-H158,IF(AND(G158="Не найдено",ISNUMBER(H158)),"Появился",IF(AND(ISNUMBER(G158),H158="Не найдено"),"Не найдено","Нет сравнения")))</x:f>
        <x:v>Нет сравнения</x:v>
      </x:c>
      <x:c r="J158" s="14"/>
    </x:row>
    <x:row r="159" ht="40" customHeight="1">
      <x:c r="A159" s="12" t="str">
        <x:v>омоложение кожи лица сургут</x:v>
      </x:c>
      <x:c r="B159" s="12" t="str">
        <x:v>Омоложениее кожи лица</x:v>
      </x:c>
      <x:c r="C159" s="26" t="n">
        <x:v>1</x:v>
      </x:c>
      <x:c r="D159" s="26" t="n">
        <x:v>1</x:v>
      </x:c>
      <x:c r="E159" s="28" t="n">
        <x:f>IF(AND(ISNUMBER(C159),ISNUMBER(D159)),C159-D159,IF(AND(C159="Не найдено",ISNUMBER(D159)),"Появился",IF(AND(ISNUMBER(C159),D159="Не найдено"),"Не найдено","Нет сравнения")))</x:f>
        <x:v>0</x:v>
      </x:c>
      <x:c r="F159" s="15" t="str">
        <x:v>https://kozhaclinic.ru/omolozhenie-kozhi-litsa/</x:v>
      </x:c>
      <x:c r="G159" s="26" t="n">
        <x:v>1</x:v>
      </x:c>
      <x:c r="H159" s="26" t="n">
        <x:v>1</x:v>
      </x:c>
      <x:c r="I159" s="28" t="n">
        <x:f>IF(AND(ISNUMBER(G159),ISNUMBER(H159)),G159-H159,IF(AND(G159="Не найдено",ISNUMBER(H159)),"Появился",IF(AND(ISNUMBER(G159),H159="Не найдено"),"Не найдено","Нет сравнения")))</x:f>
        <x:v>0</x:v>
      </x:c>
      <x:c r="J159" s="15" t="str">
        <x:v>https://kozhaclinic.ru/inekcionnaya-kosmetologiya/omolozhenie-i-pitanie-kozhi/</x:v>
      </x:c>
    </x:row>
    <x:row r="160" ht="40" customHeight="1">
      <x:c r="A160" s="14" t="str">
        <x:v>гипергидроз ладоней сургут</x:v>
      </x:c>
      <x:c r="B160" s="14" t="str">
        <x:v>Гипергидроз ладоней</x:v>
      </x:c>
      <x:c r="C160" s="27" t="n">
        <x:v>3</x:v>
      </x:c>
      <x:c r="D160" s="27" t="n">
        <x:v>1</x:v>
      </x:c>
      <x:c r="E160" s="29" t="n">
        <x:f>IF(AND(ISNUMBER(C160),ISNUMBER(D160)),C160-D160,IF(AND(C160="Не найдено",ISNUMBER(D160)),"Появился",IF(AND(ISNUMBER(C160),D160="Не найдено"),"Не найдено","Нет сравнения")))</x:f>
        <x:v>2</x:v>
      </x:c>
      <x:c r="F160" s="16" t="str">
        <x:v>https://kozhaclinic.ru/inekcionnaya-kosmetologiya/lechenie-gipergidroza/gipergidroz-ladoney/</x:v>
      </x:c>
      <x:c r="G160" s="27" t="n">
        <x:v>6</x:v>
      </x:c>
      <x:c r="H160" s="27" t="n">
        <x:v>5</x:v>
      </x:c>
      <x:c r="I160" s="29" t="n">
        <x:f>IF(AND(ISNUMBER(G160),ISNUMBER(H160)),G160-H160,IF(AND(G160="Не найдено",ISNUMBER(H160)),"Появился",IF(AND(ISNUMBER(G160),H160="Не найдено"),"Не найдено","Нет сравнения")))</x:f>
        <x:v>1</x:v>
      </x:c>
      <x:c r="J160" s="16" t="str">
        <x:v>https://kozhaclinic.ru/inekcionnaya-kosmetologiya/lechenie-gipergidroza/gipergidroz-ladoney/</x:v>
      </x:c>
    </x:row>
    <x:row r="161" ht="40" customHeight="1">
      <x:c r="A161" s="12" t="str">
        <x:v>гипергидроз ладоней лечение сургут</x:v>
      </x:c>
      <x:c r="B161" s="12" t="str">
        <x:v>Гипергидроз ладоней</x:v>
      </x:c>
      <x:c r="C161" s="26" t="n">
        <x:v>2</x:v>
      </x:c>
      <x:c r="D161" s="26" t="n">
        <x:v>1</x:v>
      </x:c>
      <x:c r="E161" s="28" t="n">
        <x:f>IF(AND(ISNUMBER(C161),ISNUMBER(D161)),C161-D161,IF(AND(C161="Не найдено",ISNUMBER(D161)),"Появился",IF(AND(ISNUMBER(C161),D161="Не найдено"),"Не найдено","Нет сравнения")))</x:f>
        <x:v>1</x:v>
      </x:c>
      <x:c r="F161" s="15" t="str">
        <x:v>https://kozhaclinic.ru/inekcionnaya-kosmetologiya/lechenie-gipergidroza/gipergidroz-ladoney/</x:v>
      </x:c>
      <x:c r="G161" s="26" t="n">
        <x:v>2</x:v>
      </x:c>
      <x:c r="H161" s="26" t="n">
        <x:v>2</x:v>
      </x:c>
      <x:c r="I161" s="28" t="n">
        <x:f>IF(AND(ISNUMBER(G161),ISNUMBER(H161)),G161-H161,IF(AND(G161="Не найдено",ISNUMBER(H161)),"Появился",IF(AND(ISNUMBER(G161),H161="Не найдено"),"Не найдено","Нет сравнения")))</x:f>
        <x:v>0</x:v>
      </x:c>
      <x:c r="J161" s="15" t="str">
        <x:v>https://kozhaclinic.ru/inekcionnaya-kosmetologiya/lechenie-gipergidroza/</x:v>
      </x:c>
    </x:row>
    <x:row r="162" ht="40" customHeight="1">
      <x:c r="A162" s="14" t="str">
        <x:v>гипергидроз стоп сургут</x:v>
      </x:c>
      <x:c r="B162" s="14" t="str">
        <x:v>Гипергидроз стоп</x:v>
      </x:c>
      <x:c r="C162" s="27" t="n">
        <x:v>2</x:v>
      </x:c>
      <x:c r="D162" s="27" t="n">
        <x:v>1</x:v>
      </x:c>
      <x:c r="E162" s="29" t="n">
        <x:f>IF(AND(ISNUMBER(C162),ISNUMBER(D162)),C162-D162,IF(AND(C162="Не найдено",ISNUMBER(D162)),"Появился",IF(AND(ISNUMBER(C162),D162="Не найдено"),"Не найдено","Нет сравнения")))</x:f>
        <x:v>1</x:v>
      </x:c>
      <x:c r="F162" s="16" t="str">
        <x:v>https://kozhaclinic.ru/inekcionnaya-kosmetologiya/lechenie-gipergidroza/gipergidroz-stop/</x:v>
      </x:c>
      <x:c r="G162" s="27" t="n">
        <x:v>3</x:v>
      </x:c>
      <x:c r="H162" s="27" t="n">
        <x:v>1</x:v>
      </x:c>
      <x:c r="I162" s="29" t="n">
        <x:f>IF(AND(ISNUMBER(G162),ISNUMBER(H162)),G162-H162,IF(AND(G162="Не найдено",ISNUMBER(H162)),"Появился",IF(AND(ISNUMBER(G162),H162="Не найдено"),"Не найдено","Нет сравнения")))</x:f>
        <x:v>2</x:v>
      </x:c>
      <x:c r="J162" s="16" t="str">
        <x:v>https://kozhaclinic.ru/inekcionnaya-kosmetologiya/lechenie-gipergidroza/</x:v>
      </x:c>
    </x:row>
    <x:row r="163" ht="40" customHeight="1">
      <x:c r="A163" s="12" t="str">
        <x:v>гипергидроз стоп лечение сургут</x:v>
      </x:c>
      <x:c r="B163" s="12" t="str">
        <x:v>Гипергидроз стоп</x:v>
      </x:c>
      <x:c r="C163" s="26" t="n">
        <x:v>1</x:v>
      </x:c>
      <x:c r="D163" s="26" t="n">
        <x:v>1</x:v>
      </x:c>
      <x:c r="E163" s="28" t="n">
        <x:f>IF(AND(ISNUMBER(C163),ISNUMBER(D163)),C163-D163,IF(AND(C163="Не найдено",ISNUMBER(D163)),"Появился",IF(AND(ISNUMBER(C163),D163="Не найдено"),"Не найдено","Нет сравнения")))</x:f>
        <x:v>0</x:v>
      </x:c>
      <x:c r="F163" s="15" t="str">
        <x:v>https://kozhaclinic.ru/inekcionnaya-kosmetologiya/lechenie-gipergidroza/gipergidroz-stop/</x:v>
      </x:c>
      <x:c r="G163" s="26" t="n">
        <x:v>1</x:v>
      </x:c>
      <x:c r="H163" s="26" t="n">
        <x:v>1</x:v>
      </x:c>
      <x:c r="I163" s="28" t="n">
        <x:f>IF(AND(ISNUMBER(G163),ISNUMBER(H163)),G163-H163,IF(AND(G163="Не найдено",ISNUMBER(H163)),"Появился",IF(AND(ISNUMBER(G163),H163="Не найдено"),"Не найдено","Нет сравнения")))</x:f>
        <x:v>0</x:v>
      </x:c>
      <x:c r="J163" s="15" t="str">
        <x:v>https://kozhaclinic.ru/lechenie-tsellyulita/</x:v>
      </x:c>
    </x:row>
    <x:row r="164" ht="40" customHeight="1">
      <x:c r="A164" s="14" t="str">
        <x:v>подтяжка кожи лица сургут</x:v>
      </x:c>
      <x:c r="B164" s="14" t="str">
        <x:v>Подтяжка кожи лица</x:v>
      </x:c>
      <x:c r="C164" s="27" t="n">
        <x:v>1</x:v>
      </x:c>
      <x:c r="D164" s="27" t="n">
        <x:v>3</x:v>
      </x:c>
      <x:c r="E164" s="29" t="n">
        <x:f>IF(AND(ISNUMBER(C164),ISNUMBER(D164)),C164-D164,IF(AND(C164="Не найдено",ISNUMBER(D164)),"Появился",IF(AND(ISNUMBER(C164),D164="Не найдено"),"Не найдено","Нет сравнения")))</x:f>
        <x:v>-2</x:v>
      </x:c>
      <x:c r="F164" s="16" t="str">
        <x:v>https://kozhaclinic.ru/podtyazhka-kozhi-litsa/</x:v>
      </x:c>
      <x:c r="G164" s="27" t="n">
        <x:v>2</x:v>
      </x:c>
      <x:c r="H164" s="27" t="n">
        <x:v>2</x:v>
      </x:c>
      <x:c r="I164" s="29" t="n">
        <x:f>IF(AND(ISNUMBER(G164),ISNUMBER(H164)),G164-H164,IF(AND(G164="Не найдено",ISNUMBER(H164)),"Появился",IF(AND(ISNUMBER(G164),H164="Не найдено"),"Не найдено","Нет сравнения")))</x:f>
        <x:v>0</x:v>
      </x:c>
      <x:c r="J164" s="16" t="str">
        <x:v>https://kozhaclinic.ru/podtyazhka-kozhi-litsa/</x:v>
      </x:c>
    </x:row>
    <x:row r="165" ht="40" customHeight="1">
      <x:c r="A165" s="12" t="str">
        <x:v>подтяжка лица сургут</x:v>
      </x:c>
      <x:c r="B165" s="12" t="str">
        <x:v>Подтяжка кожи лица</x:v>
      </x:c>
      <x:c r="C165" s="26" t="n">
        <x:v>5</x:v>
      </x:c>
      <x:c r="D165" s="26" t="n">
        <x:v>8</x:v>
      </x:c>
      <x:c r="E165" s="28" t="n">
        <x:f>IF(AND(ISNUMBER(C165),ISNUMBER(D165)),C165-D165,IF(AND(C165="Не найдено",ISNUMBER(D165)),"Появился",IF(AND(ISNUMBER(C165),D165="Не найдено"),"Не найдено","Нет сравнения")))</x:f>
        <x:v>-3</x:v>
      </x:c>
      <x:c r="F165" s="15" t="str">
        <x:v>https://kozhaclinic.ru/podtyazhka-kozhi-litsa/</x:v>
      </x:c>
      <x:c r="G165" s="26" t="str">
        <x:v>Не найдено</x:v>
      </x:c>
      <x:c r="H165" s="26" t="n">
        <x:v>4</x:v>
      </x:c>
      <x:c r="I165" s="28" t="str">
        <x:f>IF(AND(ISNUMBER(G165),ISNUMBER(H165)),G165-H165,IF(AND(G165="Не найдено",ISNUMBER(H165)),"Появился",IF(AND(ISNUMBER(G165),H165="Не найдено"),"Не найдено","Нет сравнения")))</x:f>
        <x:v>Появился</x:v>
      </x:c>
      <x:c r="J165" s="15" t="str">
        <x:v>https://kozhaclinic.ru/podtyazhka-kozhi-litsa/</x:v>
      </x:c>
    </x:row>
    <x:row r="166" ht="40" customHeight="1">
      <x:c r="A166" s="14" t="str">
        <x:v>подтяжка лица сургут цена</x:v>
      </x:c>
      <x:c r="B166" s="14" t="str">
        <x:v>Подтяжка кожи лица</x:v>
      </x:c>
      <x:c r="C166" s="27" t="n">
        <x:v>11</x:v>
      </x:c>
      <x:c r="D166" s="27" t="n">
        <x:v>10</x:v>
      </x:c>
      <x:c r="E166" s="29" t="n">
        <x:f>IF(AND(ISNUMBER(C166),ISNUMBER(D166)),C166-D166,IF(AND(C166="Не найдено",ISNUMBER(D166)),"Появился",IF(AND(ISNUMBER(C166),D166="Не найдено"),"Не найдено","Нет сравнения")))</x:f>
        <x:v>1</x:v>
      </x:c>
      <x:c r="F166" s="16" t="str">
        <x:v>https://kozhaclinic.ru/ceny-prajs-list/</x:v>
      </x:c>
      <x:c r="G166" s="27" t="n">
        <x:v>3</x:v>
      </x:c>
      <x:c r="H166" s="27" t="n">
        <x:v>4</x:v>
      </x:c>
      <x:c r="I166" s="29" t="n">
        <x:f>IF(AND(ISNUMBER(G166),ISNUMBER(H166)),G166-H166,IF(AND(G166="Не найдено",ISNUMBER(H166)),"Появился",IF(AND(ISNUMBER(G166),H166="Не найдено"),"Не найдено","Нет сравнения")))</x:f>
        <x:v>-1</x:v>
      </x:c>
      <x:c r="J166" s="16" t="str">
        <x:v>https://kozhaclinic.ru/podtyazhka-kozhi-litsa/</x:v>
      </x:c>
    </x:row>
    <x:row r="167" ht="40" customHeight="1">
      <x:c r="A167" s="12" t="str">
        <x:v>подтяжка лица цена</x:v>
      </x:c>
      <x:c r="B167" s="12" t="str">
        <x:v>Подтяжка кожи лица</x:v>
      </x:c>
      <x:c r="C167" s="26" t="n">
        <x:v>10</x:v>
      </x:c>
      <x:c r="D167" s="26" t="n">
        <x:v>12</x:v>
      </x:c>
      <x:c r="E167" s="28" t="n">
        <x:f>IF(AND(ISNUMBER(C167),ISNUMBER(D167)),C167-D167,IF(AND(C167="Не найдено",ISNUMBER(D167)),"Появился",IF(AND(ISNUMBER(C167),D167="Не найдено"),"Не найдено","Нет сравнения")))</x:f>
        <x:v>-2</x:v>
      </x:c>
      <x:c r="F167" s="15" t="str">
        <x:v>https://kozhaclinic.ru/podtyazhka-kozhi-litsa/</x:v>
      </x:c>
      <x:c r="G167" s="26" t="n">
        <x:v>3</x:v>
      </x:c>
      <x:c r="H167" s="26" t="n">
        <x:v>3</x:v>
      </x:c>
      <x:c r="I167" s="28" t="n">
        <x:f>IF(AND(ISNUMBER(G167),ISNUMBER(H167)),G167-H167,IF(AND(G167="Не найдено",ISNUMBER(H167)),"Появился",IF(AND(ISNUMBER(G167),H167="Не найдено"),"Не найдено","Нет сравнения")))</x:f>
        <x:v>0</x:v>
      </x:c>
      <x:c r="J167" s="15" t="str">
        <x:v>https://kozhaclinic.ru/podtyazhka-kozhi-litsa/</x:v>
      </x:c>
    </x:row>
    <x:row r="168" ht="40" customHeight="1">
      <x:c r="A168" s="14" t="str">
        <x:v>увеличение верхней губы сургут</x:v>
      </x:c>
      <x:c r="B168" s="14" t="str">
        <x:v>Увеличение верхней губы</x:v>
      </x:c>
      <x:c r="C168" s="27" t="n">
        <x:v>1</x:v>
      </x:c>
      <x:c r="D168" s="27" t="n">
        <x:v>2</x:v>
      </x:c>
      <x:c r="E168" s="29" t="n">
        <x:f>IF(AND(ISNUMBER(C168),ISNUMBER(D168)),C168-D168,IF(AND(C168="Не найдено",ISNUMBER(D168)),"Появился",IF(AND(ISNUMBER(C168),D168="Не найдено"),"Не найдено","Нет сравнения")))</x:f>
        <x:v>-1</x:v>
      </x:c>
      <x:c r="F168" s="16" t="str">
        <x:v>https://kozhaclinic.ru/inekcionnaya-kosmetologiya/konturnaya-plastika/uvelichenie-gub/</x:v>
      </x:c>
      <x:c r="G168" s="27" t="n">
        <x:v>2</x:v>
      </x:c>
      <x:c r="H168" s="27" t="n">
        <x:v>2</x:v>
      </x:c>
      <x:c r="I168" s="29" t="n">
        <x:f>IF(AND(ISNUMBER(G168),ISNUMBER(H168)),G168-H168,IF(AND(G168="Не найдено",ISNUMBER(H168)),"Появился",IF(AND(ISNUMBER(G168),H168="Не найдено"),"Не найдено","Нет сравнения")))</x:f>
        <x:v>0</x:v>
      </x:c>
      <x:c r="J168" s="16" t="str">
        <x:v>https://kozhaclinic.ru/inekcionnaya-kosmetologiya/konturnaya-plastika/uvelichenie-gub/</x:v>
      </x:c>
    </x:row>
    <x:row r="169" ht="40" customHeight="1">
      <x:c r="A169" s="12" t="str">
        <x:v>увеличить верхнюю губу сургут</x:v>
      </x:c>
      <x:c r="B169" s="12" t="str">
        <x:v>Увеличение верхней губы</x:v>
      </x:c>
      <x:c r="C169" s="26" t="n">
        <x:v>2</x:v>
      </x:c>
      <x:c r="D169" s="26" t="n">
        <x:v>3</x:v>
      </x:c>
      <x:c r="E169" s="28" t="n">
        <x:f>IF(AND(ISNUMBER(C169),ISNUMBER(D169)),C169-D169,IF(AND(C169="Не найдено",ISNUMBER(D169)),"Появился",IF(AND(ISNUMBER(C169),D169="Не найдено"),"Не найдено","Нет сравнения")))</x:f>
        <x:v>-1</x:v>
      </x:c>
      <x:c r="F169" s="15" t="str">
        <x:v>https://kozhaclinic.ru/inekcionnaya-kosmetologiya/konturnaya-plastika/uvelichenie-gub/</x:v>
      </x:c>
      <x:c r="G169" s="26" t="n">
        <x:v>2</x:v>
      </x:c>
      <x:c r="H169" s="26" t="n">
        <x:v>2</x:v>
      </x:c>
      <x:c r="I169" s="28" t="n">
        <x:f>IF(AND(ISNUMBER(G169),ISNUMBER(H169)),G169-H169,IF(AND(G169="Не найдено",ISNUMBER(H169)),"Появился",IF(AND(ISNUMBER(G169),H169="Не найдено"),"Не найдено","Нет сравнения")))</x:f>
        <x:v>0</x:v>
      </x:c>
      <x:c r="J169" s="15" t="str">
        <x:v>https://kozhaclinic.ru/inekcionnaya-kosmetologiya/konturnaya-plastika/uvelichenie-gub/</x:v>
      </x:c>
    </x:row>
    <x:row r="170" ht="40" customHeight="1">
      <x:c r="A170" s="14" t="str">
        <x:v>увлажнение губ без увеличения сургут</x:v>
      </x:c>
      <x:c r="B170" s="14" t="str">
        <x:v>Увлажнение губ</x:v>
      </x:c>
      <x:c r="C170" s="27" t="n">
        <x:v>1</x:v>
      </x:c>
      <x:c r="D170" s="27" t="n">
        <x:v>1</x:v>
      </x:c>
      <x:c r="E170" s="29" t="n">
        <x:f>IF(AND(ISNUMBER(C170),ISNUMBER(D170)),C170-D170,IF(AND(C170="Не найдено",ISNUMBER(D170)),"Появился",IF(AND(ISNUMBER(C170),D170="Не найдено"),"Не найдено","Нет сравнения")))</x:f>
        <x:v>0</x:v>
      </x:c>
      <x:c r="F170" s="16" t="str">
        <x:v>https://kozhaclinic.ru/inekcionnaya-kosmetologiya/konturnaya-plastika/uvlazhnenie-gub/</x:v>
      </x:c>
      <x:c r="G170" s="27" t="n">
        <x:v>1</x:v>
      </x:c>
      <x:c r="H170" s="27" t="n">
        <x:v>1</x:v>
      </x:c>
      <x:c r="I170" s="29" t="n">
        <x:f>IF(AND(ISNUMBER(G170),ISNUMBER(H170)),G170-H170,IF(AND(G170="Не найдено",ISNUMBER(H170)),"Появился",IF(AND(ISNUMBER(G170),H170="Не найдено"),"Не найдено","Нет сравнения")))</x:f>
        <x:v>0</x:v>
      </x:c>
      <x:c r="J170" s="16" t="str">
        <x:v>https://kozhaclinic.ru/inekcionnaya-kosmetologiya/konturnaya-plastika/uvlazhnenie-gub/</x:v>
      </x:c>
    </x:row>
    <x:row r="171" ht="40" customHeight="1">
      <x:c r="A171" s="12" t="str">
        <x:v>увлажнение губ филлером сургут</x:v>
      </x:c>
      <x:c r="B171" s="12" t="str">
        <x:v>Увлажнение губ</x:v>
      </x:c>
      <x:c r="C171" s="26" t="n">
        <x:v>1</x:v>
      </x:c>
      <x:c r="D171" s="26" t="n">
        <x:v>1</x:v>
      </x:c>
      <x:c r="E171" s="28" t="n">
        <x:f>IF(AND(ISNUMBER(C171),ISNUMBER(D171)),C171-D171,IF(AND(C171="Не найдено",ISNUMBER(D171)),"Появился",IF(AND(ISNUMBER(C171),D171="Не найдено"),"Не найдено","Нет сравнения")))</x:f>
        <x:v>0</x:v>
      </x:c>
      <x:c r="F171" s="15" t="str">
        <x:v>https://kozhaclinic.ru/inekcionnaya-kosmetologiya/konturnaya-plastika/uvlazhnenie-gub/</x:v>
      </x:c>
      <x:c r="G171" s="26" t="n">
        <x:v>2</x:v>
      </x:c>
      <x:c r="H171" s="26" t="n">
        <x:v>2</x:v>
      </x:c>
      <x:c r="I171" s="28" t="n">
        <x:f>IF(AND(ISNUMBER(G171),ISNUMBER(H171)),G171-H171,IF(AND(G171="Не найдено",ISNUMBER(H171)),"Появился",IF(AND(ISNUMBER(G171),H171="Не найдено"),"Не найдено","Нет сравнения")))</x:f>
        <x:v>0</x:v>
      </x:c>
      <x:c r="J171" s="15" t="str">
        <x:v>https://kozhaclinic.ru/inekcionnaya-kosmetologiya/konturnaya-plastika/uvelichenie-gub/</x:v>
      </x:c>
    </x:row>
    <x:row r="172" ht="40" customHeight="1">
      <x:c r="A172" s="14" t="str">
        <x:v>увлажнение губ сургут</x:v>
      </x:c>
      <x:c r="B172" s="14" t="str">
        <x:v>Увлажнение губ</x:v>
      </x:c>
      <x:c r="C172" s="27" t="n">
        <x:v>1</x:v>
      </x:c>
      <x:c r="D172" s="27" t="n">
        <x:v>1</x:v>
      </x:c>
      <x:c r="E172" s="29" t="n">
        <x:f>IF(AND(ISNUMBER(C172),ISNUMBER(D172)),C172-D172,IF(AND(C172="Не найдено",ISNUMBER(D172)),"Появился",IF(AND(ISNUMBER(C172),D172="Не найдено"),"Не найдено","Нет сравнения")))</x:f>
        <x:v>0</x:v>
      </x:c>
      <x:c r="F172" s="16" t="str">
        <x:v>https://kozhaclinic.ru/inekcionnaya-kosmetologiya/konturnaya-plastika/uvlazhnenie-gub/</x:v>
      </x:c>
      <x:c r="G172" s="27" t="n">
        <x:v>2</x:v>
      </x:c>
      <x:c r="H172" s="27" t="n">
        <x:v>2</x:v>
      </x:c>
      <x:c r="I172" s="29" t="n">
        <x:f>IF(AND(ISNUMBER(G172),ISNUMBER(H172)),G172-H172,IF(AND(G172="Не найдено",ISNUMBER(H172)),"Появился",IF(AND(ISNUMBER(G172),H172="Не найдено"),"Не найдено","Нет сравнения")))</x:f>
        <x:v>0</x:v>
      </x:c>
      <x:c r="J172" s="16" t="str">
        <x:v>https://kozhaclinic.ru/inekcionnaya-kosmetologiya/konturnaya-plastika/uvelichenie-gub/</x:v>
      </x:c>
    </x:row>
    <x:row r="173" ht="40" customHeight="1">
      <x:c r="A173" s="12" t="str">
        <x:v>удалить звездочки на ногах сургут</x:v>
      </x:c>
      <x:c r="B173" s="12" t="str">
        <x:v>Устранение сосудистых звёздочек (Купероз)</x:v>
      </x:c>
      <x:c r="C173" s="26" t="n">
        <x:v>4</x:v>
      </x:c>
      <x:c r="D173" s="26" t="n">
        <x:v>5</x:v>
      </x:c>
      <x:c r="E173" s="28" t="n">
        <x:f>IF(AND(ISNUMBER(C173),ISNUMBER(D173)),C173-D173,IF(AND(C173="Не найдено",ISNUMBER(D173)),"Появился",IF(AND(ISNUMBER(C173),D173="Не найдено"),"Не найдено","Нет сравнения")))</x:f>
        <x:v>-1</x:v>
      </x:c>
      <x:c r="F173" s="15" t="str">
        <x:v>https://kozhaclinic.ru/apparatnaya-kosmetologiya/ustranenie-sosudistykh-zvyezdochek-kuperoz/</x:v>
      </x:c>
      <x:c r="G173" s="26" t="n">
        <x:v>5</x:v>
      </x:c>
      <x:c r="H173" s="26" t="n">
        <x:v>2</x:v>
      </x:c>
      <x:c r="I173" s="28" t="n">
        <x:f>IF(AND(ISNUMBER(G173),ISNUMBER(H173)),G173-H173,IF(AND(G173="Не найдено",ISNUMBER(H173)),"Появился",IF(AND(ISNUMBER(G173),H173="Не найдено"),"Не найдено","Нет сравнения")))</x:f>
        <x:v>3</x:v>
      </x:c>
      <x:c r="J173" s="15" t="str">
        <x:v>https://kozhaclinic.ru/apparatnaya-kosmetologiya/ustranenie-sosudistykh-zvyezdochek-kuperoz/</x:v>
      </x:c>
    </x:row>
    <x:row r="174" ht="40" customHeight="1">
      <x:c r="A174" s="14" t="str">
        <x:v>купероз лечение сургут</x:v>
      </x:c>
      <x:c r="B174" s="14" t="str">
        <x:v>Устранение сосудистых звёздочек (Купероз)</x:v>
      </x:c>
      <x:c r="C174" s="27" t="n">
        <x:v>3</x:v>
      </x:c>
      <x:c r="D174" s="27" t="n">
        <x:v>3</x:v>
      </x:c>
      <x:c r="E174" s="29" t="n">
        <x:f>IF(AND(ISNUMBER(C174),ISNUMBER(D174)),C174-D174,IF(AND(C174="Не найдено",ISNUMBER(D174)),"Появился",IF(AND(ISNUMBER(C174),D174="Не найдено"),"Не найдено","Нет сравнения")))</x:f>
        <x:v>0</x:v>
      </x:c>
      <x:c r="F174" s="16" t="str">
        <x:v>https://kozhaclinic.ru/apparatnaya-kosmetologiya/ustranenie-sosudistykh-zvyezdochek-kuperoz/</x:v>
      </x:c>
      <x:c r="G174" s="27" t="n">
        <x:v>1</x:v>
      </x:c>
      <x:c r="H174" s="27" t="n">
        <x:v>1</x:v>
      </x:c>
      <x:c r="I174" s="29" t="n">
        <x:f>IF(AND(ISNUMBER(G174),ISNUMBER(H174)),G174-H174,IF(AND(G174="Не найдено",ISNUMBER(H174)),"Появился",IF(AND(ISNUMBER(G174),H174="Не найдено"),"Не найдено","Нет сравнения")))</x:f>
        <x:v>0</x:v>
      </x:c>
      <x:c r="J174" s="16" t="str">
        <x:v>https://kozhaclinic.ru/apparatnaya-kosmetologiya/ustranenie-sosudistykh-zvyezdochek-kuperoz/</x:v>
      </x:c>
    </x:row>
    <x:row r="175" ht="40" customHeight="1">
      <x:c r="A175" s="12" t="str">
        <x:v>купероз сургут</x:v>
      </x:c>
      <x:c r="B175" s="12" t="str">
        <x:v>Устранение сосудистых звёздочек (Купероз)</x:v>
      </x:c>
      <x:c r="C175" s="26" t="n">
        <x:v>3</x:v>
      </x:c>
      <x:c r="D175" s="26" t="n">
        <x:v>2</x:v>
      </x:c>
      <x:c r="E175" s="28" t="n">
        <x:f>IF(AND(ISNUMBER(C175),ISNUMBER(D175)),C175-D175,IF(AND(C175="Не найдено",ISNUMBER(D175)),"Появился",IF(AND(ISNUMBER(C175),D175="Не найдено"),"Не найдено","Нет сравнения")))</x:f>
        <x:v>1</x:v>
      </x:c>
      <x:c r="F175" s="15" t="str">
        <x:v>https://kozhaclinic.ru/apparatnaya-kosmetologiya/ustranenie-sosudistykh-zvyezdochek-kuperoz/</x:v>
      </x:c>
      <x:c r="G175" s="26" t="n">
        <x:v>1</x:v>
      </x:c>
      <x:c r="H175" s="26" t="n">
        <x:v>1</x:v>
      </x:c>
      <x:c r="I175" s="28" t="n">
        <x:f>IF(AND(ISNUMBER(G175),ISNUMBER(H175)),G175-H175,IF(AND(G175="Не найдено",ISNUMBER(H175)),"Появился",IF(AND(ISNUMBER(G175),H175="Не найдено"),"Не найдено","Нет сравнения")))</x:f>
        <x:v>0</x:v>
      </x:c>
      <x:c r="J175" s="15" t="str">
        <x:v>https://kozhaclinic.ru/apparatnaya-kosmetologiya/ustranenie-sosudistykh-zvyezdochek-kuperoz/</x:v>
      </x:c>
    </x:row>
    <x:row r="176" ht="40" customHeight="1">
      <x:c r="A176" s="14" t="str">
        <x:v>лазерное удаление звездочек сургут</x:v>
      </x:c>
      <x:c r="B176" s="14" t="str">
        <x:v>Устранение сосудистых звёздочек (Купероз)</x:v>
      </x:c>
      <x:c r="C176" s="27" t="n">
        <x:v>12</x:v>
      </x:c>
      <x:c r="D176" s="27" t="n">
        <x:v>16</x:v>
      </x:c>
      <x:c r="E176" s="29" t="n">
        <x:f>IF(AND(ISNUMBER(C176),ISNUMBER(D176)),C176-D176,IF(AND(C176="Не найдено",ISNUMBER(D176)),"Появился",IF(AND(ISNUMBER(C176),D176="Не найдено"),"Не найдено","Нет сравнения")))</x:f>
        <x:v>-4</x:v>
      </x:c>
      <x:c r="F176" s="16" t="str">
        <x:v>https://kozhaclinic.ru/lazernaya-kosmetologiya/</x:v>
      </x:c>
      <x:c r="G176" s="27" t="n">
        <x:v>4</x:v>
      </x:c>
      <x:c r="H176" s="27" t="n">
        <x:v>2</x:v>
      </x:c>
      <x:c r="I176" s="29" t="n">
        <x:f>IF(AND(ISNUMBER(G176),ISNUMBER(H176)),G176-H176,IF(AND(G176="Не найдено",ISNUMBER(H176)),"Появился",IF(AND(ISNUMBER(G176),H176="Не найдено"),"Не найдено","Нет сравнения")))</x:f>
        <x:v>2</x:v>
      </x:c>
      <x:c r="J176" s="16" t="str">
        <x:v>https://kozhaclinic.ru/apparatnaya-kosmetologiya/ustranenie-sosudistykh-zvyezdochek-kuperoz/</x:v>
      </x:c>
    </x:row>
    <x:row r="177" ht="40" customHeight="1">
      <x:c r="A177" s="12" t="str">
        <x:v>лазерное удаление купероза сургут</x:v>
      </x:c>
      <x:c r="B177" s="12" t="str">
        <x:v>Устранение сосудистых звёздочек (Купероз)</x:v>
      </x:c>
      <x:c r="C177" s="26" t="n">
        <x:v>10</x:v>
      </x:c>
      <x:c r="D177" s="26" t="n">
        <x:v>10</x:v>
      </x:c>
      <x:c r="E177" s="28" t="n">
        <x:f>IF(AND(ISNUMBER(C177),ISNUMBER(D177)),C177-D177,IF(AND(C177="Не найдено",ISNUMBER(D177)),"Появился",IF(AND(ISNUMBER(C177),D177="Не найдено"),"Не найдено","Нет сравнения")))</x:f>
        <x:v>0</x:v>
      </x:c>
      <x:c r="F177" s="15" t="str">
        <x:v>https://kozhaclinic.ru/</x:v>
      </x:c>
      <x:c r="G177" s="26" t="n">
        <x:v>2</x:v>
      </x:c>
      <x:c r="H177" s="26" t="n">
        <x:v>2</x:v>
      </x:c>
      <x:c r="I177" s="28" t="n">
        <x:f>IF(AND(ISNUMBER(G177),ISNUMBER(H177)),G177-H177,IF(AND(G177="Не найдено",ISNUMBER(H177)),"Появился",IF(AND(ISNUMBER(G177),H177="Не найдено"),"Не найдено","Нет сравнения")))</x:f>
        <x:v>0</x:v>
      </x:c>
      <x:c r="J177" s="15" t="str">
        <x:v>https://kozhaclinic.ru/apparatnaya-kosmetologiya/ustranenie-sosudistykh-zvyezdochek-kuperoz/</x:v>
      </x:c>
    </x:row>
    <x:row r="178" ht="40" customHeight="1">
      <x:c r="A178" s="14" t="str">
        <x:v>лазерное удаление сосудистых звездочек сургут</x:v>
      </x:c>
      <x:c r="B178" s="14" t="str">
        <x:v>Устранение сосудистых звёздочек (Купероз)</x:v>
      </x:c>
      <x:c r="C178" s="27" t="n">
        <x:v>10</x:v>
      </x:c>
      <x:c r="D178" s="27" t="n">
        <x:v>9</x:v>
      </x:c>
      <x:c r="E178" s="29" t="n">
        <x:f>IF(AND(ISNUMBER(C178),ISNUMBER(D178)),C178-D178,IF(AND(C178="Не найдено",ISNUMBER(D178)),"Появился",IF(AND(ISNUMBER(C178),D178="Не найдено"),"Не найдено","Нет сравнения")))</x:f>
        <x:v>1</x:v>
      </x:c>
      <x:c r="F178" s="16" t="str">
        <x:v>https://kozhaclinic.ru/</x:v>
      </x:c>
      <x:c r="G178" s="27" t="n">
        <x:v>2</x:v>
      </x:c>
      <x:c r="H178" s="27" t="n">
        <x:v>1</x:v>
      </x:c>
      <x:c r="I178" s="29" t="n">
        <x:f>IF(AND(ISNUMBER(G178),ISNUMBER(H178)),G178-H178,IF(AND(G178="Не найдено",ISNUMBER(H178)),"Появился",IF(AND(ISNUMBER(G178),H178="Не найдено"),"Не найдено","Нет сравнения")))</x:f>
        <x:v>1</x:v>
      </x:c>
      <x:c r="J178" s="16" t="str">
        <x:v>https://kozhaclinic.ru/apparatnaya-kosmetologiya/ustranenie-sosudistykh-zvyezdochek-kuperoz/</x:v>
      </x:c>
    </x:row>
    <x:row r="179" ht="40" customHeight="1">
      <x:c r="A179" s="12" t="str">
        <x:v>убрать звездочки лазером сургут</x:v>
      </x:c>
      <x:c r="B179" s="12" t="str">
        <x:v>Устранение сосудистых звёздочек (Купероз)</x:v>
      </x:c>
      <x:c r="C179" s="26" t="n">
        <x:v>14</x:v>
      </x:c>
      <x:c r="D179" s="26" t="n">
        <x:v>13</x:v>
      </x:c>
      <x:c r="E179" s="28" t="n">
        <x:f>IF(AND(ISNUMBER(C179),ISNUMBER(D179)),C179-D179,IF(AND(C179="Не найдено",ISNUMBER(D179)),"Появился",IF(AND(ISNUMBER(C179),D179="Не найдено"),"Не найдено","Нет сравнения")))</x:f>
        <x:v>1</x:v>
      </x:c>
      <x:c r="F179" s="15" t="str">
        <x:v>https://kozhaclinic.ru/</x:v>
      </x:c>
      <x:c r="G179" s="26" t="n">
        <x:v>2</x:v>
      </x:c>
      <x:c r="H179" s="26" t="n">
        <x:v>2</x:v>
      </x:c>
      <x:c r="I179" s="28" t="n">
        <x:f>IF(AND(ISNUMBER(G179),ISNUMBER(H179)),G179-H179,IF(AND(G179="Не найдено",ISNUMBER(H179)),"Появился",IF(AND(ISNUMBER(G179),H179="Не найдено"),"Не найдено","Нет сравнения")))</x:f>
        <x:v>0</x:v>
      </x:c>
      <x:c r="J179" s="15" t="str">
        <x:v>https://kozhaclinic.ru/apparatnaya-kosmetologiya/ustranenie-sosudistykh-zvyezdochek-kuperoz/</x:v>
      </x:c>
    </x:row>
    <x:row r="180" ht="40" customHeight="1">
      <x:c r="A180" s="14" t="str">
        <x:v>убрать звездочки на лице лазером сургут</x:v>
      </x:c>
      <x:c r="B180" s="14" t="str">
        <x:v>Устранение сосудистых звёздочек (Купероз)</x:v>
      </x:c>
      <x:c r="C180" s="27" t="n">
        <x:v>17</x:v>
      </x:c>
      <x:c r="D180" s="27" t="str">
        <x:v>Не найдено</x:v>
      </x:c>
      <x:c r="E180" s="29" t="str">
        <x:f>IF(AND(ISNUMBER(C180),ISNUMBER(D180)),C180-D180,IF(AND(C180="Не найдено",ISNUMBER(D180)),"Появился",IF(AND(ISNUMBER(C180),D180="Не найдено"),"Не найдено","Нет сравнения")))</x:f>
        <x:v>Не найдено</x:v>
      </x:c>
      <x:c r="F180" s="14"/>
      <x:c r="G180" s="27" t="n">
        <x:v>2</x:v>
      </x:c>
      <x:c r="H180" s="27" t="n">
        <x:v>2</x:v>
      </x:c>
      <x:c r="I180" s="29" t="n">
        <x:f>IF(AND(ISNUMBER(G180),ISNUMBER(H180)),G180-H180,IF(AND(G180="Не найдено",ISNUMBER(H180)),"Появился",IF(AND(ISNUMBER(G180),H180="Не найдено"),"Не найдено","Нет сравнения")))</x:f>
        <x:v>0</x:v>
      </x:c>
      <x:c r="J180" s="16" t="str">
        <x:v>https://kozhaclinic.ru/apparatnaya-kosmetologiya/ustranenie-sosudistykh-zvyezdochek-kuperoz/</x:v>
      </x:c>
    </x:row>
    <x:row r="181" ht="40" customHeight="1">
      <x:c r="A181" s="12" t="str">
        <x:v>убрать звездочки на ногах цена</x:v>
      </x:c>
      <x:c r="B181" s="12" t="str">
        <x:v>Устранение сосудистых звёздочек (Купероз)</x:v>
      </x:c>
      <x:c r="C181" s="26" t="n">
        <x:v>11</x:v>
      </x:c>
      <x:c r="D181" s="26" t="n">
        <x:v>2</x:v>
      </x:c>
      <x:c r="E181" s="28" t="n">
        <x:f>IF(AND(ISNUMBER(C181),ISNUMBER(D181)),C181-D181,IF(AND(C181="Не найдено",ISNUMBER(D181)),"Появился",IF(AND(ISNUMBER(C181),D181="Не найдено"),"Не найдено","Нет сравнения")))</x:f>
        <x:v>9</x:v>
      </x:c>
      <x:c r="F181" s="15" t="str">
        <x:v>https://kozhaclinic.ru/apparatnaya-kosmetologiya/ustranenie-sosudistykh-zvyezdochek-kuperoz/</x:v>
      </x:c>
      <x:c r="G181" s="26" t="str">
        <x:v>Не найдено</x:v>
      </x:c>
      <x:c r="H181" s="26" t="n">
        <x:v>2</x:v>
      </x:c>
      <x:c r="I181" s="28" t="str">
        <x:f>IF(AND(ISNUMBER(G181),ISNUMBER(H181)),G181-H181,IF(AND(G181="Не найдено",ISNUMBER(H181)),"Появился",IF(AND(ISNUMBER(G181),H181="Не найдено"),"Не найдено","Нет сравнения")))</x:f>
        <x:v>Появился</x:v>
      </x:c>
      <x:c r="J181" s="15" t="str">
        <x:v>https://kozhaclinic.ru/apparatnaya-kosmetologiya/ustranenie-sosudistykh-zvyezdochek-kuperoz/</x:v>
      </x:c>
    </x:row>
    <x:row r="182" ht="40" customHeight="1">
      <x:c r="A182" s="14" t="str">
        <x:v>убрать сосудистые звездочки сургут</x:v>
      </x:c>
      <x:c r="B182" s="14" t="str">
        <x:v>Устранение сосудистых звёздочек (Купероз)</x:v>
      </x:c>
      <x:c r="C182" s="27" t="n">
        <x:v>4</x:v>
      </x:c>
      <x:c r="D182" s="27" t="n">
        <x:v>5</x:v>
      </x:c>
      <x:c r="E182" s="29" t="n">
        <x:f>IF(AND(ISNUMBER(C182),ISNUMBER(D182)),C182-D182,IF(AND(C182="Не найдено",ISNUMBER(D182)),"Появился",IF(AND(ISNUMBER(C182),D182="Не найдено"),"Не найдено","Нет сравнения")))</x:f>
        <x:v>-1</x:v>
      </x:c>
      <x:c r="F182" s="16" t="str">
        <x:v>https://kozhaclinic.ru/apparatnaya-kosmetologiya/ustranenie-sosudistykh-zvyezdochek-kuperoz/</x:v>
      </x:c>
      <x:c r="G182" s="27" t="n">
        <x:v>3</x:v>
      </x:c>
      <x:c r="H182" s="27" t="n">
        <x:v>2</x:v>
      </x:c>
      <x:c r="I182" s="29" t="n">
        <x:f>IF(AND(ISNUMBER(G182),ISNUMBER(H182)),G182-H182,IF(AND(G182="Не найдено",ISNUMBER(H182)),"Появился",IF(AND(ISNUMBER(G182),H182="Не найдено"),"Не найдено","Нет сравнения")))</x:f>
        <x:v>1</x:v>
      </x:c>
      <x:c r="J182" s="16" t="str">
        <x:v>https://kozhaclinic.ru/apparatnaya-kosmetologiya/ustranenie-sosudistykh-zvyezdochek-kuperoz/</x:v>
      </x:c>
    </x:row>
    <x:row r="183" ht="40" customHeight="1">
      <x:c r="A183" s="12" t="str">
        <x:v>убрать сосудистые звездочки лазером сургут</x:v>
      </x:c>
      <x:c r="B183" s="12" t="str">
        <x:v>Устранение сосудистых звёздочек (Купероз)</x:v>
      </x:c>
      <x:c r="C183" s="26" t="n">
        <x:v>6</x:v>
      </x:c>
      <x:c r="D183" s="26" t="n">
        <x:v>6</x:v>
      </x:c>
      <x:c r="E183" s="28" t="n">
        <x:f>IF(AND(ISNUMBER(C183),ISNUMBER(D183)),C183-D183,IF(AND(C183="Не найдено",ISNUMBER(D183)),"Появился",IF(AND(ISNUMBER(C183),D183="Не найдено"),"Не найдено","Нет сравнения")))</x:f>
        <x:v>0</x:v>
      </x:c>
      <x:c r="F183" s="15" t="str">
        <x:v>https://kozhaclinic.ru/</x:v>
      </x:c>
      <x:c r="G183" s="26" t="n">
        <x:v>3</x:v>
      </x:c>
      <x:c r="H183" s="26" t="n">
        <x:v>2</x:v>
      </x:c>
      <x:c r="I183" s="28" t="n">
        <x:f>IF(AND(ISNUMBER(G183),ISNUMBER(H183)),G183-H183,IF(AND(G183="Не найдено",ISNUMBER(H183)),"Появился",IF(AND(ISNUMBER(G183),H183="Не найдено"),"Не найдено","Нет сравнения")))</x:f>
        <x:v>1</x:v>
      </x:c>
      <x:c r="J183" s="15" t="str">
        <x:v>https://kozhaclinic.ru/apparatnaya-kosmetologiya/ustranenie-sosudistykh-zvyezdochek-kuperoz/</x:v>
      </x:c>
    </x:row>
    <x:row r="184" ht="40" customHeight="1">
      <x:c r="A184" s="14" t="str">
        <x:v>убрать сосудистые звездочки на лице сургут</x:v>
      </x:c>
      <x:c r="B184" s="14" t="str">
        <x:v>Устранение сосудистых звёздочек (Купероз)</x:v>
      </x:c>
      <x:c r="C184" s="27" t="n">
        <x:v>4</x:v>
      </x:c>
      <x:c r="D184" s="27" t="n">
        <x:v>3</x:v>
      </x:c>
      <x:c r="E184" s="29" t="n">
        <x:f>IF(AND(ISNUMBER(C184),ISNUMBER(D184)),C184-D184,IF(AND(C184="Не найдено",ISNUMBER(D184)),"Появился",IF(AND(ISNUMBER(C184),D184="Не найдено"),"Не найдено","Нет сравнения")))</x:f>
        <x:v>1</x:v>
      </x:c>
      <x:c r="F184" s="16" t="str">
        <x:v>https://kozhaclinic.ru/apparatnaya-kosmetologiya/ustranenie-sosudistykh-zvyezdochek-kuperoz/</x:v>
      </x:c>
      <x:c r="G184" s="27" t="n">
        <x:v>2</x:v>
      </x:c>
      <x:c r="H184" s="27" t="n">
        <x:v>2</x:v>
      </x:c>
      <x:c r="I184" s="29" t="n">
        <x:f>IF(AND(ISNUMBER(G184),ISNUMBER(H184)),G184-H184,IF(AND(G184="Не найдено",ISNUMBER(H184)),"Появился",IF(AND(ISNUMBER(G184),H184="Не найдено"),"Не найдено","Нет сравнения")))</x:f>
        <x:v>0</x:v>
      </x:c>
      <x:c r="J184" s="16" t="str">
        <x:v>https://kozhaclinic.ru/apparatnaya-kosmetologiya/ustranenie-sosudistykh-zvyezdochek-kuperoz/</x:v>
      </x:c>
    </x:row>
    <x:row r="185" ht="40" customHeight="1">
      <x:c r="A185" s="12" t="str">
        <x:v>удаление сосудистых звездочек сургут</x:v>
      </x:c>
      <x:c r="B185" s="12" t="str">
        <x:v>Устранение сосудистых звёздочек (Купероз)</x:v>
      </x:c>
      <x:c r="C185" s="26" t="n">
        <x:v>5</x:v>
      </x:c>
      <x:c r="D185" s="26" t="n">
        <x:v>5</x:v>
      </x:c>
      <x:c r="E185" s="28" t="n">
        <x:f>IF(AND(ISNUMBER(C185),ISNUMBER(D185)),C185-D185,IF(AND(C185="Не найдено",ISNUMBER(D185)),"Появился",IF(AND(ISNUMBER(C185),D185="Не найдено"),"Не найдено","Нет сравнения")))</x:f>
        <x:v>0</x:v>
      </x:c>
      <x:c r="F185" s="15" t="str">
        <x:v>https://kozhaclinic.ru/apparatnaya-kosmetologiya/ustranenie-sosudistykh-zvyezdochek-kuperoz/</x:v>
      </x:c>
      <x:c r="G185" s="26" t="n">
        <x:v>1</x:v>
      </x:c>
      <x:c r="H185" s="26" t="n">
        <x:v>1</x:v>
      </x:c>
      <x:c r="I185" s="28" t="n">
        <x:f>IF(AND(ISNUMBER(G185),ISNUMBER(H185)),G185-H185,IF(AND(G185="Не найдено",ISNUMBER(H185)),"Появился",IF(AND(ISNUMBER(G185),H185="Не найдено"),"Не найдено","Нет сравнения")))</x:f>
        <x:v>0</x:v>
      </x:c>
      <x:c r="J185" s="15" t="str">
        <x:v>https://kozhaclinic.ru/apparatnaya-kosmetologiya/ustranenie-sosudistykh-zvyezdochek-kuperoz/</x:v>
      </x:c>
    </x:row>
    <x:row r="186" ht="40" customHeight="1">
      <x:c r="A186" s="14" t="str">
        <x:v>удалить сосудистые звездочки сургут</x:v>
      </x:c>
      <x:c r="B186" s="14" t="str">
        <x:v>Устранение сосудистых звёздочек (Купероз)</x:v>
      </x:c>
      <x:c r="C186" s="27" t="n">
        <x:v>4</x:v>
      </x:c>
      <x:c r="D186" s="27" t="n">
        <x:v>4</x:v>
      </x:c>
      <x:c r="E186" s="29" t="n">
        <x:f>IF(AND(ISNUMBER(C186),ISNUMBER(D186)),C186-D186,IF(AND(C186="Не найдено",ISNUMBER(D186)),"Появился",IF(AND(ISNUMBER(C186),D186="Не найдено"),"Не найдено","Нет сравнения")))</x:f>
        <x:v>0</x:v>
      </x:c>
      <x:c r="F186" s="16" t="str">
        <x:v>https://kozhaclinic.ru/apparatnaya-kosmetologiya/ustranenie-sosudistykh-zvyezdochek-kuperoz/</x:v>
      </x:c>
      <x:c r="G186" s="27" t="n">
        <x:v>2</x:v>
      </x:c>
      <x:c r="H186" s="27" t="n">
        <x:v>2</x:v>
      </x:c>
      <x:c r="I186" s="29" t="n">
        <x:f>IF(AND(ISNUMBER(G186),ISNUMBER(H186)),G186-H186,IF(AND(G186="Не найдено",ISNUMBER(H186)),"Появился",IF(AND(ISNUMBER(G186),H186="Не найдено"),"Не найдено","Нет сравнения")))</x:f>
        <x:v>0</x:v>
      </x:c>
      <x:c r="J186" s="16" t="str">
        <x:v>https://kozhaclinic.ru/apparatnaya-kosmetologiya/ustranenie-sosudistykh-zvyezdochek-kuperoz/</x:v>
      </x:c>
    </x:row>
    <x:row r="187" ht="40" customHeight="1">
      <x:c r="A187" s="12" t="str">
        <x:v>prp терапия для волос сургут</x:v>
      </x:c>
      <x:c r="B187" s="12" t="str">
        <x:v>PRP терапия для волос</x:v>
      </x:c>
      <x:c r="C187" s="26" t="n">
        <x:v>1</x:v>
      </x:c>
      <x:c r="D187" s="26" t="n">
        <x:v>2</x:v>
      </x:c>
      <x:c r="E187" s="28" t="n">
        <x:f>IF(AND(ISNUMBER(C187),ISNUMBER(D187)),C187-D187,IF(AND(C187="Не найдено",ISNUMBER(D187)),"Появился",IF(AND(ISNUMBER(C187),D187="Не найдено"),"Не найдено","Нет сравнения")))</x:f>
        <x:v>-1</x:v>
      </x:c>
      <x:c r="F187" s="15" t="str">
        <x:v>https://kozhaclinic.ru/inekcionnaya-kosmetologiya/omolozhenie-i-pitanie-kozhi/plazmolifting-dlya-volos/</x:v>
      </x:c>
      <x:c r="G187" s="26" t="n">
        <x:v>2</x:v>
      </x:c>
      <x:c r="H187" s="26" t="n">
        <x:v>3</x:v>
      </x:c>
      <x:c r="I187" s="28" t="n">
        <x:f>IF(AND(ISNUMBER(G187),ISNUMBER(H187)),G187-H187,IF(AND(G187="Не найдено",ISNUMBER(H187)),"Появился",IF(AND(ISNUMBER(G187),H187="Не найдено"),"Не найдено","Нет сравнения")))</x:f>
        <x:v>-1</x:v>
      </x:c>
      <x:c r="J187" s="15" t="str">
        <x:v>https://kozhaclinic.ru/vypadenie-volos-rgr-terapiya/</x:v>
      </x:c>
    </x:row>
    <x:row r="188" ht="40" customHeight="1">
      <x:c r="A188" s="14" t="str">
        <x:v>подтяжка брылей сургут</x:v>
      </x:c>
      <x:c r="B188" s="14" t="str">
        <x:v>Подтяжка брылей</x:v>
      </x:c>
      <x:c r="C188" s="27" t="n">
        <x:v>2</x:v>
      </x:c>
      <x:c r="D188" s="27" t="n">
        <x:v>2</x:v>
      </x:c>
      <x:c r="E188" s="29" t="n">
        <x:f>IF(AND(ISNUMBER(C188),ISNUMBER(D188)),C188-D188,IF(AND(C188="Не найдено",ISNUMBER(D188)),"Появился",IF(AND(ISNUMBER(C188),D188="Не найдено"),"Не найдено","Нет сравнения")))</x:f>
        <x:v>0</x:v>
      </x:c>
      <x:c r="F188" s="16" t="str">
        <x:v>https://kozhaclinic.ru/podtyazhka-kozhi-litsa/</x:v>
      </x:c>
      <x:c r="G188" s="27" t="n">
        <x:v>1</x:v>
      </x:c>
      <x:c r="H188" s="27" t="n">
        <x:v>2</x:v>
      </x:c>
      <x:c r="I188" s="29" t="n">
        <x:f>IF(AND(ISNUMBER(G188),ISNUMBER(H188)),G188-H188,IF(AND(G188="Не найдено",ISNUMBER(H188)),"Появился",IF(AND(ISNUMBER(G188),H188="Не найдено"),"Не найдено","Нет сравнения")))</x:f>
        <x:v>-1</x:v>
      </x:c>
      <x:c r="J188" s="16" t="str">
        <x:v>https://kozhaclinic.ru/podtyazhka-kozhi-litsa/</x:v>
      </x:c>
    </x:row>
    <x:row r="189" ht="40" customHeight="1">
      <x:c r="A189" s="12" t="str">
        <x:v>подтянуть брыли сургут</x:v>
      </x:c>
      <x:c r="B189" s="12" t="str">
        <x:v>Подтяжка брылей</x:v>
      </x:c>
      <x:c r="C189" s="26" t="n">
        <x:v>4</x:v>
      </x:c>
      <x:c r="D189" s="26" t="n">
        <x:v>5</x:v>
      </x:c>
      <x:c r="E189" s="28" t="n">
        <x:f>IF(AND(ISNUMBER(C189),ISNUMBER(D189)),C189-D189,IF(AND(C189="Не найдено",ISNUMBER(D189)),"Появился",IF(AND(ISNUMBER(C189),D189="Не найдено"),"Не найдено","Нет сравнения")))</x:f>
        <x:v>-1</x:v>
      </x:c>
      <x:c r="F189" s="15" t="str">
        <x:v>https://kozhaclinic.ru/podtyazhka-kozhi-litsa/</x:v>
      </x:c>
      <x:c r="G189" s="26" t="n">
        <x:v>3</x:v>
      </x:c>
      <x:c r="H189" s="26" t="n">
        <x:v>3</x:v>
      </x:c>
      <x:c r="I189" s="28" t="n">
        <x:f>IF(AND(ISNUMBER(G189),ISNUMBER(H189)),G189-H189,IF(AND(G189="Не найдено",ISNUMBER(H189)),"Появился",IF(AND(ISNUMBER(G189),H189="Не найдено"),"Не найдено","Нет сравнения")))</x:f>
        <x:v>0</x:v>
      </x:c>
      <x:c r="J189" s="15" t="str">
        <x:v>https://kozhaclinic.ru/podtyazhka-kozhi-litsa/</x:v>
      </x:c>
    </x:row>
    <x:row r="190" ht="40" customHeight="1">
      <x:c r="A190" s="14" t="str">
        <x:v>убрать брыли сургут</x:v>
      </x:c>
      <x:c r="B190" s="14" t="str">
        <x:v>Подтяжка брылей</x:v>
      </x:c>
      <x:c r="C190" s="27" t="n">
        <x:v>4</x:v>
      </x:c>
      <x:c r="D190" s="27" t="n">
        <x:v>6</x:v>
      </x:c>
      <x:c r="E190" s="29" t="n">
        <x:f>IF(AND(ISNUMBER(C190),ISNUMBER(D190)),C190-D190,IF(AND(C190="Не найдено",ISNUMBER(D190)),"Появился",IF(AND(ISNUMBER(C190),D190="Не найдено"),"Не найдено","Нет сравнения")))</x:f>
        <x:v>-2</x:v>
      </x:c>
      <x:c r="F190" s="16" t="str">
        <x:v>https://kozhaclinic.ru/podtyazhka-kozhi-litsa/</x:v>
      </x:c>
      <x:c r="G190" s="27" t="n">
        <x:v>2</x:v>
      </x:c>
      <x:c r="H190" s="27" t="n">
        <x:v>2</x:v>
      </x:c>
      <x:c r="I190" s="29" t="n">
        <x:f>IF(AND(ISNUMBER(G190),ISNUMBER(H190)),G190-H190,IF(AND(G190="Не найдено",ISNUMBER(H190)),"Появился",IF(AND(ISNUMBER(G190),H190="Не найдено"),"Не найдено","Нет сравнения")))</x:f>
        <x:v>0</x:v>
      </x:c>
      <x:c r="J190" s="16" t="str">
        <x:v>https://kozhaclinic.ru/podtyazhka-kozhi-litsa/</x:v>
      </x:c>
    </x:row>
    <x:row r="191" ht="40" customHeight="1">
      <x:c r="A191" s="12" t="str">
        <x:v>убрать брыли на лице сургут</x:v>
      </x:c>
      <x:c r="B191" s="12" t="str">
        <x:v>Подтяжка брылей</x:v>
      </x:c>
      <x:c r="C191" s="26" t="n">
        <x:v>3</x:v>
      </x:c>
      <x:c r="D191" s="26" t="n">
        <x:v>6</x:v>
      </x:c>
      <x:c r="E191" s="28" t="n">
        <x:f>IF(AND(ISNUMBER(C191),ISNUMBER(D191)),C191-D191,IF(AND(C191="Не найдено",ISNUMBER(D191)),"Появился",IF(AND(ISNUMBER(C191),D191="Не найдено"),"Не найдено","Нет сравнения")))</x:f>
        <x:v>-3</x:v>
      </x:c>
      <x:c r="F191" s="15" t="str">
        <x:v>https://kozhaclinic.ru/uluchshenie-ovala-litsa/</x:v>
      </x:c>
      <x:c r="G191" s="26" t="n">
        <x:v>1</x:v>
      </x:c>
      <x:c r="H191" s="26" t="n">
        <x:v>2</x:v>
      </x:c>
      <x:c r="I191" s="28" t="n">
        <x:f>IF(AND(ISNUMBER(G191),ISNUMBER(H191)),G191-H191,IF(AND(G191="Не найдено",ISNUMBER(H191)),"Появился",IF(AND(ISNUMBER(G191),H191="Не найдено"),"Не найдено","Нет сравнения")))</x:f>
        <x:v>-1</x:v>
      </x:c>
      <x:c r="J191" s="15" t="str">
        <x:v>https://kozhaclinic.ru/podtyazhka-kozhi-litsa/</x:v>
      </x:c>
    </x:row>
    <x:row r="192" ht="40" customHeight="1">
      <x:c r="A192" s="14" t="str">
        <x:v>лазерная шлифовка рубцов сургут</x:v>
      </x:c>
      <x:c r="B192" s="14" t="str">
        <x:v>Убрать постакне и рубцы</x:v>
      </x:c>
      <x:c r="C192" s="27" t="n">
        <x:v>5</x:v>
      </x:c>
      <x:c r="D192" s="27" t="n">
        <x:v>4</x:v>
      </x:c>
      <x:c r="E192" s="29" t="n">
        <x:f>IF(AND(ISNUMBER(C192),ISNUMBER(D192)),C192-D192,IF(AND(C192="Не найдено",ISNUMBER(D192)),"Появился",IF(AND(ISNUMBER(C192),D192="Не найдено"),"Не найдено","Нет сравнения")))</x:f>
        <x:v>1</x:v>
      </x:c>
      <x:c r="F192" s="16" t="str">
        <x:v>https://kozhaclinic.ru/apparatnaya-kosmetologiya/udalenie-shrama/</x:v>
      </x:c>
      <x:c r="G192" s="27" t="n">
        <x:v>7</x:v>
      </x:c>
      <x:c r="H192" s="27" t="n">
        <x:v>7</x:v>
      </x:c>
      <x:c r="I192" s="29" t="n">
        <x:f>IF(AND(ISNUMBER(G192),ISNUMBER(H192)),G192-H192,IF(AND(G192="Не найдено",ISNUMBER(H192)),"Появился",IF(AND(ISNUMBER(G192),H192="Не найдено"),"Не найдено","Нет сравнения")))</x:f>
        <x:v>0</x:v>
      </x:c>
      <x:c r="J192" s="16" t="str">
        <x:v>https://kozhaclinic.ru/ubrat-shram/</x:v>
      </x:c>
    </x:row>
    <x:row r="193" ht="40" customHeight="1">
      <x:c r="A193" s="12" t="str">
        <x:v>розацеа лечение сургут</x:v>
      </x:c>
      <x:c r="B193" s="12" t="str">
        <x:v>Убрать розацеа</x:v>
      </x:c>
      <x:c r="C193" s="26" t="n">
        <x:v>2</x:v>
      </x:c>
      <x:c r="D193" s="26" t="n">
        <x:v>2</x:v>
      </x:c>
      <x:c r="E193" s="28" t="n">
        <x:f>IF(AND(ISNUMBER(C193),ISNUMBER(D193)),C193-D193,IF(AND(C193="Не найдено",ISNUMBER(D193)),"Появился",IF(AND(ISNUMBER(C193),D193="Не найдено"),"Не найдено","Нет сравнения")))</x:f>
        <x:v>0</x:v>
      </x:c>
      <x:c r="F193" s="15" t="str">
        <x:v>https://kozhaclinic.ru/ubrat-rozatsea/</x:v>
      </x:c>
      <x:c r="G193" s="26" t="n">
        <x:v>3</x:v>
      </x:c>
      <x:c r="H193" s="26" t="n">
        <x:v>3</x:v>
      </x:c>
      <x:c r="I193" s="28" t="n">
        <x:f>IF(AND(ISNUMBER(G193),ISNUMBER(H193)),G193-H193,IF(AND(G193="Не найдено",ISNUMBER(H193)),"Появился",IF(AND(ISNUMBER(G193),H193="Не найдено"),"Не найдено","Нет сравнения")))</x:f>
        <x:v>0</x:v>
      </x:c>
      <x:c r="J193" s="15" t="str">
        <x:v>https://kozhaclinic.ru/ubrat-rozatsea/</x:v>
      </x:c>
    </x:row>
    <x:row r="194" ht="40" customHeight="1">
      <x:c r="A194" s="14" t="str">
        <x:v>розацеа на лице лечение</x:v>
      </x:c>
      <x:c r="B194" s="14" t="str">
        <x:v>Убрать розацеа</x:v>
      </x:c>
      <x:c r="C194" s="27" t="str">
        <x:v>Не найдено</x:v>
      </x:c>
      <x:c r="D194" s="27" t="str">
        <x:v>Не найдено</x:v>
      </x:c>
      <x:c r="E194" s="29" t="str">
        <x:f>IF(AND(ISNUMBER(C194),ISNUMBER(D194)),C194-D194,IF(AND(C194="Не найдено",ISNUMBER(D194)),"Появился",IF(AND(ISNUMBER(C194),D194="Не найдено"),"Не найдено","Нет сравнения")))</x:f>
        <x:v>Нет сравнения</x:v>
      </x:c>
      <x:c r="F194" s="14"/>
      <x:c r="G194" s="27" t="str">
        <x:v>Не найдено</x:v>
      </x:c>
      <x:c r="H194" s="27" t="str">
        <x:v>Не найдено</x:v>
      </x:c>
      <x:c r="I194" s="29" t="str">
        <x:f>IF(AND(ISNUMBER(G194),ISNUMBER(H194)),G194-H194,IF(AND(G194="Не найдено",ISNUMBER(H194)),"Появился",IF(AND(ISNUMBER(G194),H194="Не найдено"),"Не найдено","Нет сравнения")))</x:f>
        <x:v>Нет сравнения</x:v>
      </x:c>
      <x:c r="J194" s="14"/>
    </x:row>
    <x:row r="195" ht="40" customHeight="1">
      <x:c r="A195" s="12" t="str">
        <x:v>убрать розацеа сургут</x:v>
      </x:c>
      <x:c r="B195" s="12" t="str">
        <x:v>Убрать розацеа</x:v>
      </x:c>
      <x:c r="C195" s="26" t="n">
        <x:v>1</x:v>
      </x:c>
      <x:c r="D195" s="26" t="n">
        <x:v>2</x:v>
      </x:c>
      <x:c r="E195" s="28" t="n">
        <x:f>IF(AND(ISNUMBER(C195),ISNUMBER(D195)),C195-D195,IF(AND(C195="Не найдено",ISNUMBER(D195)),"Появился",IF(AND(ISNUMBER(C195),D195="Не найдено"),"Не найдено","Нет сравнения")))</x:f>
        <x:v>-1</x:v>
      </x:c>
      <x:c r="F195" s="15" t="str">
        <x:v>https://kozhaclinic.ru/ubrat-rozatsea/</x:v>
      </x:c>
      <x:c r="G195" s="26" t="str">
        <x:v>Не найдено</x:v>
      </x:c>
      <x:c r="H195" s="26" t="n">
        <x:v>3</x:v>
      </x:c>
      <x:c r="I195" s="28" t="str">
        <x:f>IF(AND(ISNUMBER(G195),ISNUMBER(H195)),G195-H195,IF(AND(G195="Не найдено",ISNUMBER(H195)),"Появился",IF(AND(ISNUMBER(G195),H195="Не найдено"),"Не найдено","Нет сравнения")))</x:f>
        <x:v>Появился</x:v>
      </x:c>
      <x:c r="J195" s="15" t="str">
        <x:v>https://kozhaclinic.ru/ubrat-rozatsea/</x:v>
      </x:c>
    </x:row>
    <x:row r="196" ht="40" customHeight="1">
      <x:c r="A196" s="14" t="str">
        <x:v>избавиться от шрамов сургут</x:v>
      </x:c>
      <x:c r="B196" s="14" t="str">
        <x:v>Удаление шрама</x:v>
      </x:c>
      <x:c r="C196" s="27" t="n">
        <x:v>2</x:v>
      </x:c>
      <x:c r="D196" s="27" t="n">
        <x:v>2</x:v>
      </x:c>
      <x:c r="E196" s="29" t="n">
        <x:f>IF(AND(ISNUMBER(C196),ISNUMBER(D196)),C196-D196,IF(AND(C196="Не найдено",ISNUMBER(D196)),"Появился",IF(AND(ISNUMBER(C196),D196="Не найдено"),"Не найдено","Нет сравнения")))</x:f>
        <x:v>0</x:v>
      </x:c>
      <x:c r="F196" s="16" t="str">
        <x:v>https://kozhaclinic.ru/ubrat-shram/</x:v>
      </x:c>
      <x:c r="G196" s="27" t="n">
        <x:v>3</x:v>
      </x:c>
      <x:c r="H196" s="27" t="n">
        <x:v>5</x:v>
      </x:c>
      <x:c r="I196" s="29" t="n">
        <x:f>IF(AND(ISNUMBER(G196),ISNUMBER(H196)),G196-H196,IF(AND(G196="Не найдено",ISNUMBER(H196)),"Появился",IF(AND(ISNUMBER(G196),H196="Не найдено"),"Не найдено","Нет сравнения")))</x:f>
        <x:v>-2</x:v>
      </x:c>
      <x:c r="J196" s="16" t="str">
        <x:v>https://kozhaclinic.ru/ubrat-shram/</x:v>
      </x:c>
    </x:row>
    <x:row r="197" ht="40" customHeight="1">
      <x:c r="A197" s="12" t="str">
        <x:v>избавиться от шрамов на лице сургут</x:v>
      </x:c>
      <x:c r="B197" s="12" t="str">
        <x:v>Удаление шрама</x:v>
      </x:c>
      <x:c r="C197" s="26" t="n">
        <x:v>2</x:v>
      </x:c>
      <x:c r="D197" s="26" t="n">
        <x:v>2</x:v>
      </x:c>
      <x:c r="E197" s="28" t="n">
        <x:f>IF(AND(ISNUMBER(C197),ISNUMBER(D197)),C197-D197,IF(AND(C197="Не найдено",ISNUMBER(D197)),"Появился",IF(AND(ISNUMBER(C197),D197="Не найдено"),"Не найдено","Нет сравнения")))</x:f>
        <x:v>0</x:v>
      </x:c>
      <x:c r="F197" s="15" t="str">
        <x:v>https://kozhaclinic.ru/ubrat-shram/</x:v>
      </x:c>
      <x:c r="G197" s="26" t="n">
        <x:v>3</x:v>
      </x:c>
      <x:c r="H197" s="26" t="n">
        <x:v>5</x:v>
      </x:c>
      <x:c r="I197" s="28" t="n">
        <x:f>IF(AND(ISNUMBER(G197),ISNUMBER(H197)),G197-H197,IF(AND(G197="Не найдено",ISNUMBER(H197)),"Появился",IF(AND(ISNUMBER(G197),H197="Не найдено"),"Не найдено","Нет сравнения")))</x:f>
        <x:v>-2</x:v>
      </x:c>
      <x:c r="J197" s="15" t="str">
        <x:v>https://kozhaclinic.ru/ubrat-shram/</x:v>
      </x:c>
    </x:row>
    <x:row r="198" ht="40" customHeight="1">
      <x:c r="A198" s="14" t="str">
        <x:v>избавиться от шрамов от прыщей сургут</x:v>
      </x:c>
      <x:c r="B198" s="14" t="str">
        <x:v>Удаление шрама</x:v>
      </x:c>
      <x:c r="C198" s="27" t="n">
        <x:v>2</x:v>
      </x:c>
      <x:c r="D198" s="27" t="n">
        <x:v>3</x:v>
      </x:c>
      <x:c r="E198" s="29" t="n">
        <x:f>IF(AND(ISNUMBER(C198),ISNUMBER(D198)),C198-D198,IF(AND(C198="Не найдено",ISNUMBER(D198)),"Появился",IF(AND(ISNUMBER(C198),D198="Не найдено"),"Не найдено","Нет сравнения")))</x:f>
        <x:v>-1</x:v>
      </x:c>
      <x:c r="F198" s="16" t="str">
        <x:v>https://kozhaclinic.ru/ubrat-shram/</x:v>
      </x:c>
      <x:c r="G198" s="27" t="str">
        <x:v>Не найдено</x:v>
      </x:c>
      <x:c r="H198" s="27" t="n">
        <x:v>2</x:v>
      </x:c>
      <x:c r="I198" s="29" t="str">
        <x:f>IF(AND(ISNUMBER(G198),ISNUMBER(H198)),G198-H198,IF(AND(G198="Не найдено",ISNUMBER(H198)),"Появился",IF(AND(ISNUMBER(G198),H198="Не найдено"),"Не найдено","Нет сравнения")))</x:f>
        <x:v>Появился</x:v>
      </x:c>
      <x:c r="J198" s="16" t="str">
        <x:v>https://kozhaclinic.ru/ubrat-shram/</x:v>
      </x:c>
    </x:row>
    <x:row r="199" ht="40" customHeight="1">
      <x:c r="A199" s="12" t="str">
        <x:v>лазерная шлифовка шрамов сургут</x:v>
      </x:c>
      <x:c r="B199" s="12" t="str">
        <x:v>Удаление шрама</x:v>
      </x:c>
      <x:c r="C199" s="26" t="n">
        <x:v>5</x:v>
      </x:c>
      <x:c r="D199" s="26" t="n">
        <x:v>5</x:v>
      </x:c>
      <x:c r="E199" s="28" t="n">
        <x:f>IF(AND(ISNUMBER(C199),ISNUMBER(D199)),C199-D199,IF(AND(C199="Не найдено",ISNUMBER(D199)),"Появился",IF(AND(ISNUMBER(C199),D199="Не найдено"),"Не найдено","Нет сравнения")))</x:f>
        <x:v>0</x:v>
      </x:c>
      <x:c r="F199" s="15" t="str">
        <x:v>https://kozhaclinic.ru/apparatnaya-kosmetologiya/udalenie-shrama/</x:v>
      </x:c>
      <x:c r="G199" s="26" t="n">
        <x:v>7</x:v>
      </x:c>
      <x:c r="H199" s="26" t="n">
        <x:v>6</x:v>
      </x:c>
      <x:c r="I199" s="28" t="n">
        <x:f>IF(AND(ISNUMBER(G199),ISNUMBER(H199)),G199-H199,IF(AND(G199="Не найдено",ISNUMBER(H199)),"Появился",IF(AND(ISNUMBER(G199),H199="Не найдено"),"Не найдено","Нет сравнения")))</x:f>
        <x:v>1</x:v>
      </x:c>
      <x:c r="J199" s="15" t="str">
        <x:v>https://kozhaclinic.ru/ubrat-shram/</x:v>
      </x:c>
    </x:row>
    <x:row r="200" ht="40" customHeight="1">
      <x:c r="A200" s="14" t="str">
        <x:v>убрать шрам сургут</x:v>
      </x:c>
      <x:c r="B200" s="14" t="str">
        <x:v>Удаление шрама</x:v>
      </x:c>
      <x:c r="C200" s="27" t="n">
        <x:v>2</x:v>
      </x:c>
      <x:c r="D200" s="27" t="n">
        <x:v>2</x:v>
      </x:c>
      <x:c r="E200" s="29" t="n">
        <x:f>IF(AND(ISNUMBER(C200),ISNUMBER(D200)),C200-D200,IF(AND(C200="Не найдено",ISNUMBER(D200)),"Появился",IF(AND(ISNUMBER(C200),D200="Не найдено"),"Не найдено","Нет сравнения")))</x:f>
        <x:v>0</x:v>
      </x:c>
      <x:c r="F200" s="16" t="str">
        <x:v>https://kozhaclinic.ru/ubrat-shram/</x:v>
      </x:c>
      <x:c r="G200" s="27" t="n">
        <x:v>2</x:v>
      </x:c>
      <x:c r="H200" s="27" t="n">
        <x:v>2</x:v>
      </x:c>
      <x:c r="I200" s="29" t="n">
        <x:f>IF(AND(ISNUMBER(G200),ISNUMBER(H200)),G200-H200,IF(AND(G200="Не найдено",ISNUMBER(H200)),"Появился",IF(AND(ISNUMBER(G200),H200="Не найдено"),"Не найдено","Нет сравнения")))</x:f>
        <x:v>0</x:v>
      </x:c>
      <x:c r="J200" s="16" t="str">
        <x:v>https://kozhaclinic.ru/ubrat-shram/</x:v>
      </x:c>
    </x:row>
    <x:row r="201" ht="40" customHeight="1">
      <x:c r="A201" s="12" t="str">
        <x:v>удаление шрама сургут</x:v>
      </x:c>
      <x:c r="B201" s="12" t="str">
        <x:v>Удаление шрама</x:v>
      </x:c>
      <x:c r="C201" s="26" t="n">
        <x:v>2</x:v>
      </x:c>
      <x:c r="D201" s="26" t="n">
        <x:v>2</x:v>
      </x:c>
      <x:c r="E201" s="28" t="n">
        <x:f>IF(AND(ISNUMBER(C201),ISNUMBER(D201)),C201-D201,IF(AND(C201="Не найдено",ISNUMBER(D201)),"Появился",IF(AND(ISNUMBER(C201),D201="Не найдено"),"Не найдено","Нет сравнения")))</x:f>
        <x:v>0</x:v>
      </x:c>
      <x:c r="F201" s="15" t="str">
        <x:v>https://kozhaclinic.ru/ubrat-shram/</x:v>
      </x:c>
      <x:c r="G201" s="26" t="n">
        <x:v>5</x:v>
      </x:c>
      <x:c r="H201" s="26" t="n">
        <x:v>4</x:v>
      </x:c>
      <x:c r="I201" s="28" t="n">
        <x:f>IF(AND(ISNUMBER(G201),ISNUMBER(H201)),G201-H201,IF(AND(G201="Не найдено",ISNUMBER(H201)),"Появился",IF(AND(ISNUMBER(G201),H201="Не найдено"),"Не найдено","Нет сравнения")))</x:f>
        <x:v>1</x:v>
      </x:c>
      <x:c r="J201" s="15" t="str">
        <x:v>https://kozhaclinic.ru/ubrat-shram/</x:v>
      </x:c>
    </x:row>
    <x:row r="202" ht="40" customHeight="1">
      <x:c r="A202" s="14" t="str">
        <x:v>избавиться от пигментации на лице сургут</x:v>
      </x:c>
      <x:c r="B202" s="14" t="str">
        <x:v>Устранение гиперпигментации Inmode</x:v>
      </x:c>
      <x:c r="C202" s="27" t="n">
        <x:v>3</x:v>
      </x:c>
      <x:c r="D202" s="27" t="n">
        <x:v>2</x:v>
      </x:c>
      <x:c r="E202" s="29" t="n">
        <x:f>IF(AND(ISNUMBER(C202),ISNUMBER(D202)),C202-D202,IF(AND(C202="Не найдено",ISNUMBER(D202)),"Появился",IF(AND(ISNUMBER(C202),D202="Не найдено"),"Не найдено","Нет сравнения")))</x:f>
        <x:v>1</x:v>
      </x:c>
      <x:c r="F202" s="16" t="str">
        <x:v>https://kozhaclinic.ru/izbavlenie-ot-pigmentatsii/</x:v>
      </x:c>
      <x:c r="G202" s="27" t="n">
        <x:v>2</x:v>
      </x:c>
      <x:c r="H202" s="27" t="n">
        <x:v>2</x:v>
      </x:c>
      <x:c r="I202" s="29" t="n">
        <x:f>IF(AND(ISNUMBER(G202),ISNUMBER(H202)),G202-H202,IF(AND(G202="Не найдено",ISNUMBER(H202)),"Появился",IF(AND(ISNUMBER(G202),H202="Не найдено"),"Не найдено","Нет сравнения")))</x:f>
        <x:v>0</x:v>
      </x:c>
      <x:c r="J202" s="16" t="str">
        <x:v>https://kozhaclinic.ru/izbavlenie-ot-pigmentatsii/</x:v>
      </x:c>
    </x:row>
    <x:row r="203" ht="40" customHeight="1">
      <x:c r="A203" s="12" t="str">
        <x:v>избавиться от пигментации сургут</x:v>
      </x:c>
      <x:c r="B203" s="12" t="str">
        <x:v>Устранение гиперпигментации Inmode</x:v>
      </x:c>
      <x:c r="C203" s="26" t="n">
        <x:v>2</x:v>
      </x:c>
      <x:c r="D203" s="26" t="n">
        <x:v>2</x:v>
      </x:c>
      <x:c r="E203" s="28" t="n">
        <x:f>IF(AND(ISNUMBER(C203),ISNUMBER(D203)),C203-D203,IF(AND(C203="Не найдено",ISNUMBER(D203)),"Появился",IF(AND(ISNUMBER(C203),D203="Не найдено"),"Не найдено","Нет сравнения")))</x:f>
        <x:v>0</x:v>
      </x:c>
      <x:c r="F203" s="15" t="str">
        <x:v>https://kozhaclinic.ru/izbavlenie-ot-pigmentatsii/</x:v>
      </x:c>
      <x:c r="G203" s="26" t="n">
        <x:v>1</x:v>
      </x:c>
      <x:c r="H203" s="26" t="n">
        <x:v>1</x:v>
      </x:c>
      <x:c r="I203" s="28" t="n">
        <x:f>IF(AND(ISNUMBER(G203),ISNUMBER(H203)),G203-H203,IF(AND(G203="Не найдено",ISNUMBER(H203)),"Появился",IF(AND(ISNUMBER(G203),H203="Не найдено"),"Не найдено","Нет сравнения")))</x:f>
        <x:v>0</x:v>
      </x:c>
      <x:c r="J203" s="15" t="str">
        <x:v>https://kozhaclinic.ru/izbavlenie-ot-pigmentatsii/</x:v>
      </x:c>
    </x:row>
    <x:row r="204" ht="40" customHeight="1">
      <x:c r="A204" s="14" t="str">
        <x:v>лечение пигментации сургут</x:v>
      </x:c>
      <x:c r="B204" s="14" t="str">
        <x:v>Устранение гиперпигментации Inmode</x:v>
      </x:c>
      <x:c r="C204" s="27" t="n">
        <x:v>2</x:v>
      </x:c>
      <x:c r="D204" s="27" t="n">
        <x:v>2</x:v>
      </x:c>
      <x:c r="E204" s="29" t="n">
        <x:f>IF(AND(ISNUMBER(C204),ISNUMBER(D204)),C204-D204,IF(AND(C204="Не найдено",ISNUMBER(D204)),"Появился",IF(AND(ISNUMBER(C204),D204="Не найдено"),"Не найдено","Нет сравнения")))</x:f>
        <x:v>0</x:v>
      </x:c>
      <x:c r="F204" s="16" t="str">
        <x:v>https://kozhaclinic.ru/izbavlenie-ot-pigmentatsii/</x:v>
      </x:c>
      <x:c r="G204" s="27" t="n">
        <x:v>1</x:v>
      </x:c>
      <x:c r="H204" s="27" t="n">
        <x:v>1</x:v>
      </x:c>
      <x:c r="I204" s="29" t="n">
        <x:f>IF(AND(ISNUMBER(G204),ISNUMBER(H204)),G204-H204,IF(AND(G204="Не найдено",ISNUMBER(H204)),"Появился",IF(AND(ISNUMBER(G204),H204="Не найдено"),"Не найдено","Нет сравнения")))</x:f>
        <x:v>0</x:v>
      </x:c>
      <x:c r="J204" s="16" t="str">
        <x:v>https://kozhaclinic.ru/izbavlenie-ot-pigmentatsii/</x:v>
      </x:c>
    </x:row>
    <x:row r="205" ht="40" customHeight="1">
      <x:c r="A205" s="12" t="str">
        <x:v>удаление пигментации сургут</x:v>
      </x:c>
      <x:c r="B205" s="12" t="str">
        <x:v>Устранение гиперпигментации Inmode</x:v>
      </x:c>
      <x:c r="C205" s="26" t="n">
        <x:v>4</x:v>
      </x:c>
      <x:c r="D205" s="26" t="n">
        <x:v>3</x:v>
      </x:c>
      <x:c r="E205" s="28" t="n">
        <x:f>IF(AND(ISNUMBER(C205),ISNUMBER(D205)),C205-D205,IF(AND(C205="Не найдено",ISNUMBER(D205)),"Появился",IF(AND(ISNUMBER(C205),D205="Не найдено"),"Не найдено","Нет сравнения")))</x:f>
        <x:v>1</x:v>
      </x:c>
      <x:c r="F205" s="15" t="str">
        <x:v>https://kozhaclinic.ru/izbavlenie-ot-pigmentatsii/</x:v>
      </x:c>
      <x:c r="G205" s="26" t="n">
        <x:v>1</x:v>
      </x:c>
      <x:c r="H205" s="26" t="n">
        <x:v>1</x:v>
      </x:c>
      <x:c r="I205" s="28" t="n">
        <x:f>IF(AND(ISNUMBER(G205),ISNUMBER(H205)),G205-H205,IF(AND(G205="Не найдено",ISNUMBER(H205)),"Появился",IF(AND(ISNUMBER(G205),H205="Не найдено"),"Не найдено","Нет сравнения")))</x:f>
        <x:v>0</x:v>
      </x:c>
      <x:c r="J205" s="15" t="str">
        <x:v>https://kozhaclinic.ru/izbavlenie-ot-pigmentatsii/</x:v>
      </x:c>
    </x:row>
    <x:row r="206" ht="40" customHeight="1">
      <x:c r="A206" s="14" t="str">
        <x:v>удаление пигментации лазером сургут</x:v>
      </x:c>
      <x:c r="B206" s="14" t="str">
        <x:v>Устранение гиперпигментации Inmode</x:v>
      </x:c>
      <x:c r="C206" s="27" t="n">
        <x:v>7</x:v>
      </x:c>
      <x:c r="D206" s="27" t="n">
        <x:v>7</x:v>
      </x:c>
      <x:c r="E206" s="29" t="n">
        <x:f>IF(AND(ISNUMBER(C206),ISNUMBER(D206)),C206-D206,IF(AND(C206="Не найдено",ISNUMBER(D206)),"Появился",IF(AND(ISNUMBER(C206),D206="Не найдено"),"Не найдено","Нет сравнения")))</x:f>
        <x:v>0</x:v>
      </x:c>
      <x:c r="F206" s="16" t="str">
        <x:v>https://kozhaclinic.ru/izbavlenie-ot-pigmentatsii/</x:v>
      </x:c>
      <x:c r="G206" s="27" t="n">
        <x:v>1</x:v>
      </x:c>
      <x:c r="H206" s="27" t="n">
        <x:v>1</x:v>
      </x:c>
      <x:c r="I206" s="29" t="n">
        <x:f>IF(AND(ISNUMBER(G206),ISNUMBER(H206)),G206-H206,IF(AND(G206="Не найдено",ISNUMBER(H206)),"Появился",IF(AND(ISNUMBER(G206),H206="Не найдено"),"Не найдено","Нет сравнения")))</x:f>
        <x:v>0</x:v>
      </x:c>
      <x:c r="J206" s="16" t="str">
        <x:v>https://kozhaclinic.ru/izbavlenie-ot-pigmentatsii/</x:v>
      </x:c>
    </x:row>
    <x:row r="207" ht="40" customHeight="1">
      <x:c r="A207" s="12" t="str">
        <x:v>удалить пигментацию на лице сургут</x:v>
      </x:c>
      <x:c r="B207" s="12" t="str">
        <x:v>Устранение гиперпигментации Inmode</x:v>
      </x:c>
      <x:c r="C207" s="26" t="n">
        <x:v>7</x:v>
      </x:c>
      <x:c r="D207" s="26" t="n">
        <x:v>5</x:v>
      </x:c>
      <x:c r="E207" s="28" t="n">
        <x:f>IF(AND(ISNUMBER(C207),ISNUMBER(D207)),C207-D207,IF(AND(C207="Не найдено",ISNUMBER(D207)),"Появился",IF(AND(ISNUMBER(C207),D207="Не найдено"),"Не найдено","Нет сравнения")))</x:f>
        <x:v>2</x:v>
      </x:c>
      <x:c r="F207" s="15" t="str">
        <x:v>https://kozhaclinic.ru/izbavlenie-ot-pigmentatsii/</x:v>
      </x:c>
      <x:c r="G207" s="26" t="n">
        <x:v>1</x:v>
      </x:c>
      <x:c r="H207" s="26" t="str">
        <x:v>Не найдено</x:v>
      </x:c>
      <x:c r="I207" s="28" t="str">
        <x:f>IF(AND(ISNUMBER(G207),ISNUMBER(H207)),G207-H207,IF(AND(G207="Не найдено",ISNUMBER(H207)),"Появился",IF(AND(ISNUMBER(G207),H207="Не найдено"),"Не найдено","Нет сравнения")))</x:f>
        <x:v>Не найдено</x:v>
      </x:c>
      <x:c r="J207" s="12"/>
    </x:row>
    <x:row r="208" ht="40" customHeight="1">
      <x:c r="A208" s="14" t="str">
        <x:v>удалить пигментацию сургут</x:v>
      </x:c>
      <x:c r="B208" s="14" t="str">
        <x:v>Устранение гиперпигментации Inmode</x:v>
      </x:c>
      <x:c r="C208" s="27" t="n">
        <x:v>3</x:v>
      </x:c>
      <x:c r="D208" s="27" t="n">
        <x:v>4</x:v>
      </x:c>
      <x:c r="E208" s="29" t="n">
        <x:f>IF(AND(ISNUMBER(C208),ISNUMBER(D208)),C208-D208,IF(AND(C208="Не найдено",ISNUMBER(D208)),"Появился",IF(AND(ISNUMBER(C208),D208="Не найдено"),"Не найдено","Нет сравнения")))</x:f>
        <x:v>-1</x:v>
      </x:c>
      <x:c r="F208" s="16" t="str">
        <x:v>https://kozhaclinic.ru/izbavlenie-ot-pigmentatsii/</x:v>
      </x:c>
      <x:c r="G208" s="27" t="n">
        <x:v>2</x:v>
      </x:c>
      <x:c r="H208" s="27" t="n">
        <x:v>1</x:v>
      </x:c>
      <x:c r="I208" s="29" t="n">
        <x:f>IF(AND(ISNUMBER(G208),ISNUMBER(H208)),G208-H208,IF(AND(G208="Не найдено",ISNUMBER(H208)),"Появился",IF(AND(ISNUMBER(G208),H208="Не найдено"),"Не найдено","Нет сравнения")))</x:f>
        <x:v>1</x:v>
      </x:c>
      <x:c r="J208" s="16" t="str">
        <x:v>https://kozhaclinic.ru/izbavlenie-ot-pigmentatsii/</x:v>
      </x:c>
    </x:row>
    <x:row r="209" ht="40" customHeight="1">
      <x:c r="A209" s="12" t="str">
        <x:v>устранение пигментации</x:v>
      </x:c>
      <x:c r="B209" s="12" t="str">
        <x:v>Устранение гиперпигментации Inmode</x:v>
      </x:c>
      <x:c r="C209" s="26" t="str">
        <x:v>Не найдено</x:v>
      </x:c>
      <x:c r="D209" s="26" t="str">
        <x:v>Не найдено</x:v>
      </x:c>
      <x:c r="E209" s="28" t="str">
        <x:f>IF(AND(ISNUMBER(C209),ISNUMBER(D209)),C209-D209,IF(AND(C209="Не найдено",ISNUMBER(D209)),"Появился",IF(AND(ISNUMBER(C209),D209="Не найдено"),"Не найдено","Нет сравнения")))</x:f>
        <x:v>Нет сравнения</x:v>
      </x:c>
      <x:c r="F209" s="12"/>
      <x:c r="G209" s="26" t="str">
        <x:v>Не найдено</x:v>
      </x:c>
      <x:c r="H209" s="26" t="str">
        <x:v>Не найдено</x:v>
      </x:c>
      <x:c r="I209" s="28" t="str">
        <x:f>IF(AND(ISNUMBER(G209),ISNUMBER(H209)),G209-H209,IF(AND(G209="Не найдено",ISNUMBER(H209)),"Появился",IF(AND(ISNUMBER(G209),H209="Не найдено"),"Не найдено","Нет сравнения")))</x:f>
        <x:v>Нет сравнения</x:v>
      </x:c>
      <x:c r="J209" s="12"/>
    </x:row>
    <x:row r="210" ht="40" customHeight="1">
      <x:c r="A210" s="14" t="str">
        <x:v>устранение пигментации сургут</x:v>
      </x:c>
      <x:c r="B210" s="14" t="str">
        <x:v>Устранение гиперпигментации Inmode</x:v>
      </x:c>
      <x:c r="C210" s="27" t="n">
        <x:v>2</x:v>
      </x:c>
      <x:c r="D210" s="27" t="n">
        <x:v>2</x:v>
      </x:c>
      <x:c r="E210" s="29" t="n">
        <x:f>IF(AND(ISNUMBER(C210),ISNUMBER(D210)),C210-D210,IF(AND(C210="Не найдено",ISNUMBER(D210)),"Появился",IF(AND(ISNUMBER(C210),D210="Не найдено"),"Не найдено","Нет сравнения")))</x:f>
        <x:v>0</x:v>
      </x:c>
      <x:c r="F210" s="16" t="str">
        <x:v>https://kozhaclinic.ru/izbavlenie-ot-pigmentatsii/</x:v>
      </x:c>
      <x:c r="G210" s="27" t="n">
        <x:v>2</x:v>
      </x:c>
      <x:c r="H210" s="27" t="n">
        <x:v>3</x:v>
      </x:c>
      <x:c r="I210" s="29" t="n">
        <x:f>IF(AND(ISNUMBER(G210),ISNUMBER(H210)),G210-H210,IF(AND(G210="Не найдено",ISNUMBER(H210)),"Появился",IF(AND(ISNUMBER(G210),H210="Не найдено"),"Не найдено","Нет сравнения")))</x:f>
        <x:v>-1</x:v>
      </x:c>
      <x:c r="J210" s="16" t="str">
        <x:v>https://kozhaclinic.ru/izbavlenie-ot-pigmentatsii/</x:v>
      </x:c>
    </x:row>
    <x:row r="211" ht="40" customHeight="1">
      <x:c r="A211" s="12" t="str">
        <x:v>избавиться от морщин сургут</x:v>
      </x:c>
      <x:c r="B211" s="12" t="str">
        <x:v>Устранение мимических морщин</x:v>
      </x:c>
      <x:c r="C211" s="26" t="n">
        <x:v>4</x:v>
      </x:c>
      <x:c r="D211" s="26" t="n">
        <x:v>2</x:v>
      </x:c>
      <x:c r="E211" s="28" t="n">
        <x:f>IF(AND(ISNUMBER(C211),ISNUMBER(D211)),C211-D211,IF(AND(C211="Не найдено",ISNUMBER(D211)),"Появился",IF(AND(ISNUMBER(C211),D211="Не найдено"),"Не найдено","Нет сравнения")))</x:f>
        <x:v>2</x:v>
      </x:c>
      <x:c r="F211" s="15" t="str">
        <x:v>https://kozhaclinic.ru/ustranenie-mimicheskikh-morshchin/</x:v>
      </x:c>
      <x:c r="G211" s="26" t="n">
        <x:v>1</x:v>
      </x:c>
      <x:c r="H211" s="26" t="n">
        <x:v>1</x:v>
      </x:c>
      <x:c r="I211" s="28" t="n">
        <x:f>IF(AND(ISNUMBER(G211),ISNUMBER(H211)),G211-H211,IF(AND(G211="Не найдено",ISNUMBER(H211)),"Появился",IF(AND(ISNUMBER(G211),H211="Не найдено"),"Не найдено","Нет сравнения")))</x:f>
        <x:v>0</x:v>
      </x:c>
      <x:c r="J211" s="15" t="str">
        <x:v>https://kozhaclinic.ru/ustranenie-mimicheskikh-morshchin/</x:v>
      </x:c>
    </x:row>
    <x:row r="212" ht="40" customHeight="1">
      <x:c r="A212" s="14" t="str">
        <x:v>убрать мимические морщины сургут</x:v>
      </x:c>
      <x:c r="B212" s="14" t="str">
        <x:v>Устранение мимических морщин</x:v>
      </x:c>
      <x:c r="C212" s="27" t="n">
        <x:v>1</x:v>
      </x:c>
      <x:c r="D212" s="27" t="n">
        <x:v>1</x:v>
      </x:c>
      <x:c r="E212" s="29" t="n">
        <x:f>IF(AND(ISNUMBER(C212),ISNUMBER(D212)),C212-D212,IF(AND(C212="Не найдено",ISNUMBER(D212)),"Появился",IF(AND(ISNUMBER(C212),D212="Не найдено"),"Не найдено","Нет сравнения")))</x:f>
        <x:v>0</x:v>
      </x:c>
      <x:c r="F212" s="16" t="str">
        <x:v>https://kozhaclinic.ru/ustranenie-mimicheskikh-morshchin/</x:v>
      </x:c>
      <x:c r="G212" s="27" t="n">
        <x:v>1</x:v>
      </x:c>
      <x:c r="H212" s="27" t="n">
        <x:v>1</x:v>
      </x:c>
      <x:c r="I212" s="29" t="n">
        <x:f>IF(AND(ISNUMBER(G212),ISNUMBER(H212)),G212-H212,IF(AND(G212="Не найдено",ISNUMBER(H212)),"Появился",IF(AND(ISNUMBER(G212),H212="Не найдено"),"Не найдено","Нет сравнения")))</x:f>
        <x:v>0</x:v>
      </x:c>
      <x:c r="J212" s="16" t="str">
        <x:v>https://kozhaclinic.ru/ustranenie-mimicheskikh-morshchin/</x:v>
      </x:c>
    </x:row>
    <x:row r="213" ht="40" customHeight="1">
      <x:c r="A213" s="12" t="str">
        <x:v>убрать морщины сургут</x:v>
      </x:c>
      <x:c r="B213" s="12" t="str">
        <x:v>Устранение мимических морщин</x:v>
      </x:c>
      <x:c r="C213" s="26" t="n">
        <x:v>1</x:v>
      </x:c>
      <x:c r="D213" s="26" t="n">
        <x:v>1</x:v>
      </x:c>
      <x:c r="E213" s="28" t="n">
        <x:f>IF(AND(ISNUMBER(C213),ISNUMBER(D213)),C213-D213,IF(AND(C213="Не найдено",ISNUMBER(D213)),"Появился",IF(AND(ISNUMBER(C213),D213="Не найдено"),"Не найдено","Нет сравнения")))</x:f>
        <x:v>0</x:v>
      </x:c>
      <x:c r="F213" s="15" t="str">
        <x:v>https://kozhaclinic.ru/inekcionnaya-kosmetologiya/botulinoterapiya/</x:v>
      </x:c>
      <x:c r="G213" s="26" t="n">
        <x:v>1</x:v>
      </x:c>
      <x:c r="H213" s="26" t="n">
        <x:v>1</x:v>
      </x:c>
      <x:c r="I213" s="28" t="n">
        <x:f>IF(AND(ISNUMBER(G213),ISNUMBER(H213)),G213-H213,IF(AND(G213="Не найдено",ISNUMBER(H213)),"Появился",IF(AND(ISNUMBER(G213),H213="Не найдено"),"Не найдено","Нет сравнения")))</x:f>
        <x:v>0</x:v>
      </x:c>
      <x:c r="J213" s="15" t="str">
        <x:v>https://kozhaclinic.ru/ustranenie-mimicheskikh-morshchin/</x:v>
      </x:c>
    </x:row>
    <x:row r="214" ht="40" customHeight="1">
      <x:c r="A214" s="14" t="str">
        <x:v>убрать морщины вокруг глаз сургут</x:v>
      </x:c>
      <x:c r="B214" s="14" t="str">
        <x:v>Устранение мимических морщин</x:v>
      </x:c>
      <x:c r="C214" s="27" t="n">
        <x:v>4</x:v>
      </x:c>
      <x:c r="D214" s="27" t="n">
        <x:v>2</x:v>
      </x:c>
      <x:c r="E214" s="29" t="n">
        <x:f>IF(AND(ISNUMBER(C214),ISNUMBER(D214)),C214-D214,IF(AND(C214="Не найдено",ISNUMBER(D214)),"Появился",IF(AND(ISNUMBER(C214),D214="Не найдено"),"Не найдено","Нет сравнения")))</x:f>
        <x:v>2</x:v>
      </x:c>
      <x:c r="F214" s="16" t="str">
        <x:v>https://kozhaclinic.ru/inekcionnaya-kosmetologiya/botulinoterapiya/botoks-dlya-litsa-i-vokrug-glaz/</x:v>
      </x:c>
      <x:c r="G214" s="27" t="n">
        <x:v>1</x:v>
      </x:c>
      <x:c r="H214" s="27" t="n">
        <x:v>1</x:v>
      </x:c>
      <x:c r="I214" s="29" t="n">
        <x:f>IF(AND(ISNUMBER(G214),ISNUMBER(H214)),G214-H214,IF(AND(G214="Не найдено",ISNUMBER(H214)),"Появился",IF(AND(ISNUMBER(G214),H214="Не найдено"),"Не найдено","Нет сравнения")))</x:f>
        <x:v>0</x:v>
      </x:c>
      <x:c r="J214" s="16" t="str">
        <x:v>https://kozhaclinic.ru/ustranenie-mimicheskikh-morshchin/</x:v>
      </x:c>
    </x:row>
    <x:row r="215" ht="40" customHeight="1">
      <x:c r="A215" s="12" t="str">
        <x:v>убрать морщины на лбу сургут</x:v>
      </x:c>
      <x:c r="B215" s="12" t="str">
        <x:v>Устранение мимических морщин</x:v>
      </x:c>
      <x:c r="C215" s="26" t="n">
        <x:v>2</x:v>
      </x:c>
      <x:c r="D215" s="26" t="n">
        <x:v>1</x:v>
      </x:c>
      <x:c r="E215" s="28" t="n">
        <x:f>IF(AND(ISNUMBER(C215),ISNUMBER(D215)),C215-D215,IF(AND(C215="Не найдено",ISNUMBER(D215)),"Появился",IF(AND(ISNUMBER(C215),D215="Не найдено"),"Не найдено","Нет сравнения")))</x:f>
        <x:v>1</x:v>
      </x:c>
      <x:c r="F215" s="15" t="str">
        <x:v>https://kozhaclinic.ru/inekcionnaya-kosmetologiya/botulinoterapiya/botulinoterapiya-v-lob-i-mezhbrove/</x:v>
      </x:c>
      <x:c r="G215" s="26" t="n">
        <x:v>1</x:v>
      </x:c>
      <x:c r="H215" s="26" t="n">
        <x:v>1</x:v>
      </x:c>
      <x:c r="I215" s="28" t="n">
        <x:f>IF(AND(ISNUMBER(G215),ISNUMBER(H215)),G215-H215,IF(AND(G215="Не найдено",ISNUMBER(H215)),"Появился",IF(AND(ISNUMBER(G215),H215="Не найдено"),"Не найдено","Нет сравнения")))</x:f>
        <x:v>0</x:v>
      </x:c>
      <x:c r="J215" s="15" t="str">
        <x:v>https://kozhaclinic.ru/ustranenie-mimicheskikh-morshchin/</x:v>
      </x:c>
    </x:row>
    <x:row r="216" ht="40" customHeight="1">
      <x:c r="A216" s="14" t="str">
        <x:v>убрать морщины под глазами сургут</x:v>
      </x:c>
      <x:c r="B216" s="14" t="str">
        <x:v>Устранение мимических морщин</x:v>
      </x:c>
      <x:c r="C216" s="27" t="n">
        <x:v>6</x:v>
      </x:c>
      <x:c r="D216" s="27" t="n">
        <x:v>5</x:v>
      </x:c>
      <x:c r="E216" s="29" t="n">
        <x:f>IF(AND(ISNUMBER(C216),ISNUMBER(D216)),C216-D216,IF(AND(C216="Не найдено",ISNUMBER(D216)),"Появился",IF(AND(ISNUMBER(C216),D216="Не найдено"),"Не найдено","Нет сравнения")))</x:f>
        <x:v>1</x:v>
      </x:c>
      <x:c r="F216" s="16" t="str">
        <x:v>https://kozhaclinic.ru/inekcionnaya-kosmetologiya/botulinoterapiya/botoks-dlya-litsa-i-vokrug-glaz/</x:v>
      </x:c>
      <x:c r="G216" s="27" t="n">
        <x:v>1</x:v>
      </x:c>
      <x:c r="H216" s="27" t="n">
        <x:v>2</x:v>
      </x:c>
      <x:c r="I216" s="29" t="n">
        <x:f>IF(AND(ISNUMBER(G216),ISNUMBER(H216)),G216-H216,IF(AND(G216="Не найдено",ISNUMBER(H216)),"Появился",IF(AND(ISNUMBER(G216),H216="Не найдено"),"Не найдено","Нет сравнения")))</x:f>
        <x:v>-1</x:v>
      </x:c>
      <x:c r="J216" s="16" t="str">
        <x:v>https://kozhaclinic.ru/ustranenie-temnykh-krugov-pod-glazami/</x:v>
      </x:c>
    </x:row>
    <x:row r="217" ht="40" customHeight="1">
      <x:c r="A217" s="12" t="str">
        <x:v>убрать морщины цена</x:v>
      </x:c>
      <x:c r="B217" s="12" t="str">
        <x:v>Устранение мимических морщин</x:v>
      </x:c>
      <x:c r="C217" s="26" t="n">
        <x:v>3</x:v>
      </x:c>
      <x:c r="D217" s="26" t="n">
        <x:v>2</x:v>
      </x:c>
      <x:c r="E217" s="28" t="n">
        <x:f>IF(AND(ISNUMBER(C217),ISNUMBER(D217)),C217-D217,IF(AND(C217="Не найдено",ISNUMBER(D217)),"Появился",IF(AND(ISNUMBER(C217),D217="Не найдено"),"Не найдено","Нет сравнения")))</x:f>
        <x:v>1</x:v>
      </x:c>
      <x:c r="F217" s="15" t="str">
        <x:v>https://kozhaclinic.ru/inekcionnaya-kosmetologiya/konturnaya-plastika/korrektsiya-nosogubnykh-skladok/</x:v>
      </x:c>
      <x:c r="G217" s="26" t="n">
        <x:v>1</x:v>
      </x:c>
      <x:c r="H217" s="26" t="n">
        <x:v>1</x:v>
      </x:c>
      <x:c r="I217" s="28" t="n">
        <x:f>IF(AND(ISNUMBER(G217),ISNUMBER(H217)),G217-H217,IF(AND(G217="Не найдено",ISNUMBER(H217)),"Появился",IF(AND(ISNUMBER(G217),H217="Не найдено"),"Не найдено","Нет сравнения")))</x:f>
        <x:v>0</x:v>
      </x:c>
      <x:c r="J217" s="15" t="str">
        <x:v>https://kozhaclinic.ru/inekcionnaya-kosmetologiya/botulinoterapiya/</x:v>
      </x:c>
    </x:row>
    <x:row r="218" ht="40" customHeight="1">
      <x:c r="A218" s="14" t="str">
        <x:v>избавиться от синяков под глазами сургут</x:v>
      </x:c>
      <x:c r="B218" s="14" t="str">
        <x:v>Устранение темных кругов под глазами</x:v>
      </x:c>
      <x:c r="C218" s="27" t="n">
        <x:v>2</x:v>
      </x:c>
      <x:c r="D218" s="27" t="n">
        <x:v>1</x:v>
      </x:c>
      <x:c r="E218" s="29" t="n">
        <x:f>IF(AND(ISNUMBER(C218),ISNUMBER(D218)),C218-D218,IF(AND(C218="Не найдено",ISNUMBER(D218)),"Появился",IF(AND(ISNUMBER(C218),D218="Не найдено"),"Не найдено","Нет сравнения")))</x:f>
        <x:v>1</x:v>
      </x:c>
      <x:c r="F218" s="16" t="str">
        <x:v>https://kozhaclinic.ru/ustranenie-temnykh-krugov-pod-glazami/</x:v>
      </x:c>
      <x:c r="G218" s="27" t="str">
        <x:v>Не найдено</x:v>
      </x:c>
      <x:c r="H218" s="27" t="n">
        <x:v>1</x:v>
      </x:c>
      <x:c r="I218" s="29" t="str">
        <x:f>IF(AND(ISNUMBER(G218),ISNUMBER(H218)),G218-H218,IF(AND(G218="Не найдено",ISNUMBER(H218)),"Появился",IF(AND(ISNUMBER(G218),H218="Не найдено"),"Не найдено","Нет сравнения")))</x:f>
        <x:v>Появился</x:v>
      </x:c>
      <x:c r="J218" s="16" t="str">
        <x:v>https://kozhaclinic.ru/ustranenie-temnykh-krugov-pod-glazami/</x:v>
      </x:c>
    </x:row>
    <x:row r="219" ht="40" customHeight="1">
      <x:c r="A219" s="12" t="str">
        <x:v>темные круги под глазами косметология сургут</x:v>
      </x:c>
      <x:c r="B219" s="12" t="str">
        <x:v>Устранение темных кругов под глазами</x:v>
      </x:c>
      <x:c r="C219" s="26" t="n">
        <x:v>1</x:v>
      </x:c>
      <x:c r="D219" s="26" t="n">
        <x:v>1</x:v>
      </x:c>
      <x:c r="E219" s="28" t="n">
        <x:f>IF(AND(ISNUMBER(C219),ISNUMBER(D219)),C219-D219,IF(AND(C219="Не найдено",ISNUMBER(D219)),"Появился",IF(AND(ISNUMBER(C219),D219="Не найдено"),"Не найдено","Нет сравнения")))</x:f>
        <x:v>0</x:v>
      </x:c>
      <x:c r="F219" s="15" t="str">
        <x:v>https://kozhaclinic.ru/ustranenie-temnykh-krugov-pod-glazami/</x:v>
      </x:c>
      <x:c r="G219" s="26" t="n">
        <x:v>1</x:v>
      </x:c>
      <x:c r="H219" s="26" t="n">
        <x:v>1</x:v>
      </x:c>
      <x:c r="I219" s="28" t="n">
        <x:f>IF(AND(ISNUMBER(G219),ISNUMBER(H219)),G219-H219,IF(AND(G219="Не найдено",ISNUMBER(H219)),"Появился",IF(AND(ISNUMBER(G219),H219="Не найдено"),"Не найдено","Нет сравнения")))</x:f>
        <x:v>0</x:v>
      </x:c>
      <x:c r="J219" s="15" t="str">
        <x:v>https://kozhaclinic.ru/ustranenie-temnykh-krugov-pod-glazami/</x:v>
      </x:c>
    </x:row>
    <x:row r="220" ht="40" customHeight="1">
      <x:c r="A220" s="14" t="str">
        <x:v>убрать синяки косметология сургут</x:v>
      </x:c>
      <x:c r="B220" s="14" t="str">
        <x:v>Устранение темных кругов под глазами</x:v>
      </x:c>
      <x:c r="C220" s="27" t="n">
        <x:v>1</x:v>
      </x:c>
      <x:c r="D220" s="27" t="n">
        <x:v>1</x:v>
      </x:c>
      <x:c r="E220" s="29" t="n">
        <x:f>IF(AND(ISNUMBER(C220),ISNUMBER(D220)),C220-D220,IF(AND(C220="Не найдено",ISNUMBER(D220)),"Появился",IF(AND(ISNUMBER(C220),D220="Не найдено"),"Не найдено","Нет сравнения")))</x:f>
        <x:v>0</x:v>
      </x:c>
      <x:c r="F220" s="16" t="str">
        <x:v>https://kozhaclinic.ru/ustranenie-temnykh-krugov-pod-glazami/</x:v>
      </x:c>
      <x:c r="G220" s="27" t="n">
        <x:v>1</x:v>
      </x:c>
      <x:c r="H220" s="27" t="n">
        <x:v>1</x:v>
      </x:c>
      <x:c r="I220" s="29" t="n">
        <x:f>IF(AND(ISNUMBER(G220),ISNUMBER(H220)),G220-H220,IF(AND(G220="Не найдено",ISNUMBER(H220)),"Появился",IF(AND(ISNUMBER(G220),H220="Не найдено"),"Не найдено","Нет сравнения")))</x:f>
        <x:v>0</x:v>
      </x:c>
      <x:c r="J220" s="16" t="str">
        <x:v>https://kozhaclinic.ru/ustranenie-temnykh-krugov-pod-glazami/</x:v>
      </x:c>
    </x:row>
    <x:row r="221" ht="40" customHeight="1">
      <x:c r="A221" s="12" t="str">
        <x:v>убрать синяки под глазами сургут</x:v>
      </x:c>
      <x:c r="B221" s="12" t="str">
        <x:v>Устранение темных кругов под глазами</x:v>
      </x:c>
      <x:c r="C221" s="26" t="n">
        <x:v>1</x:v>
      </x:c>
      <x:c r="D221" s="26" t="n">
        <x:v>1</x:v>
      </x:c>
      <x:c r="E221" s="28" t="n">
        <x:f>IF(AND(ISNUMBER(C221),ISNUMBER(D221)),C221-D221,IF(AND(C221="Не найдено",ISNUMBER(D221)),"Появился",IF(AND(ISNUMBER(C221),D221="Не найдено"),"Не найдено","Нет сравнения")))</x:f>
        <x:v>0</x:v>
      </x:c>
      <x:c r="F221" s="15" t="str">
        <x:v>https://kozhaclinic.ru/ustranenie-temnykh-krugov-pod-glazami/</x:v>
      </x:c>
      <x:c r="G221" s="26" t="n">
        <x:v>1</x:v>
      </x:c>
      <x:c r="H221" s="26" t="str">
        <x:v>Не найдено</x:v>
      </x:c>
      <x:c r="I221" s="28" t="str">
        <x:f>IF(AND(ISNUMBER(G221),ISNUMBER(H221)),G221-H221,IF(AND(G221="Не найдено",ISNUMBER(H221)),"Появился",IF(AND(ISNUMBER(G221),H221="Не найдено"),"Не найдено","Нет сравнения")))</x:f>
        <x:v>Не найдено</x:v>
      </x:c>
      <x:c r="J221" s="12"/>
    </x:row>
    <x:row r="222" ht="40" customHeight="1">
      <x:c r="A222" s="14" t="str">
        <x:v>убрать темные круги под глазами сургут</x:v>
      </x:c>
      <x:c r="B222" s="14" t="str">
        <x:v>Устранение темных кругов под глазами</x:v>
      </x:c>
      <x:c r="C222" s="27" t="n">
        <x:v>1</x:v>
      </x:c>
      <x:c r="D222" s="27" t="n">
        <x:v>1</x:v>
      </x:c>
      <x:c r="E222" s="29" t="n">
        <x:f>IF(AND(ISNUMBER(C222),ISNUMBER(D222)),C222-D222,IF(AND(C222="Не найдено",ISNUMBER(D222)),"Появился",IF(AND(ISNUMBER(C222),D222="Не найдено"),"Не найдено","Нет сравнения")))</x:f>
        <x:v>0</x:v>
      </x:c>
      <x:c r="F222" s="16" t="str">
        <x:v>https://kozhaclinic.ru/ustranenie-temnykh-krugov-pod-glazami/</x:v>
      </x:c>
      <x:c r="G222" s="27" t="n">
        <x:v>1</x:v>
      </x:c>
      <x:c r="H222" s="27" t="n">
        <x:v>1</x:v>
      </x:c>
      <x:c r="I222" s="29" t="n">
        <x:f>IF(AND(ISNUMBER(G222),ISNUMBER(H222)),G222-H222,IF(AND(G222="Не найдено",ISNUMBER(H222)),"Появился",IF(AND(ISNUMBER(G222),H222="Не найдено"),"Не найдено","Нет сравнения")))</x:f>
        <x:v>0</x:v>
      </x:c>
      <x:c r="J222" s="16" t="str">
        <x:v>https://kozhaclinic.ru/ustranenie-temnykh-krugov-pod-glazami/</x:v>
      </x:c>
    </x:row>
    <x:row r="223" ht="40" customHeight="1">
      <x:c r="A223" s="12" t="str">
        <x:v>гликолевый пилинг сургут</x:v>
      </x:c>
      <x:c r="B223" s="12" t="str">
        <x:v>Гликолевый пилинг</x:v>
      </x:c>
      <x:c r="C223" s="26" t="n">
        <x:v>1</x:v>
      </x:c>
      <x:c r="D223" s="26" t="n">
        <x:v>1</x:v>
      </x:c>
      <x:c r="E223" s="28" t="n">
        <x:f>IF(AND(ISNUMBER(C223),ISNUMBER(D223)),C223-D223,IF(AND(C223="Не найдено",ISNUMBER(D223)),"Появился",IF(AND(ISNUMBER(C223),D223="Не найдено"),"Не найдено","Нет сравнения")))</x:f>
        <x:v>0</x:v>
      </x:c>
      <x:c r="F223" s="15" t="str">
        <x:v>https://kozhaclinic.ru/uhodovye-procedury/pilingi/glikolevyi-piling/</x:v>
      </x:c>
      <x:c r="G223" s="26" t="n">
        <x:v>2</x:v>
      </x:c>
      <x:c r="H223" s="26" t="n">
        <x:v>3</x:v>
      </x:c>
      <x:c r="I223" s="28" t="n">
        <x:f>IF(AND(ISNUMBER(G223),ISNUMBER(H223)),G223-H223,IF(AND(G223="Не найдено",ISNUMBER(H223)),"Появился",IF(AND(ISNUMBER(G223),H223="Не найдено"),"Не найдено","Нет сравнения")))</x:f>
        <x:v>-1</x:v>
      </x:c>
      <x:c r="J223" s="15" t="str">
        <x:v>https://kozhaclinic.ru/uhodovye-procedury/pilingi/</x:v>
      </x:c>
    </x:row>
    <x:row r="224" ht="40" customHeight="1">
      <x:c r="A224" s="14" t="str">
        <x:v>кислотный пилинг сургут</x:v>
      </x:c>
      <x:c r="B224" s="14" t="str">
        <x:v>Кислотный пилинг</x:v>
      </x:c>
      <x:c r="C224" s="27" t="n">
        <x:v>1</x:v>
      </x:c>
      <x:c r="D224" s="27" t="n">
        <x:v>1</x:v>
      </x:c>
      <x:c r="E224" s="29" t="n">
        <x:f>IF(AND(ISNUMBER(C224),ISNUMBER(D224)),C224-D224,IF(AND(C224="Не найдено",ISNUMBER(D224)),"Появился",IF(AND(ISNUMBER(C224),D224="Не найдено"),"Не найдено","Нет сравнения")))</x:f>
        <x:v>0</x:v>
      </x:c>
      <x:c r="F224" s="16" t="str">
        <x:v>https://kozhaclinic.ru/uhodovye-procedury/pilingi/kislotnyi-piling/</x:v>
      </x:c>
      <x:c r="G224" s="27" t="n">
        <x:v>2</x:v>
      </x:c>
      <x:c r="H224" s="27" t="n">
        <x:v>3</x:v>
      </x:c>
      <x:c r="I224" s="29" t="n">
        <x:f>IF(AND(ISNUMBER(G224),ISNUMBER(H224)),G224-H224,IF(AND(G224="Не найдено",ISNUMBER(H224)),"Появился",IF(AND(ISNUMBER(G224),H224="Не найдено"),"Не найдено","Нет сравнения")))</x:f>
        <x:v>-1</x:v>
      </x:c>
      <x:c r="J224" s="16" t="str">
        <x:v>https://kozhaclinic.ru/uhodovye-procedury/pilingi/</x:v>
      </x:c>
    </x:row>
    <x:row r="225" ht="40" customHeight="1">
      <x:c r="A225" s="12" t="str">
        <x:v>массаж лица для подтяжки лица сургут</x:v>
      </x:c>
      <x:c r="B225" s="12" t="str">
        <x:v>Массаж для подтяжки лица</x:v>
      </x:c>
      <x:c r="C225" s="26" t="n">
        <x:v>3</x:v>
      </x:c>
      <x:c r="D225" s="26" t="n">
        <x:v>3</x:v>
      </x:c>
      <x:c r="E225" s="28" t="n">
        <x:f>IF(AND(ISNUMBER(C225),ISNUMBER(D225)),C225-D225,IF(AND(C225="Не найдено",ISNUMBER(D225)),"Появился",IF(AND(ISNUMBER(C225),D225="Не найдено"),"Не найдено","Нет сравнения")))</x:f>
        <x:v>0</x:v>
      </x:c>
      <x:c r="F225" s="15" t="str">
        <x:v>https://kozhaclinic.ru/uhodovye-procedury/massazhi/plastifitsiruyushchiy/</x:v>
      </x:c>
      <x:c r="G225" s="26" t="n">
        <x:v>5</x:v>
      </x:c>
      <x:c r="H225" s="26" t="n">
        <x:v>4</x:v>
      </x:c>
      <x:c r="I225" s="28" t="n">
        <x:f>IF(AND(ISNUMBER(G225),ISNUMBER(H225)),G225-H225,IF(AND(G225="Не найдено",ISNUMBER(H225)),"Появился",IF(AND(ISNUMBER(G225),H225="Не найдено"),"Не найдено","Нет сравнения")))</x:f>
        <x:v>1</x:v>
      </x:c>
      <x:c r="J225" s="15" t="str">
        <x:v>https://kozhaclinic.ru/uhodovye-procedury/massazhi/</x:v>
      </x:c>
    </x:row>
    <x:row r="226" ht="40" customHeight="1">
      <x:c r="A226" s="14" t="str">
        <x:v>массаж после ботокса цена</x:v>
      </x:c>
      <x:c r="B226" s="14" t="str">
        <x:v>Массаж после ботокса</x:v>
      </x:c>
      <x:c r="C226" s="27" t="n">
        <x:v>21</x:v>
      </x:c>
      <x:c r="D226" s="27" t="n">
        <x:v>7</x:v>
      </x:c>
      <x:c r="E226" s="29" t="n">
        <x:f>IF(AND(ISNUMBER(C226),ISNUMBER(D226)),C226-D226,IF(AND(C226="Не найдено",ISNUMBER(D226)),"Появился",IF(AND(ISNUMBER(C226),D226="Не найдено"),"Не найдено","Нет сравнения")))</x:f>
        <x:v>14</x:v>
      </x:c>
      <x:c r="F226" s="16" t="str">
        <x:v>https://kozhaclinic.ru/inekcionnaya-kosmetologiya/botulinoterapiya/</x:v>
      </x:c>
      <x:c r="G226" s="27" t="n">
        <x:v>6</x:v>
      </x:c>
      <x:c r="H226" s="27" t="n">
        <x:v>7</x:v>
      </x:c>
      <x:c r="I226" s="29" t="n">
        <x:f>IF(AND(ISNUMBER(G226),ISNUMBER(H226)),G226-H226,IF(AND(G226="Не найдено",ISNUMBER(H226)),"Появился",IF(AND(ISNUMBER(G226),H226="Не найдено"),"Не найдено","Нет сравнения")))</x:f>
        <x:v>-1</x:v>
      </x:c>
      <x:c r="J226" s="16" t="str">
        <x:v>https://kozhaclinic.ru/uhodovye-procedury/massazhi/</x:v>
      </x:c>
    </x:row>
    <x:row r="227" ht="40" customHeight="1">
      <x:c r="A227" s="12" t="str">
        <x:v>массаж после ботокса сургут</x:v>
      </x:c>
      <x:c r="B227" s="12" t="str">
        <x:v>Массаж после ботокса</x:v>
      </x:c>
      <x:c r="C227" s="26" t="n">
        <x:v>3</x:v>
      </x:c>
      <x:c r="D227" s="26" t="n">
        <x:v>1</x:v>
      </x:c>
      <x:c r="E227" s="28" t="n">
        <x:f>IF(AND(ISNUMBER(C227),ISNUMBER(D227)),C227-D227,IF(AND(C227="Не найдено",ISNUMBER(D227)),"Появился",IF(AND(ISNUMBER(C227),D227="Не найдено"),"Не найдено","Нет сравнения")))</x:f>
        <x:v>2</x:v>
      </x:c>
      <x:c r="F227" s="15" t="str">
        <x:v>https://kozhaclinic.ru/inekcionnaya-kosmetologiya/botulinoterapiya/</x:v>
      </x:c>
      <x:c r="G227" s="26" t="n">
        <x:v>1</x:v>
      </x:c>
      <x:c r="H227" s="26" t="n">
        <x:v>1</x:v>
      </x:c>
      <x:c r="I227" s="28" t="n">
        <x:f>IF(AND(ISNUMBER(G227),ISNUMBER(H227)),G227-H227,IF(AND(G227="Не найдено",ISNUMBER(H227)),"Появился",IF(AND(ISNUMBER(G227),H227="Не найдено"),"Не найдено","Нет сравнения")))</x:f>
        <x:v>0</x:v>
      </x:c>
      <x:c r="J227" s="15" t="str">
        <x:v>https://kozhaclinic.ru/inekcionnaya-kosmetologiya/botulinoterapiya/</x:v>
      </x:c>
    </x:row>
    <x:row r="228" ht="40" customHeight="1">
      <x:c r="A228" s="14" t="str">
        <x:v>пилинг лица цена</x:v>
      </x:c>
      <x:c r="B228" s="14" t="str">
        <x:v>Пилинг лица</x:v>
      </x:c>
      <x:c r="C228" s="27" t="n">
        <x:v>4</x:v>
      </x:c>
      <x:c r="D228" s="27" t="n">
        <x:v>2</x:v>
      </x:c>
      <x:c r="E228" s="29" t="n">
        <x:f>IF(AND(ISNUMBER(C228),ISNUMBER(D228)),C228-D228,IF(AND(C228="Не найдено",ISNUMBER(D228)),"Появился",IF(AND(ISNUMBER(C228),D228="Не найдено"),"Не найдено","Нет сравнения")))</x:f>
        <x:v>2</x:v>
      </x:c>
      <x:c r="F228" s="16" t="str">
        <x:v>https://kozhaclinic.ru/ceny-prajs-list/</x:v>
      </x:c>
      <x:c r="G228" s="27" t="n">
        <x:v>9</x:v>
      </x:c>
      <x:c r="H228" s="27" t="str">
        <x:v>Не найдено</x:v>
      </x:c>
      <x:c r="I228" s="29" t="str">
        <x:f>IF(AND(ISNUMBER(G228),ISNUMBER(H228)),G228-H228,IF(AND(G228="Не найдено",ISNUMBER(H228)),"Появился",IF(AND(ISNUMBER(G228),H228="Не найдено"),"Не найдено","Нет сравнения")))</x:f>
        <x:v>Не найдено</x:v>
      </x:c>
      <x:c r="J228" s="14"/>
    </x:row>
    <x:row r="229" ht="40" customHeight="1">
      <x:c r="A229" s="12" t="str">
        <x:v>пилинг лица сургут</x:v>
      </x:c>
      <x:c r="B229" s="12" t="str">
        <x:v>Пилинг лица</x:v>
      </x:c>
      <x:c r="C229" s="26" t="n">
        <x:v>3</x:v>
      </x:c>
      <x:c r="D229" s="26" t="n">
        <x:v>3</x:v>
      </x:c>
      <x:c r="E229" s="28" t="n">
        <x:f>IF(AND(ISNUMBER(C229),ISNUMBER(D229)),C229-D229,IF(AND(C229="Не найдено",ISNUMBER(D229)),"Появился",IF(AND(ISNUMBER(C229),D229="Не найдено"),"Не найдено","Нет сравнения")))</x:f>
        <x:v>0</x:v>
      </x:c>
      <x:c r="F229" s="15" t="str">
        <x:v>https://kozhaclinic.ru/uhodovye-procedury/pilingi/</x:v>
      </x:c>
      <x:c r="G229" s="26" t="n">
        <x:v>3</x:v>
      </x:c>
      <x:c r="H229" s="26" t="n">
        <x:v>3</x:v>
      </x:c>
      <x:c r="I229" s="28" t="n">
        <x:f>IF(AND(ISNUMBER(G229),ISNUMBER(H229)),G229-H229,IF(AND(G229="Не найдено",ISNUMBER(H229)),"Появился",IF(AND(ISNUMBER(G229),H229="Не найдено"),"Не найдено","Нет сравнения")))</x:f>
        <x:v>0</x:v>
      </x:c>
      <x:c r="J229" s="15" t="str">
        <x:v>https://kozhaclinic.ru/uhodovye-procedury/pilingi/</x:v>
      </x:c>
    </x:row>
    <x:row r="230" ht="40" customHeight="1">
      <x:c r="A230" s="14" t="str">
        <x:v>азелаиновый пилинг сургут</x:v>
      </x:c>
      <x:c r="B230" s="14" t="str">
        <x:v>Азелаиновый пилинг</x:v>
      </x:c>
      <x:c r="C230" s="27" t="n">
        <x:v>2</x:v>
      </x:c>
      <x:c r="D230" s="27" t="n">
        <x:v>2</x:v>
      </x:c>
      <x:c r="E230" s="29" t="n">
        <x:f>IF(AND(ISNUMBER(C230),ISNUMBER(D230)),C230-D230,IF(AND(C230="Не найдено",ISNUMBER(D230)),"Появился",IF(AND(ISNUMBER(C230),D230="Не найдено"),"Не найдено","Нет сравнения")))</x:f>
        <x:v>0</x:v>
      </x:c>
      <x:c r="F230" s="16" t="str">
        <x:v>https://kozhaclinic.ru/uhodovye-procedury/pilingi/azelainovyi-piling/</x:v>
      </x:c>
      <x:c r="G230" s="27" t="n">
        <x:v>3</x:v>
      </x:c>
      <x:c r="H230" s="27" t="n">
        <x:v>4</x:v>
      </x:c>
      <x:c r="I230" s="29" t="n">
        <x:f>IF(AND(ISNUMBER(G230),ISNUMBER(H230)),G230-H230,IF(AND(G230="Не найдено",ISNUMBER(H230)),"Появился",IF(AND(ISNUMBER(G230),H230="Не найдено"),"Не найдено","Нет сравнения")))</x:f>
        <x:v>-1</x:v>
      </x:c>
      <x:c r="J230" s="16" t="str">
        <x:v>https://kozhaclinic.ru/uhodovye-procedury/pilingi/</x:v>
      </x:c>
    </x:row>
    <x:row r="231" ht="40" customHeight="1">
      <x:c r="A231" s="12" t="str">
        <x:v>азелаиновый пилинг для лица сургут</x:v>
      </x:c>
      <x:c r="B231" s="12" t="str">
        <x:v>Азелаиновый пилинг</x:v>
      </x:c>
      <x:c r="C231" s="26" t="n">
        <x:v>9</x:v>
      </x:c>
      <x:c r="D231" s="26" t="n">
        <x:v>17</x:v>
      </x:c>
      <x:c r="E231" s="28" t="n">
        <x:f>IF(AND(ISNUMBER(C231),ISNUMBER(D231)),C231-D231,IF(AND(C231="Не найдено",ISNUMBER(D231)),"Появился",IF(AND(ISNUMBER(C231),D231="Не найдено"),"Не найдено","Нет сравнения")))</x:f>
        <x:v>-8</x:v>
      </x:c>
      <x:c r="F231" s="15" t="str">
        <x:v>https://kozhaclinic.ru/uhodovye-procedury/pilingi/azelainovyi-piling/</x:v>
      </x:c>
      <x:c r="G231" s="26" t="n">
        <x:v>2</x:v>
      </x:c>
      <x:c r="H231" s="26" t="n">
        <x:v>3</x:v>
      </x:c>
      <x:c r="I231" s="28" t="n">
        <x:f>IF(AND(ISNUMBER(G231),ISNUMBER(H231)),G231-H231,IF(AND(G231="Не найдено",ISNUMBER(H231)),"Появился",IF(AND(ISNUMBER(G231),H231="Не найдено"),"Не найдено","Нет сравнения")))</x:f>
        <x:v>-1</x:v>
      </x:c>
      <x:c r="J231" s="15" t="str">
        <x:v>https://kozhaclinic.ru/uhodovye-procedury/pilingi/</x:v>
      </x:c>
    </x:row>
    <x:row r="232" ht="40" customHeight="1">
      <x:c r="A232" s="14" t="str">
        <x:v>салицилово азелаиновый пилинг сургут</x:v>
      </x:c>
      <x:c r="B232" s="14" t="str">
        <x:v>Азелаиновый пилинг</x:v>
      </x:c>
      <x:c r="C232" s="27" t="n">
        <x:v>12</x:v>
      </x:c>
      <x:c r="D232" s="27" t="n">
        <x:v>23</x:v>
      </x:c>
      <x:c r="E232" s="29" t="n">
        <x:f>IF(AND(ISNUMBER(C232),ISNUMBER(D232)),C232-D232,IF(AND(C232="Не найдено",ISNUMBER(D232)),"Появился",IF(AND(ISNUMBER(C232),D232="Не найдено"),"Не найдено","Нет сравнения")))</x:f>
        <x:v>-11</x:v>
      </x:c>
      <x:c r="F232" s="16" t="str">
        <x:v>https://kozhaclinic.ru/uhodovye-procedury/pilingi/azelainovyi-piling/</x:v>
      </x:c>
      <x:c r="G232" s="27" t="n">
        <x:v>4</x:v>
      </x:c>
      <x:c r="H232" s="27" t="n">
        <x:v>4</x:v>
      </x:c>
      <x:c r="I232" s="29" t="n">
        <x:f>IF(AND(ISNUMBER(G232),ISNUMBER(H232)),G232-H232,IF(AND(G232="Не найдено",ISNUMBER(H232)),"Появился",IF(AND(ISNUMBER(G232),H232="Не найдено"),"Не найдено","Нет сравнения")))</x:f>
        <x:v>0</x:v>
      </x:c>
      <x:c r="J232" s="16" t="str">
        <x:v>https://kozhaclinic.ru/uhodovye-procedury/pilingi/</x:v>
      </x:c>
    </x:row>
    <x:row r="233" ht="40" customHeight="1">
      <x:c r="A233" s="12" t="str">
        <x:v>комбинированная чистка + co2 маска</x:v>
      </x:c>
      <x:c r="B233" s="12" t="str">
        <x:v>Комбинированная чистка лица + CO2 маска</x:v>
      </x:c>
      <x:c r="C233" s="26" t="n">
        <x:v>1</x:v>
      </x:c>
      <x:c r="D233" s="26" t="n">
        <x:v>1</x:v>
      </x:c>
      <x:c r="E233" s="28" t="n">
        <x:f>IF(AND(ISNUMBER(C233),ISNUMBER(D233)),C233-D233,IF(AND(C233="Не найдено",ISNUMBER(D233)),"Появился",IF(AND(ISNUMBER(C233),D233="Не найдено"),"Не найдено","Нет сравнения")))</x:f>
        <x:v>0</x:v>
      </x:c>
      <x:c r="F233" s="15" t="str">
        <x:v>https://kozhaclinic.ru/uhodovye-procedury/chistki-litsa-i-spiny/kombinirovannaya-chistka-co2-maska/</x:v>
      </x:c>
      <x:c r="G233" s="26" t="n">
        <x:v>1</x:v>
      </x:c>
      <x:c r="H233" s="26" t="n">
        <x:v>1</x:v>
      </x:c>
      <x:c r="I233" s="28" t="n">
        <x:f>IF(AND(ISNUMBER(G233),ISNUMBER(H233)),G233-H233,IF(AND(G233="Не найдено",ISNUMBER(H233)),"Появился",IF(AND(ISNUMBER(G233),H233="Не найдено"),"Не найдено","Нет сравнения")))</x:f>
        <x:v>0</x:v>
      </x:c>
      <x:c r="J233" s="15" t="str">
        <x:v>https://kozhaclinic.ru/uhodovye-procedury/chistki-litsa-i-spiny/kombinirovannaya-chistka-co2-maska/</x:v>
      </x:c>
    </x:row>
    <x:row r="234" ht="40" customHeight="1">
      <x:c r="A234" s="14" t="str">
        <x:v>комбинированная чистка лица сургут</x:v>
      </x:c>
      <x:c r="B234" s="14" t="str">
        <x:v>Комбинированная чистка лица + CO2 маска</x:v>
      </x:c>
      <x:c r="C234" s="27" t="n">
        <x:v>2</x:v>
      </x:c>
      <x:c r="D234" s="27" t="n">
        <x:v>2</x:v>
      </x:c>
      <x:c r="E234" s="29" t="n">
        <x:f>IF(AND(ISNUMBER(C234),ISNUMBER(D234)),C234-D234,IF(AND(C234="Не найдено",ISNUMBER(D234)),"Появился",IF(AND(ISNUMBER(C234),D234="Не найдено"),"Не найдено","Нет сравнения")))</x:f>
        <x:v>0</x:v>
      </x:c>
      <x:c r="F234" s="16" t="str">
        <x:v>https://kozhaclinic.ru/uhodovye-procedury/chistki-litsa-i-spiny/kombinirovannaya-chistka/</x:v>
      </x:c>
      <x:c r="G234" s="27" t="n">
        <x:v>2</x:v>
      </x:c>
      <x:c r="H234" s="27" t="n">
        <x:v>2</x:v>
      </x:c>
      <x:c r="I234" s="29" t="n">
        <x:f>IF(AND(ISNUMBER(G234),ISNUMBER(H234)),G234-H234,IF(AND(G234="Не найдено",ISNUMBER(H234)),"Появился",IF(AND(ISNUMBER(G234),H234="Не найдено"),"Не найдено","Нет сравнения")))</x:f>
        <x:v>0</x:v>
      </x:c>
      <x:c r="J234" s="16" t="str">
        <x:v>https://kozhaclinic.ru/uhodovye-procedury/chistki-litsa-i-spiny/kombinirovannaya-chistka/</x:v>
      </x:c>
    </x:row>
    <x:row r="235" ht="40" customHeight="1">
      <x:c r="A235" s="12" t="str">
        <x:v>персиковый пилинг сургут</x:v>
      </x:c>
      <x:c r="B235" s="12" t="str">
        <x:v>Персиковый пилинг Peach Peel</x:v>
      </x:c>
      <x:c r="C235" s="26" t="n">
        <x:v>2</x:v>
      </x:c>
      <x:c r="D235" s="26" t="n">
        <x:v>2</x:v>
      </x:c>
      <x:c r="E235" s="28" t="n">
        <x:f>IF(AND(ISNUMBER(C235),ISNUMBER(D235)),C235-D235,IF(AND(C235="Не найдено",ISNUMBER(D235)),"Появился",IF(AND(ISNUMBER(C235),D235="Не найдено"),"Не найдено","Нет сравнения")))</x:f>
        <x:v>0</x:v>
      </x:c>
      <x:c r="F235" s="15" t="str">
        <x:v>https://kozhaclinic.ru/uhodovye-procedury/pilingi/</x:v>
      </x:c>
      <x:c r="G235" s="26" t="str">
        <x:v>Не найдено</x:v>
      </x:c>
      <x:c r="H235" s="26" t="n">
        <x:v>2</x:v>
      </x:c>
      <x:c r="I235" s="28" t="str">
        <x:f>IF(AND(ISNUMBER(G235),ISNUMBER(H235)),G235-H235,IF(AND(G235="Не найдено",ISNUMBER(H235)),"Появился",IF(AND(ISNUMBER(G235),H235="Не найдено"),"Не найдено","Нет сравнения")))</x:f>
        <x:v>Появился</x:v>
      </x:c>
      <x:c r="J235" s="15" t="str">
        <x:v>https://kozhaclinic.ru/uhodovye-procedury/pilingi/persikovyi-piling-peach-peel/</x:v>
      </x:c>
    </x:row>
    <x:row r="236" ht="40" customHeight="1">
      <x:c r="A236" s="14" t="str">
        <x:v>пилинг профессиональный сургут</x:v>
      </x:c>
      <x:c r="B236" s="14" t="str">
        <x:v>Пилинг</x:v>
      </x:c>
      <x:c r="C236" s="27" t="n">
        <x:v>3</x:v>
      </x:c>
      <x:c r="D236" s="27" t="n">
        <x:v>4</x:v>
      </x:c>
      <x:c r="E236" s="29" t="n">
        <x:f>IF(AND(ISNUMBER(C236),ISNUMBER(D236)),C236-D236,IF(AND(C236="Не найдено",ISNUMBER(D236)),"Появился",IF(AND(ISNUMBER(C236),D236="Не найдено"),"Не найдено","Нет сравнения")))</x:f>
        <x:v>-1</x:v>
      </x:c>
      <x:c r="F236" s="16" t="str">
        <x:v>https://kozhaclinic.ru/uhodovye-procedury/pilingi/</x:v>
      </x:c>
      <x:c r="G236" s="27" t="n">
        <x:v>2</x:v>
      </x:c>
      <x:c r="H236" s="27" t="n">
        <x:v>2</x:v>
      </x:c>
      <x:c r="I236" s="29" t="n">
        <x:f>IF(AND(ISNUMBER(G236),ISNUMBER(H236)),G236-H236,IF(AND(G236="Не найдено",ISNUMBER(H236)),"Появился",IF(AND(ISNUMBER(G236),H236="Не найдено"),"Не найдено","Нет сравнения")))</x:f>
        <x:v>0</x:v>
      </x:c>
      <x:c r="J236" s="16" t="str">
        <x:v>https://kozhaclinic.ru/uhodovye-procedury/pilingi/</x:v>
      </x:c>
    </x:row>
    <x:row r="237" ht="40" customHeight="1">
      <x:c r="A237" s="12" t="str">
        <x:v>пилинг сургут</x:v>
      </x:c>
      <x:c r="B237" s="12" t="str">
        <x:v>Пилинг</x:v>
      </x:c>
      <x:c r="C237" s="26" t="n">
        <x:v>10</x:v>
      </x:c>
      <x:c r="D237" s="26" t="n">
        <x:v>5</x:v>
      </x:c>
      <x:c r="E237" s="28" t="n">
        <x:f>IF(AND(ISNUMBER(C237),ISNUMBER(D237)),C237-D237,IF(AND(C237="Не найдено",ISNUMBER(D237)),"Появился",IF(AND(ISNUMBER(C237),D237="Не найдено"),"Не найдено","Нет сравнения")))</x:f>
        <x:v>5</x:v>
      </x:c>
      <x:c r="F237" s="15" t="str">
        <x:v>https://kozhaclinic.ru/uhodovye-procedury/pilingi/</x:v>
      </x:c>
      <x:c r="G237" s="26" t="str">
        <x:v>Не найдено</x:v>
      </x:c>
      <x:c r="H237" s="26" t="n">
        <x:v>3</x:v>
      </x:c>
      <x:c r="I237" s="28" t="str">
        <x:f>IF(AND(ISNUMBER(G237),ISNUMBER(H237)),G237-H237,IF(AND(G237="Не найдено",ISNUMBER(H237)),"Появился",IF(AND(ISNUMBER(G237),H237="Не найдено"),"Не найдено","Нет сравнения")))</x:f>
        <x:v>Появился</x:v>
      </x:c>
      <x:c r="J237" s="15" t="str">
        <x:v>https://kozhaclinic.ru/uhodovye-procedury/pilingi/</x:v>
      </x:c>
    </x:row>
    <x:row r="238" ht="40" customHeight="1">
      <x:c r="A238" s="14" t="str">
        <x:v>пилинг джесснера сургут</x:v>
      </x:c>
      <x:c r="B238" s="14" t="str">
        <x:v>Пилинг Джесснера (J2, Mediderma)</x:v>
      </x:c>
      <x:c r="C238" s="27" t="n">
        <x:v>4</x:v>
      </x:c>
      <x:c r="D238" s="27" t="n">
        <x:v>3</x:v>
      </x:c>
      <x:c r="E238" s="29" t="n">
        <x:f>IF(AND(ISNUMBER(C238),ISNUMBER(D238)),C238-D238,IF(AND(C238="Не найдено",ISNUMBER(D238)),"Появился",IF(AND(ISNUMBER(C238),D238="Не найдено"),"Не найдено","Нет сравнения")))</x:f>
        <x:v>1</x:v>
      </x:c>
      <x:c r="F238" s="16" t="str">
        <x:v>https://kozhaclinic.ru/uhodovye-procedury/pilingi/piling-dzhessnera-j2-mediderma/</x:v>
      </x:c>
      <x:c r="G238" s="27" t="n">
        <x:v>5</x:v>
      </x:c>
      <x:c r="H238" s="27" t="n">
        <x:v>9</x:v>
      </x:c>
      <x:c r="I238" s="29" t="n">
        <x:f>IF(AND(ISNUMBER(G238),ISNUMBER(H238)),G238-H238,IF(AND(G238="Не найдено",ISNUMBER(H238)),"Появился",IF(AND(ISNUMBER(G238),H238="Не найдено"),"Не найдено","Нет сравнения")))</x:f>
        <x:v>-4</x:v>
      </x:c>
      <x:c r="J238" s="16" t="str">
        <x:v>https://kozhaclinic.ru/uhodovye-procedury/pilingi/</x:v>
      </x:c>
    </x:row>
    <x:row r="239" ht="40" customHeight="1">
      <x:c r="A239" s="12" t="str">
        <x:v>миндально гликолевый пилинг сургут</x:v>
      </x:c>
      <x:c r="B239" s="12" t="str">
        <x:v>Пилинг Миндальный (Natinuel)</x:v>
      </x:c>
      <x:c r="C239" s="26" t="n">
        <x:v>1</x:v>
      </x:c>
      <x:c r="D239" s="26" t="n">
        <x:v>5</x:v>
      </x:c>
      <x:c r="E239" s="28" t="n">
        <x:f>IF(AND(ISNUMBER(C239),ISNUMBER(D239)),C239-D239,IF(AND(C239="Не найдено",ISNUMBER(D239)),"Появился",IF(AND(ISNUMBER(C239),D239="Не найдено"),"Не найдено","Нет сравнения")))</x:f>
        <x:v>-4</x:v>
      </x:c>
      <x:c r="F239" s="15" t="str">
        <x:v>https://kozhaclinic.ru/uhodovye-procedury/pilingi/piling-mindalnyi-natinuel/</x:v>
      </x:c>
      <x:c r="G239" s="26" t="n">
        <x:v>2</x:v>
      </x:c>
      <x:c r="H239" s="26" t="n">
        <x:v>1</x:v>
      </x:c>
      <x:c r="I239" s="28" t="n">
        <x:f>IF(AND(ISNUMBER(G239),ISNUMBER(H239)),G239-H239,IF(AND(G239="Не найдено",ISNUMBER(H239)),"Появился",IF(AND(ISNUMBER(G239),H239="Не найдено"),"Не найдено","Нет сравнения")))</x:f>
        <x:v>1</x:v>
      </x:c>
      <x:c r="J239" s="15" t="str">
        <x:v>https://kozhaclinic.ru/uhodovye-procedury/pilingi/</x:v>
      </x:c>
    </x:row>
    <x:row r="240" ht="40" customHeight="1">
      <x:c r="A240" s="14" t="str">
        <x:v>миндальный пилинг сургут</x:v>
      </x:c>
      <x:c r="B240" s="14" t="str">
        <x:v>Пилинг Миндальный (Natinuel)</x:v>
      </x:c>
      <x:c r="C240" s="27" t="n">
        <x:v>2</x:v>
      </x:c>
      <x:c r="D240" s="27" t="n">
        <x:v>3</x:v>
      </x:c>
      <x:c r="E240" s="29" t="n">
        <x:f>IF(AND(ISNUMBER(C240),ISNUMBER(D240)),C240-D240,IF(AND(C240="Не найдено",ISNUMBER(D240)),"Появился",IF(AND(ISNUMBER(C240),D240="Не найдено"),"Не найдено","Нет сравнения")))</x:f>
        <x:v>-1</x:v>
      </x:c>
      <x:c r="F240" s="16" t="str">
        <x:v>https://kozhaclinic.ru/uhodovye-procedury/pilingi/piling-mindalnyi-natinuel/</x:v>
      </x:c>
      <x:c r="G240" s="27" t="n">
        <x:v>4</x:v>
      </x:c>
      <x:c r="H240" s="27" t="n">
        <x:v>4</x:v>
      </x:c>
      <x:c r="I240" s="29" t="n">
        <x:f>IF(AND(ISNUMBER(G240),ISNUMBER(H240)),G240-H240,IF(AND(G240="Не найдено",ISNUMBER(H240)),"Появился",IF(AND(ISNUMBER(G240),H240="Не найдено"),"Не найдено","Нет сравнения")))</x:f>
        <x:v>0</x:v>
      </x:c>
      <x:c r="J240" s="16" t="str">
        <x:v>https://kozhaclinic.ru/uhodovye-procedury/pilingi/piling-mindalnyi-natinuel/</x:v>
      </x:c>
    </x:row>
    <x:row r="241" ht="40" customHeight="1">
      <x:c r="A241" s="12" t="str">
        <x:v>пилинг биорепей сургут</x:v>
      </x:c>
      <x:c r="B241" s="12" t="str">
        <x:v>Пилинг BioRepel</x:v>
      </x:c>
      <x:c r="C241" s="26" t="n">
        <x:v>14</x:v>
      </x:c>
      <x:c r="D241" s="26" t="n">
        <x:v>2</x:v>
      </x:c>
      <x:c r="E241" s="28" t="n">
        <x:f>IF(AND(ISNUMBER(C241),ISNUMBER(D241)),C241-D241,IF(AND(C241="Не найдено",ISNUMBER(D241)),"Появился",IF(AND(ISNUMBER(C241),D241="Не найдено"),"Не найдено","Нет сравнения")))</x:f>
        <x:v>12</x:v>
      </x:c>
      <x:c r="F241" s="15" t="str">
        <x:v>https://kozhaclinic.ru/uhodovye-procedury/pilingi/piling-biorepel/</x:v>
      </x:c>
      <x:c r="G241" s="26" t="n">
        <x:v>2</x:v>
      </x:c>
      <x:c r="H241" s="26" t="n">
        <x:v>2</x:v>
      </x:c>
      <x:c r="I241" s="28" t="n">
        <x:f>IF(AND(ISNUMBER(G241),ISNUMBER(H241)),G241-H241,IF(AND(G241="Не найдено",ISNUMBER(H241)),"Появился",IF(AND(ISNUMBER(G241),H241="Не найдено"),"Не найдено","Нет сравнения")))</x:f>
        <x:v>0</x:v>
      </x:c>
      <x:c r="J241" s="15" t="str">
        <x:v>https://kozhaclinic.ru/uhodovye-procedury/pilingi/piling-biorepel/</x:v>
      </x:c>
    </x:row>
    <x:row r="242" ht="40" customHeight="1">
      <x:c r="A242" s="14" t="str">
        <x:v>biorepeel пилинг сургут</x:v>
      </x:c>
      <x:c r="B242" s="14" t="str">
        <x:v>Пилинг BioRepel</x:v>
      </x:c>
      <x:c r="C242" s="27" t="n">
        <x:v>12</x:v>
      </x:c>
      <x:c r="D242" s="27" t="n">
        <x:v>14</x:v>
      </x:c>
      <x:c r="E242" s="29" t="n">
        <x:f>IF(AND(ISNUMBER(C242),ISNUMBER(D242)),C242-D242,IF(AND(C242="Не найдено",ISNUMBER(D242)),"Появился",IF(AND(ISNUMBER(C242),D242="Не найдено"),"Не найдено","Нет сравнения")))</x:f>
        <x:v>-2</x:v>
      </x:c>
      <x:c r="F242" s="16" t="str">
        <x:v>https://kozhaclinic.ru/uhodovye-procedury/pilingi/piling-biorepel/</x:v>
      </x:c>
      <x:c r="G242" s="27" t="n">
        <x:v>2</x:v>
      </x:c>
      <x:c r="H242" s="27" t="n">
        <x:v>2</x:v>
      </x:c>
      <x:c r="I242" s="29" t="n">
        <x:f>IF(AND(ISNUMBER(G242),ISNUMBER(H242)),G242-H242,IF(AND(G242="Не найдено",ISNUMBER(H242)),"Появился",IF(AND(ISNUMBER(G242),H242="Не найдено"),"Не найдено","Нет сравнения")))</x:f>
        <x:v>0</x:v>
      </x:c>
      <x:c r="J242" s="16" t="str">
        <x:v>https://kozhaclinic.ru/uhodovye-procedury/pilingi/piling-biorepel/</x:v>
      </x:c>
    </x:row>
    <x:row r="243" ht="40" customHeight="1">
      <x:c r="A243" s="12" t="str">
        <x:v>пилинг prxt33 сургут</x:v>
      </x:c>
      <x:c r="B243" s="12" t="str">
        <x:v>Пилинг PRX-T33</x:v>
      </x:c>
      <x:c r="C243" s="26" t="n">
        <x:v>10</x:v>
      </x:c>
      <x:c r="D243" s="26" t="str">
        <x:v>Не найдено</x:v>
      </x:c>
      <x:c r="E243" s="28" t="str">
        <x:f>IF(AND(ISNUMBER(C243),ISNUMBER(D243)),C243-D243,IF(AND(C243="Не найдено",ISNUMBER(D243)),"Появился",IF(AND(ISNUMBER(C243),D243="Не найдено"),"Не найдено","Нет сравнения")))</x:f>
        <x:v>Не найдено</x:v>
      </x:c>
      <x:c r="F243" s="12"/>
      <x:c r="G243" s="26" t="n">
        <x:v>2</x:v>
      </x:c>
      <x:c r="H243" s="26" t="n">
        <x:v>2</x:v>
      </x:c>
      <x:c r="I243" s="28" t="n">
        <x:f>IF(AND(ISNUMBER(G243),ISNUMBER(H243)),G243-H243,IF(AND(G243="Не найдено",ISNUMBER(H243)),"Появился",IF(AND(ISNUMBER(G243),H243="Не найдено"),"Не найдено","Нет сравнения")))</x:f>
        <x:v>0</x:v>
      </x:c>
      <x:c r="J243" s="15" t="str">
        <x:v>https://kozhaclinic.ru/uhodovye-procedury/pilingi/piling-prx-t33/</x:v>
      </x:c>
    </x:row>
    <x:row r="244" ht="40" customHeight="1">
      <x:c r="A244" s="14" t="str">
        <x:v>косметолог сургут чистка лица</x:v>
      </x:c>
      <x:c r="B244" s="14" t="str">
        <x:v>Ультразвуковая чистка лица</x:v>
      </x:c>
      <x:c r="C244" s="27" t="n">
        <x:v>9</x:v>
      </x:c>
      <x:c r="D244" s="27" t="n">
        <x:v>13</x:v>
      </x:c>
      <x:c r="E244" s="29" t="n">
        <x:f>IF(AND(ISNUMBER(C244),ISNUMBER(D244)),C244-D244,IF(AND(C244="Не найдено",ISNUMBER(D244)),"Появился",IF(AND(ISNUMBER(C244),D244="Не найдено"),"Не найдено","Нет сравнения")))</x:f>
        <x:v>-4</x:v>
      </x:c>
      <x:c r="F244" s="16" t="str">
        <x:v>https://kozhaclinic.ru/uhodovye-procedury/chistki-litsa-i-spiny/</x:v>
      </x:c>
      <x:c r="G244" s="27" t="n">
        <x:v>3</x:v>
      </x:c>
      <x:c r="H244" s="27" t="n">
        <x:v>3</x:v>
      </x:c>
      <x:c r="I244" s="29" t="n">
        <x:f>IF(AND(ISNUMBER(G244),ISNUMBER(H244)),G244-H244,IF(AND(G244="Не найдено",ISNUMBER(H244)),"Появился",IF(AND(ISNUMBER(G244),H244="Не найдено"),"Не найдено","Нет сравнения")))</x:f>
        <x:v>0</x:v>
      </x:c>
      <x:c r="J244" s="16" t="str">
        <x:v>https://kozhaclinic.ru/uhodovye-procedury/chistki-litsa-i-spiny/lechebnaya-chistka-litsa/</x:v>
      </x:c>
    </x:row>
    <x:row r="245" ht="40" customHeight="1">
      <x:c r="A245" s="12" t="str">
        <x:v>ультразвуковая чистка лица сургут</x:v>
      </x:c>
      <x:c r="B245" s="12" t="str">
        <x:v>Ультразвуковая чистка лица</x:v>
      </x:c>
      <x:c r="C245" s="26" t="n">
        <x:v>6</x:v>
      </x:c>
      <x:c r="D245" s="26" t="n">
        <x:v>6</x:v>
      </x:c>
      <x:c r="E245" s="28" t="n">
        <x:f>IF(AND(ISNUMBER(C245),ISNUMBER(D245)),C245-D245,IF(AND(C245="Не найдено",ISNUMBER(D245)),"Появился",IF(AND(ISNUMBER(C245),D245="Не найдено"),"Не найдено","Нет сравнения")))</x:f>
        <x:v>0</x:v>
      </x:c>
      <x:c r="F245" s="15" t="str">
        <x:v>https://kozhaclinic.ru/uhodovye-procedury/chistki-litsa-i-spiny/ultrazvukovaya-chistka-litsa/</x:v>
      </x:c>
      <x:c r="G245" s="26" t="n">
        <x:v>3</x:v>
      </x:c>
      <x:c r="H245" s="26" t="n">
        <x:v>4</x:v>
      </x:c>
      <x:c r="I245" s="28" t="n">
        <x:f>IF(AND(ISNUMBER(G245),ISNUMBER(H245)),G245-H245,IF(AND(G245="Не найдено",ISNUMBER(H245)),"Появился",IF(AND(ISNUMBER(G245),H245="Не найдено"),"Не найдено","Нет сравнения")))</x:f>
        <x:v>-1</x:v>
      </x:c>
      <x:c r="J245" s="15" t="str">
        <x:v>https://kozhaclinic.ru/uhodovye-procedury/chistki-litsa-i-spiny/</x:v>
      </x:c>
    </x:row>
    <x:row r="246" ht="40" customHeight="1">
      <x:c r="A246" s="14" t="str">
        <x:v>чистка лица сургут</x:v>
      </x:c>
      <x:c r="B246" s="14" t="str">
        <x:v>Ультразвуковая чистка лица</x:v>
      </x:c>
      <x:c r="C246" s="27" t="n">
        <x:v>9</x:v>
      </x:c>
      <x:c r="D246" s="27" t="n">
        <x:v>9</x:v>
      </x:c>
      <x:c r="E246" s="29" t="n">
        <x:f>IF(AND(ISNUMBER(C246),ISNUMBER(D246)),C246-D246,IF(AND(C246="Не найдено",ISNUMBER(D246)),"Появился",IF(AND(ISNUMBER(C246),D246="Не найдено"),"Не найдено","Нет сравнения")))</x:f>
        <x:v>0</x:v>
      </x:c>
      <x:c r="F246" s="16" t="str">
        <x:v>https://kozhaclinic.ru/uhodovye-procedury/chistki-litsa-i-spiny/kombinirovannaya-chistka/</x:v>
      </x:c>
      <x:c r="G246" s="27" t="n">
        <x:v>4</x:v>
      </x:c>
      <x:c r="H246" s="27" t="n">
        <x:v>3</x:v>
      </x:c>
      <x:c r="I246" s="29" t="n">
        <x:f>IF(AND(ISNUMBER(G246),ISNUMBER(H246)),G246-H246,IF(AND(G246="Не найдено",ISNUMBER(H246)),"Появился",IF(AND(ISNUMBER(G246),H246="Не найдено"),"Не найдено","Нет сравнения")))</x:f>
        <x:v>1</x:v>
      </x:c>
      <x:c r="J246" s="16" t="str">
        <x:v>https://kozhaclinic.ru/uhodovye-procedury/chistki-litsa-i-spiny/lechebnaya-chistka-litsa/</x:v>
      </x:c>
    </x:row>
    <x:row r="247" ht="40" customHeight="1">
      <x:c r="A247" s="12" t="str">
        <x:v>чистка лица цена</x:v>
      </x:c>
      <x:c r="B247" s="12" t="str">
        <x:v>Ультразвуковая чистка лица</x:v>
      </x:c>
      <x:c r="C247" s="26" t="n">
        <x:v>4</x:v>
      </x:c>
      <x:c r="D247" s="26" t="n">
        <x:v>5</x:v>
      </x:c>
      <x:c r="E247" s="28" t="n">
        <x:f>IF(AND(ISNUMBER(C247),ISNUMBER(D247)),C247-D247,IF(AND(C247="Не найдено",ISNUMBER(D247)),"Появился",IF(AND(ISNUMBER(C247),D247="Не найдено"),"Не найдено","Нет сравнения")))</x:f>
        <x:v>-1</x:v>
      </x:c>
      <x:c r="F247" s="15" t="str">
        <x:v>https://kozhaclinic.ru/ceny-prajs-list/</x:v>
      </x:c>
      <x:c r="G247" s="26" t="n">
        <x:v>2</x:v>
      </x:c>
      <x:c r="H247" s="26" t="n">
        <x:v>3</x:v>
      </x:c>
      <x:c r="I247" s="28" t="n">
        <x:f>IF(AND(ISNUMBER(G247),ISNUMBER(H247)),G247-H247,IF(AND(G247="Не найдено",ISNUMBER(H247)),"Появился",IF(AND(ISNUMBER(G247),H247="Не найдено"),"Не найдено","Нет сравнения")))</x:f>
        <x:v>-1</x:v>
      </x:c>
      <x:c r="J247" s="15" t="str">
        <x:v>https://kozhaclinic.ru/uhodovye-procedury/chistki-litsa-i-spiny/</x:v>
      </x:c>
    </x:row>
    <x:row r="248" ht="40" customHeight="1">
      <x:c r="A248" s="14" t="str">
        <x:v>химический пилинг сургут</x:v>
      </x:c>
      <x:c r="B248" s="14" t="str">
        <x:v>Химический пилинг</x:v>
      </x:c>
      <x:c r="C248" s="27" t="n">
        <x:v>8</x:v>
      </x:c>
      <x:c r="D248" s="27" t="n">
        <x:v>8</x:v>
      </x:c>
      <x:c r="E248" s="29" t="n">
        <x:f>IF(AND(ISNUMBER(C248),ISNUMBER(D248)),C248-D248,IF(AND(C248="Не найдено",ISNUMBER(D248)),"Появился",IF(AND(ISNUMBER(C248),D248="Не найдено"),"Не найдено","Нет сравнения")))</x:f>
        <x:v>0</x:v>
      </x:c>
      <x:c r="F248" s="16" t="str">
        <x:v>https://kozhaclinic.ru/uhodovye-procedury/pilingi/khimicheskie-pilingi/</x:v>
      </x:c>
      <x:c r="G248" s="27" t="n">
        <x:v>4</x:v>
      </x:c>
      <x:c r="H248" s="27" t="n">
        <x:v>7</x:v>
      </x:c>
      <x:c r="I248" s="29" t="n">
        <x:f>IF(AND(ISNUMBER(G248),ISNUMBER(H248)),G248-H248,IF(AND(G248="Не найдено",ISNUMBER(H248)),"Появился",IF(AND(ISNUMBER(G248),H248="Не найдено"),"Не найдено","Нет сравнения")))</x:f>
        <x:v>-3</x:v>
      </x:c>
      <x:c r="J248" s="16" t="str">
        <x:v>https://kozhaclinic.ru/uhodovye-procedury/chistki-litsa-i-spiny/lechebnaya-chistka-litsa/</x:v>
      </x:c>
    </x:row>
    <x:row r="249" ht="40" customHeight="1">
      <x:c r="A249" s="12" t="str">
        <x:v>хиропластический массаж сургут</x:v>
      </x:c>
      <x:c r="B249" s="12" t="str">
        <x:v>Хиропластический массаж</x:v>
      </x:c>
      <x:c r="C249" s="26" t="n">
        <x:v>2</x:v>
      </x:c>
      <x:c r="D249" s="26" t="n">
        <x:v>2</x:v>
      </x:c>
      <x:c r="E249" s="28" t="n">
        <x:f>IF(AND(ISNUMBER(C249),ISNUMBER(D249)),C249-D249,IF(AND(C249="Не найдено",ISNUMBER(D249)),"Появился",IF(AND(ISNUMBER(C249),D249="Не найдено"),"Не найдено","Нет сравнения")))</x:f>
        <x:v>0</x:v>
      </x:c>
      <x:c r="F249" s="15" t="str">
        <x:v>https://kozhaclinic.ru/uhodovye-procedury/massazhi/</x:v>
      </x:c>
      <x:c r="G249" s="26" t="n">
        <x:v>2</x:v>
      </x:c>
      <x:c r="H249" s="26" t="n">
        <x:v>2</x:v>
      </x:c>
      <x:c r="I249" s="28" t="n">
        <x:f>IF(AND(ISNUMBER(G249),ISNUMBER(H249)),G249-H249,IF(AND(G249="Не найдено",ISNUMBER(H249)),"Появился",IF(AND(ISNUMBER(G249),H249="Не найдено"),"Не найдено","Нет сравнения")))</x:f>
        <x:v>0</x:v>
      </x:c>
      <x:c r="J249" s="15" t="str">
        <x:v>https://kozhaclinic.ru/uhodovye-procedury/massazhi/</x:v>
      </x:c>
    </x:row>
    <x:row r="250" ht="40" customHeight="1">
      <x:c r="A250" s="14" t="str">
        <x:v>чистка спины сургут</x:v>
      </x:c>
      <x:c r="B250" s="14" t="str">
        <x:v>Чистка спины от прыщей</x:v>
      </x:c>
      <x:c r="C250" s="27" t="n">
        <x:v>1</x:v>
      </x:c>
      <x:c r="D250" s="27" t="n">
        <x:v>1</x:v>
      </x:c>
      <x:c r="E250" s="29" t="n">
        <x:f>IF(AND(ISNUMBER(C250),ISNUMBER(D250)),C250-D250,IF(AND(C250="Не найдено",ISNUMBER(D250)),"Появился",IF(AND(ISNUMBER(C250),D250="Не найдено"),"Не найдено","Нет сравнения")))</x:f>
        <x:v>0</x:v>
      </x:c>
      <x:c r="F250" s="16" t="str">
        <x:v>https://kozhaclinic.ru/uhodovye-procedury/chistki-litsa-i-spiny/chistka-spiny/</x:v>
      </x:c>
      <x:c r="G250" s="27" t="n">
        <x:v>1</x:v>
      </x:c>
      <x:c r="H250" s="27" t="n">
        <x:v>1</x:v>
      </x:c>
      <x:c r="I250" s="29" t="n">
        <x:f>IF(AND(ISNUMBER(G250),ISNUMBER(H250)),G250-H250,IF(AND(G250="Не найдено",ISNUMBER(H250)),"Появился",IF(AND(ISNUMBER(G250),H250="Не найдено"),"Не найдено","Нет сравнения")))</x:f>
        <x:v>0</x:v>
      </x:c>
      <x:c r="J250" s="16" t="str">
        <x:v>https://kozhaclinic.ru/uhodovye-procedury/chistki-litsa-i-spiny/chistka-spiny/</x:v>
      </x:c>
    </x:row>
    <x:row r="251" ht="40" customHeight="1">
      <x:c r="A251" s="12" t="str">
        <x:v>чистка спины от прыщей сургут</x:v>
      </x:c>
      <x:c r="B251" s="12" t="str">
        <x:v>Чистка спины от прыщей</x:v>
      </x:c>
      <x:c r="C251" s="26" t="n">
        <x:v>2</x:v>
      </x:c>
      <x:c r="D251" s="26" t="n">
        <x:v>1</x:v>
      </x:c>
      <x:c r="E251" s="28" t="n">
        <x:f>IF(AND(ISNUMBER(C251),ISNUMBER(D251)),C251-D251,IF(AND(C251="Не найдено",ISNUMBER(D251)),"Появился",IF(AND(ISNUMBER(C251),D251="Не найдено"),"Не найдено","Нет сравнения")))</x:f>
        <x:v>1</x:v>
      </x:c>
      <x:c r="F251" s="15" t="str">
        <x:v>https://kozhaclinic.ru/uhodovye-procedury/chistki-litsa-i-spiny/chistka-spiny/</x:v>
      </x:c>
      <x:c r="G251" s="26" t="n">
        <x:v>1</x:v>
      </x:c>
      <x:c r="H251" s="26" t="n">
        <x:v>1</x:v>
      </x:c>
      <x:c r="I251" s="28" t="n">
        <x:f>IF(AND(ISNUMBER(G251),ISNUMBER(H251)),G251-H251,IF(AND(G251="Не найдено",ISNUMBER(H251)),"Появился",IF(AND(ISNUMBER(G251),H251="Не найдено"),"Не найдено","Нет сравнения")))</x:f>
        <x:v>0</x:v>
      </x:c>
      <x:c r="J251" s="15" t="str">
        <x:v>https://kozhaclinic.ru/uhodovye-procedury/chistki-litsa-i-spiny/chistka-spiny/</x:v>
      </x:c>
    </x:row>
    <x:row r="252" ht="40" customHeight="1">
      <x:c r="A252" s="14" t="str">
        <x:v>лазерная эпиляция лица сургут</x:v>
      </x:c>
      <x:c r="B252" s="14" t="str">
        <x:v>Лазерная эпиляция лица для женщин</x:v>
      </x:c>
      <x:c r="C252" s="27" t="n">
        <x:v>1</x:v>
      </x:c>
      <x:c r="D252" s="27" t="n">
        <x:v>1</x:v>
      </x:c>
      <x:c r="E252" s="29" t="n">
        <x:f>IF(AND(ISNUMBER(C252),ISNUMBER(D252)),C252-D252,IF(AND(C252="Не найдено",ISNUMBER(D252)),"Появился",IF(AND(ISNUMBER(C252),D252="Не найдено"),"Не найдено","Нет сравнения")))</x:f>
        <x:v>0</x:v>
      </x:c>
      <x:c r="F252" s="16" t="str">
        <x:v>https://kozhaclinic.ru/lazernaya-kosmetologiya/lazernaya-epilyaciya/litsa-dlya-zhenshchin/</x:v>
      </x:c>
      <x:c r="G252" s="27" t="n">
        <x:v>2</x:v>
      </x:c>
      <x:c r="H252" s="27" t="n">
        <x:v>1</x:v>
      </x:c>
      <x:c r="I252" s="29" t="n">
        <x:f>IF(AND(ISNUMBER(G252),ISNUMBER(H252)),G252-H252,IF(AND(G252="Не найдено",ISNUMBER(H252)),"Появился",IF(AND(ISNUMBER(G252),H252="Не найдено"),"Не найдено","Нет сравнения")))</x:f>
        <x:v>1</x:v>
      </x:c>
      <x:c r="J252" s="16" t="str">
        <x:v>https://kozhaclinic.ru/lazernaya-kosmetologiya/lazernaya-epilyaciya/</x:v>
      </x:c>
    </x:row>
    <x:row r="253" ht="40" customHeight="1">
      <x:c r="A253" s="12" t="str">
        <x:v>лазерная эпиляция лица для женщин сургут</x:v>
      </x:c>
      <x:c r="B253" s="12" t="str">
        <x:v>Лазерная эпиляция лица для женщин</x:v>
      </x:c>
      <x:c r="C253" s="26" t="n">
        <x:v>1</x:v>
      </x:c>
      <x:c r="D253" s="26" t="n">
        <x:v>1</x:v>
      </x:c>
      <x:c r="E253" s="28" t="n">
        <x:f>IF(AND(ISNUMBER(C253),ISNUMBER(D253)),C253-D253,IF(AND(C253="Не найдено",ISNUMBER(D253)),"Появился",IF(AND(ISNUMBER(C253),D253="Не найдено"),"Не найдено","Нет сравнения")))</x:f>
        <x:v>0</x:v>
      </x:c>
      <x:c r="F253" s="15" t="str">
        <x:v>https://kozhaclinic.ru/lazernaya-kosmetologiya/lazernaya-epilyaciya/litsa-dlya-zhenshchin/</x:v>
      </x:c>
      <x:c r="G253" s="26" t="str">
        <x:v>Не найдено</x:v>
      </x:c>
      <x:c r="H253" s="26" t="n">
        <x:v>2</x:v>
      </x:c>
      <x:c r="I253" s="28" t="str">
        <x:f>IF(AND(ISNUMBER(G253),ISNUMBER(H253)),G253-H253,IF(AND(G253="Не найдено",ISNUMBER(H253)),"Появился",IF(AND(ISNUMBER(G253),H253="Не найдено"),"Не найдено","Нет сравнения")))</x:f>
        <x:v>Появился</x:v>
      </x:c>
      <x:c r="J253" s="15" t="str">
        <x:v>https://kozhaclinic.ru/lazernaya-kosmetologiya/lazernaya-epilyaciya/</x:v>
      </x:c>
    </x:row>
    <x:row r="254" ht="40" customHeight="1">
      <x:c r="A254" s="14" t="str">
        <x:v>женская лазерная эпиляция лица сургут</x:v>
      </x:c>
      <x:c r="B254" s="14" t="str">
        <x:v>Лазерная эпиляция лица для женщин</x:v>
      </x:c>
      <x:c r="C254" s="27" t="n">
        <x:v>1</x:v>
      </x:c>
      <x:c r="D254" s="27" t="n">
        <x:v>2</x:v>
      </x:c>
      <x:c r="E254" s="29" t="n">
        <x:f>IF(AND(ISNUMBER(C254),ISNUMBER(D254)),C254-D254,IF(AND(C254="Не найдено",ISNUMBER(D254)),"Появился",IF(AND(ISNUMBER(C254),D254="Не найдено"),"Не найдено","Нет сравнения")))</x:f>
        <x:v>-1</x:v>
      </x:c>
      <x:c r="F254" s="16" t="str">
        <x:v>https://kozhaclinic.ru/lazernaya-kosmetologiya/lazernaya-epilyaciya/litsa-dlya-zhenshchin/</x:v>
      </x:c>
      <x:c r="G254" s="27" t="n">
        <x:v>2</x:v>
      </x:c>
      <x:c r="H254" s="27" t="n">
        <x:v>2</x:v>
      </x:c>
      <x:c r="I254" s="29" t="n">
        <x:f>IF(AND(ISNUMBER(G254),ISNUMBER(H254)),G254-H254,IF(AND(G254="Не найдено",ISNUMBER(H254)),"Появился",IF(AND(ISNUMBER(G254),H254="Не найдено"),"Не найдено","Нет сравнения")))</x:f>
        <x:v>0</x:v>
      </x:c>
      <x:c r="J254" s="16" t="str">
        <x:v>https://kozhaclinic.ru/lazernaya-kosmetologiya/lazernaya-epilyaciya/</x:v>
      </x:c>
    </x:row>
    <x:row r="255" ht="40" customHeight="1">
      <x:c r="A255" s="12" t="str">
        <x:v>лазерная эпиляция верхней губы сургут</x:v>
      </x:c>
      <x:c r="B255" s="12" t="str">
        <x:v>Лазерная эпиляция лица для женщин</x:v>
      </x:c>
      <x:c r="C255" s="26" t="n">
        <x:v>8</x:v>
      </x:c>
      <x:c r="D255" s="26" t="n">
        <x:v>3</x:v>
      </x:c>
      <x:c r="E255" s="28" t="n">
        <x:f>IF(AND(ISNUMBER(C255),ISNUMBER(D255)),C255-D255,IF(AND(C255="Не найдено",ISNUMBER(D255)),"Появился",IF(AND(ISNUMBER(C255),D255="Не найдено"),"Не найдено","Нет сравнения")))</x:f>
        <x:v>5</x:v>
      </x:c>
      <x:c r="F255" s="15" t="str">
        <x:v>https://kozhaclinic.ru/lazernaya-kosmetologiya/lazernaya-epilyaciya/litsa-dlya-zhenshchin/</x:v>
      </x:c>
      <x:c r="G255" s="26" t="n">
        <x:v>4</x:v>
      </x:c>
      <x:c r="H255" s="26" t="n">
        <x:v>4</x:v>
      </x:c>
      <x:c r="I255" s="28" t="n">
        <x:f>IF(AND(ISNUMBER(G255),ISNUMBER(H255)),G255-H255,IF(AND(G255="Не найдено",ISNUMBER(H255)),"Появился",IF(AND(ISNUMBER(G255),H255="Не найдено"),"Не найдено","Нет сравнения")))</x:f>
        <x:v>0</x:v>
      </x:c>
      <x:c r="J255" s="15" t="str">
        <x:v>https://kozhaclinic.ru/lazernaya-kosmetologiya/lazernaya-epilyaciya/vsego-tela/</x:v>
      </x:c>
    </x:row>
    <x:row r="256" ht="40" customHeight="1">
      <x:c r="A256" s="14" t="str">
        <x:v>лазерная эпиляция подбородка сургут</x:v>
      </x:c>
      <x:c r="B256" s="14" t="str">
        <x:v>Лазерная эпиляция лица для женщин</x:v>
      </x:c>
      <x:c r="C256" s="27" t="n">
        <x:v>3</x:v>
      </x:c>
      <x:c r="D256" s="27" t="n">
        <x:v>2</x:v>
      </x:c>
      <x:c r="E256" s="29" t="n">
        <x:f>IF(AND(ISNUMBER(C256),ISNUMBER(D256)),C256-D256,IF(AND(C256="Не найдено",ISNUMBER(D256)),"Появился",IF(AND(ISNUMBER(C256),D256="Не найдено"),"Не найдено","Нет сравнения")))</x:f>
        <x:v>1</x:v>
      </x:c>
      <x:c r="F256" s="16" t="str">
        <x:v>https://kozhaclinic.ru/lazernaya-kosmetologiya/lazernaya-epilyaciya/litsa-dlya-zhenshchin/</x:v>
      </x:c>
      <x:c r="G256" s="27" t="n">
        <x:v>4</x:v>
      </x:c>
      <x:c r="H256" s="27" t="n">
        <x:v>3</x:v>
      </x:c>
      <x:c r="I256" s="29" t="n">
        <x:f>IF(AND(ISNUMBER(G256),ISNUMBER(H256)),G256-H256,IF(AND(G256="Не найдено",ISNUMBER(H256)),"Появился",IF(AND(ISNUMBER(G256),H256="Не найдено"),"Не найдено","Нет сравнения")))</x:f>
        <x:v>1</x:v>
      </x:c>
      <x:c r="J256" s="16" t="str">
        <x:v>https://kozhaclinic.ru/lazernaya-kosmetologiya/lazernaya-epilyaciya/</x:v>
      </x:c>
    </x:row>
    <x:row r="257" ht="40" customHeight="1">
      <x:c r="A257" s="12" t="str">
        <x:v>лазерная эпиляция щек сургут</x:v>
      </x:c>
      <x:c r="B257" s="12" t="str">
        <x:v>Лазерная эпиляция лица для женщин</x:v>
      </x:c>
      <x:c r="C257" s="26" t="str">
        <x:v>Не найдено</x:v>
      </x:c>
      <x:c r="D257" s="26" t="n">
        <x:v>4</x:v>
      </x:c>
      <x:c r="E257" s="28" t="str">
        <x:f>IF(AND(ISNUMBER(C257),ISNUMBER(D257)),C257-D257,IF(AND(C257="Не найдено",ISNUMBER(D257)),"Появился",IF(AND(ISNUMBER(C257),D257="Не найдено"),"Не найдено","Нет сравнения")))</x:f>
        <x:v>Появился</x:v>
      </x:c>
      <x:c r="F257" s="15" t="str">
        <x:v>https://kozhaclinic.ru/lazernaya-kosmetologiya/lazernaya-epilyaciya/litsa-dlya-zhenshchin/</x:v>
      </x:c>
      <x:c r="G257" s="26" t="n">
        <x:v>3</x:v>
      </x:c>
      <x:c r="H257" s="26" t="n">
        <x:v>3</x:v>
      </x:c>
      <x:c r="I257" s="28" t="n">
        <x:f>IF(AND(ISNUMBER(G257),ISNUMBER(H257)),G257-H257,IF(AND(G257="Не найдено",ISNUMBER(H257)),"Появился",IF(AND(ISNUMBER(G257),H257="Не найдено"),"Не найдено","Нет сравнения")))</x:f>
        <x:v>0</x:v>
      </x:c>
      <x:c r="J257" s="15" t="str">
        <x:v>https://kozhaclinic.ru/lazernaya-kosmetologiya/lazernaya-epilyaciya/</x:v>
      </x:c>
    </x:row>
    <x:row r="258" ht="40" customHeight="1">
      <x:c r="A258" s="14" t="str">
        <x:v>лазерная эпиляция лица полностью сургут</x:v>
      </x:c>
      <x:c r="B258" s="14" t="str">
        <x:v>Лазерная эпиляция лица для женщин</x:v>
      </x:c>
      <x:c r="C258" s="27" t="n">
        <x:v>5</x:v>
      </x:c>
      <x:c r="D258" s="27" t="n">
        <x:v>5</x:v>
      </x:c>
      <x:c r="E258" s="29" t="n">
        <x:f>IF(AND(ISNUMBER(C258),ISNUMBER(D258)),C258-D258,IF(AND(C258="Не найдено",ISNUMBER(D258)),"Появился",IF(AND(ISNUMBER(C258),D258="Не найдено"),"Не найдено","Нет сравнения")))</x:f>
        <x:v>0</x:v>
      </x:c>
      <x:c r="F258" s="16" t="str">
        <x:v>https://kozhaclinic.ru/lazernaya-kosmetologiya/lazernaya-epilyaciya/litsa-dlya-zhenshchin/</x:v>
      </x:c>
      <x:c r="G258" s="27" t="n">
        <x:v>2</x:v>
      </x:c>
      <x:c r="H258" s="27" t="n">
        <x:v>2</x:v>
      </x:c>
      <x:c r="I258" s="29" t="n">
        <x:f>IF(AND(ISNUMBER(G258),ISNUMBER(H258)),G258-H258,IF(AND(G258="Не найдено",ISNUMBER(H258)),"Появился",IF(AND(ISNUMBER(G258),H258="Не найдено"),"Не найдено","Нет сравнения")))</x:f>
        <x:v>0</x:v>
      </x:c>
      <x:c r="J258" s="16" t="str">
        <x:v>https://kozhaclinic.ru/lazernaya-kosmetologiya/lazernaya-epilyaciya/</x:v>
      </x:c>
    </x:row>
    <x:row r="259" ht="40" customHeight="1">
      <x:c r="A259" s="12" t="str">
        <x:v>лазерная эпиляция лица цена</x:v>
      </x:c>
      <x:c r="B259" s="12" t="str">
        <x:v>Лазерная эпиляция лица для женщин</x:v>
      </x:c>
      <x:c r="C259" s="26" t="n">
        <x:v>2</x:v>
      </x:c>
      <x:c r="D259" s="26" t="n">
        <x:v>5</x:v>
      </x:c>
      <x:c r="E259" s="28" t="n">
        <x:f>IF(AND(ISNUMBER(C259),ISNUMBER(D259)),C259-D259,IF(AND(C259="Не найдено",ISNUMBER(D259)),"Появился",IF(AND(ISNUMBER(C259),D259="Не найдено"),"Не найдено","Нет сравнения")))</x:f>
        <x:v>-3</x:v>
      </x:c>
      <x:c r="F259" s="15" t="str">
        <x:v>https://kozhaclinic.ru/lazernaya-kosmetologiya/lazernaya-epilyaciya/litsa-dlya-zhenshchin/</x:v>
      </x:c>
      <x:c r="G259" s="26" t="n">
        <x:v>2</x:v>
      </x:c>
      <x:c r="H259" s="26" t="n">
        <x:v>2</x:v>
      </x:c>
      <x:c r="I259" s="28" t="n">
        <x:f>IF(AND(ISNUMBER(G259),ISNUMBER(H259)),G259-H259,IF(AND(G259="Не найдено",ISNUMBER(H259)),"Появился",IF(AND(ISNUMBER(G259),H259="Не найдено"),"Не найдено","Нет сравнения")))</x:f>
        <x:v>0</x:v>
      </x:c>
      <x:c r="J259" s="15" t="str">
        <x:v>https://kozhaclinic.ru/lazernaya-kosmetologiya/lazernaya-epilyaciya/</x:v>
      </x:c>
    </x:row>
    <x:row r="260" ht="40" customHeight="1">
      <x:c r="A260" s="14" t="str">
        <x:v>лазерное удаление волос на лице у женщин</x:v>
      </x:c>
      <x:c r="B260" s="14" t="str">
        <x:v>Лазерная эпиляция лица для женщин</x:v>
      </x:c>
      <x:c r="C260" s="27" t="n">
        <x:v>3</x:v>
      </x:c>
      <x:c r="D260" s="27" t="n">
        <x:v>1</x:v>
      </x:c>
      <x:c r="E260" s="29" t="n">
        <x:f>IF(AND(ISNUMBER(C260),ISNUMBER(D260)),C260-D260,IF(AND(C260="Не найдено",ISNUMBER(D260)),"Появился",IF(AND(ISNUMBER(C260),D260="Не найдено"),"Не найдено","Нет сравнения")))</x:f>
        <x:v>2</x:v>
      </x:c>
      <x:c r="F260" s="16" t="str">
        <x:v>https://kozhaclinic.ru/lazernaya-kosmetologiya/lazernaya-epilyaciya/litsa-dlya-zhenshchin/</x:v>
      </x:c>
      <x:c r="G260" s="27" t="n">
        <x:v>1</x:v>
      </x:c>
      <x:c r="H260" s="27" t="n">
        <x:v>5</x:v>
      </x:c>
      <x:c r="I260" s="29" t="n">
        <x:f>IF(AND(ISNUMBER(G260),ISNUMBER(H260)),G260-H260,IF(AND(G260="Не найдено",ISNUMBER(H260)),"Появился",IF(AND(ISNUMBER(G260),H260="Не найдено"),"Не найдено","Нет сравнения")))</x:f>
        <x:v>-4</x:v>
      </x:c>
      <x:c r="J260" s="16" t="str">
        <x:v>https://kozhaclinic.ru/lazernaya-kosmetologiya/lazernaya-epilyaciya/</x:v>
      </x:c>
    </x:row>
    <x:row r="261" ht="40" customHeight="1">
      <x:c r="A261" s="12" t="str">
        <x:v>эпиляция усиков лазером сургут</x:v>
      </x:c>
      <x:c r="B261" s="12" t="str">
        <x:v>Лазерная эпиляция лица для женщин</x:v>
      </x:c>
      <x:c r="C261" s="26" t="n">
        <x:v>20</x:v>
      </x:c>
      <x:c r="D261" s="26" t="str">
        <x:v>Не найдено</x:v>
      </x:c>
      <x:c r="E261" s="28" t="str">
        <x:f>IF(AND(ISNUMBER(C261),ISNUMBER(D261)),C261-D261,IF(AND(C261="Не найдено",ISNUMBER(D261)),"Появился",IF(AND(ISNUMBER(C261),D261="Не найдено"),"Не найдено","Нет сравнения")))</x:f>
        <x:v>Не найдено</x:v>
      </x:c>
      <x:c r="F261" s="12"/>
      <x:c r="G261" s="26" t="str">
        <x:v>Не найдено</x:v>
      </x:c>
      <x:c r="H261" s="26" t="str">
        <x:v>Не найдено</x:v>
      </x:c>
      <x:c r="I261" s="28" t="str">
        <x:f>IF(AND(ISNUMBER(G261),ISNUMBER(H261)),G261-H261,IF(AND(G261="Не найдено",ISNUMBER(H261)),"Появился",IF(AND(ISNUMBER(G261),H261="Не найдено"),"Не найдено","Нет сравнения")))</x:f>
        <x:v>Нет сравнения</x:v>
      </x:c>
      <x:c r="J261" s="12"/>
    </x:row>
    <x:row r="262" ht="40" customHeight="1">
      <x:c r="A262" s="14" t="str">
        <x:v>лазерная эпиляция ног сургут</x:v>
      </x:c>
      <x:c r="B262" s="14" t="str">
        <x:v>Лазерная эпиляция ног</x:v>
      </x:c>
      <x:c r="C262" s="27" t="n">
        <x:v>4</x:v>
      </x:c>
      <x:c r="D262" s="27" t="n">
        <x:v>4</x:v>
      </x:c>
      <x:c r="E262" s="29" t="n">
        <x:f>IF(AND(ISNUMBER(C262),ISNUMBER(D262)),C262-D262,IF(AND(C262="Не найдено",ISNUMBER(D262)),"Появился",IF(AND(ISNUMBER(C262),D262="Не найдено"),"Не найдено","Нет сравнения")))</x:f>
        <x:v>0</x:v>
      </x:c>
      <x:c r="F262" s="16" t="str">
        <x:v>https://kozhaclinic.ru/lazernaya-kosmetologiya/lazernaya-epilyaciya/nog/</x:v>
      </x:c>
      <x:c r="G262" s="27" t="n">
        <x:v>3</x:v>
      </x:c>
      <x:c r="H262" s="27" t="n">
        <x:v>2</x:v>
      </x:c>
      <x:c r="I262" s="29" t="n">
        <x:f>IF(AND(ISNUMBER(G262),ISNUMBER(H262)),G262-H262,IF(AND(G262="Не найдено",ISNUMBER(H262)),"Появился",IF(AND(ISNUMBER(G262),H262="Не найдено"),"Не найдено","Нет сравнения")))</x:f>
        <x:v>1</x:v>
      </x:c>
      <x:c r="J262" s="16" t="str">
        <x:v>https://kozhaclinic.ru/lazernaya-kosmetologiya/lazernaya-epilyaciya/</x:v>
      </x:c>
    </x:row>
    <x:row r="263" ht="40" customHeight="1">
      <x:c r="A263" s="12" t="str">
        <x:v>лазерная эпиляция ног полностью сургут</x:v>
      </x:c>
      <x:c r="B263" s="12" t="str">
        <x:v>Лазерная эпиляция ног</x:v>
      </x:c>
      <x:c r="C263" s="26" t="n">
        <x:v>7</x:v>
      </x:c>
      <x:c r="D263" s="26" t="n">
        <x:v>8</x:v>
      </x:c>
      <x:c r="E263" s="28" t="n">
        <x:f>IF(AND(ISNUMBER(C263),ISNUMBER(D263)),C263-D263,IF(AND(C263="Не найдено",ISNUMBER(D263)),"Появился",IF(AND(ISNUMBER(C263),D263="Не найдено"),"Не найдено","Нет сравнения")))</x:f>
        <x:v>-1</x:v>
      </x:c>
      <x:c r="F263" s="15" t="str">
        <x:v>https://kozhaclinic.ru/lazernaya-kosmetologiya/lazernaya-epilyaciya/nog/</x:v>
      </x:c>
      <x:c r="G263" s="26" t="n">
        <x:v>3</x:v>
      </x:c>
      <x:c r="H263" s="26" t="n">
        <x:v>3</x:v>
      </x:c>
      <x:c r="I263" s="28" t="n">
        <x:f>IF(AND(ISNUMBER(G263),ISNUMBER(H263)),G263-H263,IF(AND(G263="Не найдено",ISNUMBER(H263)),"Появился",IF(AND(ISNUMBER(G263),H263="Не найдено"),"Не найдено","Нет сравнения")))</x:f>
        <x:v>0</x:v>
      </x:c>
      <x:c r="J263" s="15" t="str">
        <x:v>https://kozhaclinic.ru/lazernaya-kosmetologiya/lazernaya-epilyaciya/</x:v>
      </x:c>
    </x:row>
    <x:row r="264" ht="40" customHeight="1">
      <x:c r="A264" s="14" t="str">
        <x:v>лазерная эпиляция голеней сургут</x:v>
      </x:c>
      <x:c r="B264" s="14" t="str">
        <x:v>Лазерная эпиляция ног</x:v>
      </x:c>
      <x:c r="C264" s="27" t="n">
        <x:v>6</x:v>
      </x:c>
      <x:c r="D264" s="27" t="n">
        <x:v>11</x:v>
      </x:c>
      <x:c r="E264" s="29" t="n">
        <x:f>IF(AND(ISNUMBER(C264),ISNUMBER(D264)),C264-D264,IF(AND(C264="Не найдено",ISNUMBER(D264)),"Появился",IF(AND(ISNUMBER(C264),D264="Не найдено"),"Не найдено","Нет сравнения")))</x:f>
        <x:v>-5</x:v>
      </x:c>
      <x:c r="F264" s="16" t="str">
        <x:v>https://kozhaclinic.ru/lazernaya-kosmetologiya/lazernaya-epilyaciya/nog/</x:v>
      </x:c>
      <x:c r="G264" s="27" t="n">
        <x:v>3</x:v>
      </x:c>
      <x:c r="H264" s="27" t="n">
        <x:v>3</x:v>
      </x:c>
      <x:c r="I264" s="29" t="n">
        <x:f>IF(AND(ISNUMBER(G264),ISNUMBER(H264)),G264-H264,IF(AND(G264="Не найдено",ISNUMBER(H264)),"Появился",IF(AND(ISNUMBER(G264),H264="Не найдено"),"Не найдено","Нет сравнения")))</x:f>
        <x:v>0</x:v>
      </x:c>
      <x:c r="J264" s="16" t="str">
        <x:v>https://kozhaclinic.ru/lazernaya-kosmetologiya/lazernaya-epilyaciya/</x:v>
      </x:c>
    </x:row>
    <x:row r="265" ht="40" customHeight="1">
      <x:c r="A265" s="12" t="str">
        <x:v>лазерная эпиляция бедер сургут</x:v>
      </x:c>
      <x:c r="B265" s="12" t="str">
        <x:v>Лазерная эпиляция ног</x:v>
      </x:c>
      <x:c r="C265" s="26" t="n">
        <x:v>7</x:v>
      </x:c>
      <x:c r="D265" s="26" t="n">
        <x:v>9</x:v>
      </x:c>
      <x:c r="E265" s="28" t="n">
        <x:f>IF(AND(ISNUMBER(C265),ISNUMBER(D265)),C265-D265,IF(AND(C265="Не найдено",ISNUMBER(D265)),"Появился",IF(AND(ISNUMBER(C265),D265="Не найдено"),"Не найдено","Нет сравнения")))</x:f>
        <x:v>-2</x:v>
      </x:c>
      <x:c r="F265" s="15" t="str">
        <x:v>https://kozhaclinic.ru/lazernaya-kosmetologiya/lazernaya-epilyaciya/nog/</x:v>
      </x:c>
      <x:c r="G265" s="26" t="n">
        <x:v>3</x:v>
      </x:c>
      <x:c r="H265" s="26" t="n">
        <x:v>3</x:v>
      </x:c>
      <x:c r="I265" s="28" t="n">
        <x:f>IF(AND(ISNUMBER(G265),ISNUMBER(H265)),G265-H265,IF(AND(G265="Не найдено",ISNUMBER(H265)),"Появился",IF(AND(ISNUMBER(G265),H265="Не найдено"),"Не найдено","Нет сравнения")))</x:f>
        <x:v>0</x:v>
      </x:c>
      <x:c r="J265" s="15" t="str">
        <x:v>https://kozhaclinic.ru/lazernaya-kosmetologiya/lazernaya-epilyaciya/</x:v>
      </x:c>
    </x:row>
    <x:row r="266" ht="40" customHeight="1">
      <x:c r="A266" s="14" t="str">
        <x:v>эпиляция ног лазером сургут</x:v>
      </x:c>
      <x:c r="B266" s="14" t="str">
        <x:v>Лазерная эпиляция ног</x:v>
      </x:c>
      <x:c r="C266" s="27" t="n">
        <x:v>5</x:v>
      </x:c>
      <x:c r="D266" s="27" t="n">
        <x:v>5</x:v>
      </x:c>
      <x:c r="E266" s="29" t="n">
        <x:f>IF(AND(ISNUMBER(C266),ISNUMBER(D266)),C266-D266,IF(AND(C266="Не найдено",ISNUMBER(D266)),"Появился",IF(AND(ISNUMBER(C266),D266="Не найдено"),"Не найдено","Нет сравнения")))</x:f>
        <x:v>0</x:v>
      </x:c>
      <x:c r="F266" s="16" t="str">
        <x:v>https://kozhaclinic.ru/lazernaya-kosmetologiya/lazernaya-epilyaciya/nog/</x:v>
      </x:c>
      <x:c r="G266" s="27" t="n">
        <x:v>2</x:v>
      </x:c>
      <x:c r="H266" s="27" t="n">
        <x:v>3</x:v>
      </x:c>
      <x:c r="I266" s="29" t="n">
        <x:f>IF(AND(ISNUMBER(G266),ISNUMBER(H266)),G266-H266,IF(AND(G266="Не найдено",ISNUMBER(H266)),"Появился",IF(AND(ISNUMBER(G266),H266="Не найдено"),"Не найдено","Нет сравнения")))</x:f>
        <x:v>-1</x:v>
      </x:c>
      <x:c r="J266" s="16" t="str">
        <x:v>https://kozhaclinic.ru/lazernaya-kosmetologiya/lazernaya-epilyaciya/</x:v>
      </x:c>
    </x:row>
    <x:row r="267" ht="40" customHeight="1">
      <x:c r="A267" s="12" t="str">
        <x:v>лазерная эпиляция ног цена</x:v>
      </x:c>
      <x:c r="B267" s="12" t="str">
        <x:v>Лазерная эпиляция ног</x:v>
      </x:c>
      <x:c r="C267" s="26" t="n">
        <x:v>6</x:v>
      </x:c>
      <x:c r="D267" s="26" t="n">
        <x:v>3</x:v>
      </x:c>
      <x:c r="E267" s="28" t="n">
        <x:f>IF(AND(ISNUMBER(C267),ISNUMBER(D267)),C267-D267,IF(AND(C267="Не найдено",ISNUMBER(D267)),"Появился",IF(AND(ISNUMBER(C267),D267="Не найдено"),"Не найдено","Нет сравнения")))</x:f>
        <x:v>3</x:v>
      </x:c>
      <x:c r="F267" s="15" t="str">
        <x:v>https://kozhaclinic.ru/lazernaya-kosmetologiya/lazernaya-epilyaciya/nog/</x:v>
      </x:c>
      <x:c r="G267" s="26" t="str">
        <x:v>Не найдено</x:v>
      </x:c>
      <x:c r="H267" s="26" t="n">
        <x:v>1</x:v>
      </x:c>
      <x:c r="I267" s="28" t="str">
        <x:f>IF(AND(ISNUMBER(G267),ISNUMBER(H267)),G267-H267,IF(AND(G267="Не найдено",ISNUMBER(H267)),"Появился",IF(AND(ISNUMBER(G267),H267="Не найдено"),"Не найдено","Нет сравнения")))</x:f>
        <x:v>Появился</x:v>
      </x:c>
      <x:c r="J267" s="15" t="str">
        <x:v>https://kozhaclinic.ru/lazernaya-kosmetologiya/lazernaya-epilyaciya/</x:v>
      </x:c>
    </x:row>
    <x:row r="268" ht="40" customHeight="1">
      <x:c r="A268" s="14" t="str">
        <x:v>лазерная эпиляция ног полностью цена</x:v>
      </x:c>
      <x:c r="B268" s="14" t="str">
        <x:v>Лазерная эпиляция ног</x:v>
      </x:c>
      <x:c r="C268" s="27" t="n">
        <x:v>7</x:v>
      </x:c>
      <x:c r="D268" s="27" t="n">
        <x:v>8</x:v>
      </x:c>
      <x:c r="E268" s="29" t="n">
        <x:f>IF(AND(ISNUMBER(C268),ISNUMBER(D268)),C268-D268,IF(AND(C268="Не найдено",ISNUMBER(D268)),"Появился",IF(AND(ISNUMBER(C268),D268="Не найдено"),"Не найдено","Нет сравнения")))</x:f>
        <x:v>-1</x:v>
      </x:c>
      <x:c r="F268" s="16" t="str">
        <x:v>https://kozhaclinic.ru/lazernaya-kosmetologiya/lazernaya-epilyaciya/nog/</x:v>
      </x:c>
      <x:c r="G268" s="27" t="n">
        <x:v>3</x:v>
      </x:c>
      <x:c r="H268" s="27" t="str">
        <x:v>Не найдено</x:v>
      </x:c>
      <x:c r="I268" s="29" t="str">
        <x:f>IF(AND(ISNUMBER(G268),ISNUMBER(H268)),G268-H268,IF(AND(G268="Не найдено",ISNUMBER(H268)),"Появился",IF(AND(ISNUMBER(G268),H268="Не найдено"),"Не найдено","Нет сравнения")))</x:f>
        <x:v>Не найдено</x:v>
      </x:c>
      <x:c r="J268" s="14"/>
    </x:row>
    <x:row r="269" ht="40" customHeight="1">
      <x:c r="A269" s="12" t="str">
        <x:v>лазерная эпиляция голени цена</x:v>
      </x:c>
      <x:c r="B269" s="12" t="str">
        <x:v>Лазерная эпиляция ног</x:v>
      </x:c>
      <x:c r="C269" s="26" t="n">
        <x:v>7</x:v>
      </x:c>
      <x:c r="D269" s="26" t="n">
        <x:v>8</x:v>
      </x:c>
      <x:c r="E269" s="28" t="n">
        <x:f>IF(AND(ISNUMBER(C269),ISNUMBER(D269)),C269-D269,IF(AND(C269="Не найдено",ISNUMBER(D269)),"Появился",IF(AND(ISNUMBER(C269),D269="Не найдено"),"Не найдено","Нет сравнения")))</x:f>
        <x:v>-1</x:v>
      </x:c>
      <x:c r="F269" s="15" t="str">
        <x:v>https://kozhaclinic.ru/lazernaya-kosmetologiya/lazernaya-epilyaciya/nog/</x:v>
      </x:c>
      <x:c r="G269" s="26" t="n">
        <x:v>4</x:v>
      </x:c>
      <x:c r="H269" s="26" t="n">
        <x:v>7</x:v>
      </x:c>
      <x:c r="I269" s="28" t="n">
        <x:f>IF(AND(ISNUMBER(G269),ISNUMBER(H269)),G269-H269,IF(AND(G269="Не найдено",ISNUMBER(H269)),"Появился",IF(AND(ISNUMBER(G269),H269="Не найдено"),"Не найдено","Нет сравнения")))</x:f>
        <x:v>-3</x:v>
      </x:c>
      <x:c r="J269" s="15" t="str">
        <x:v>https://kozhaclinic.ru/lazernaya-kosmetologiya/lazernaya-epilyaciya/</x:v>
      </x:c>
    </x:row>
    <x:row r="270" ht="40" customHeight="1">
      <x:c r="A270" s="14" t="str">
        <x:v>лазерная эпиляция бедер цена</x:v>
      </x:c>
      <x:c r="B270" s="14" t="str">
        <x:v>Лазерная эпиляция ног</x:v>
      </x:c>
      <x:c r="C270" s="27" t="n">
        <x:v>6</x:v>
      </x:c>
      <x:c r="D270" s="27" t="n">
        <x:v>7</x:v>
      </x:c>
      <x:c r="E270" s="29" t="n">
        <x:f>IF(AND(ISNUMBER(C270),ISNUMBER(D270)),C270-D270,IF(AND(C270="Не найдено",ISNUMBER(D270)),"Появился",IF(AND(ISNUMBER(C270),D270="Не найдено"),"Не найдено","Нет сравнения")))</x:f>
        <x:v>-1</x:v>
      </x:c>
      <x:c r="F270" s="16" t="str">
        <x:v>https://kozhaclinic.ru/lazernaya-kosmetologiya/lazernaya-epilyaciya/nog/</x:v>
      </x:c>
      <x:c r="G270" s="27" t="str">
        <x:v>Не найдено</x:v>
      </x:c>
      <x:c r="H270" s="27" t="n">
        <x:v>3</x:v>
      </x:c>
      <x:c r="I270" s="29" t="str">
        <x:f>IF(AND(ISNUMBER(G270),ISNUMBER(H270)),G270-H270,IF(AND(G270="Не найдено",ISNUMBER(H270)),"Появился",IF(AND(ISNUMBER(G270),H270="Не найдено"),"Не найдено","Нет сравнения")))</x:f>
        <x:v>Появился</x:v>
      </x:c>
      <x:c r="J270" s="16" t="str">
        <x:v>https://kozhaclinic.ru/lazernaya-kosmetologiya/lazernaya-epilyaciya/</x:v>
      </x:c>
    </x:row>
    <x:row r="271" ht="40" customHeight="1">
      <x:c r="A271" s="12" t="str">
        <x:v>лазерная эпиляция ног клиника</x:v>
      </x:c>
      <x:c r="B271" s="12" t="str">
        <x:v>Лазерная эпиляция ног</x:v>
      </x:c>
      <x:c r="C271" s="26" t="n">
        <x:v>4</x:v>
      </x:c>
      <x:c r="D271" s="26" t="n">
        <x:v>3</x:v>
      </x:c>
      <x:c r="E271" s="28" t="n">
        <x:f>IF(AND(ISNUMBER(C271),ISNUMBER(D271)),C271-D271,IF(AND(C271="Не найдено",ISNUMBER(D271)),"Появился",IF(AND(ISNUMBER(C271),D271="Не найдено"),"Не найдено","Нет сравнения")))</x:f>
        <x:v>1</x:v>
      </x:c>
      <x:c r="F271" s="15" t="str">
        <x:v>https://kozhaclinic.ru/lazernaya-kosmetologiya/lazernaya-epilyaciya/nog/</x:v>
      </x:c>
      <x:c r="G271" s="26" t="n">
        <x:v>1</x:v>
      </x:c>
      <x:c r="H271" s="26" t="str">
        <x:v>Не найдено</x:v>
      </x:c>
      <x:c r="I271" s="28" t="str">
        <x:f>IF(AND(ISNUMBER(G271),ISNUMBER(H271)),G271-H271,IF(AND(G271="Не найдено",ISNUMBER(H271)),"Появился",IF(AND(ISNUMBER(G271),H271="Не найдено"),"Не найдено","Нет сравнения")))</x:f>
        <x:v>Не найдено</x:v>
      </x:c>
      <x:c r="J271" s="12"/>
    </x:row>
    <x:row r="272" ht="40" customHeight="1">
      <x:c r="A272" s="14" t="str">
        <x:v>лазерная эпиляция подмышек сургут</x:v>
      </x:c>
      <x:c r="B272" s="14" t="str">
        <x:v>Лазерная эпиляция подмышек</x:v>
      </x:c>
      <x:c r="C272" s="27" t="n">
        <x:v>1</x:v>
      </x:c>
      <x:c r="D272" s="27" t="n">
        <x:v>1</x:v>
      </x:c>
      <x:c r="E272" s="29" t="n">
        <x:f>IF(AND(ISNUMBER(C272),ISNUMBER(D272)),C272-D272,IF(AND(C272="Не найдено",ISNUMBER(D272)),"Появился",IF(AND(ISNUMBER(C272),D272="Не найдено"),"Не найдено","Нет сравнения")))</x:f>
        <x:v>0</x:v>
      </x:c>
      <x:c r="F272" s="16" t="str">
        <x:v>https://kozhaclinic.ru/lazernaya-kosmetologiya/lazernaya-epilyaciya/podmyshek/</x:v>
      </x:c>
      <x:c r="G272" s="27" t="n">
        <x:v>3</x:v>
      </x:c>
      <x:c r="H272" s="27" t="n">
        <x:v>3</x:v>
      </x:c>
      <x:c r="I272" s="29" t="n">
        <x:f>IF(AND(ISNUMBER(G272),ISNUMBER(H272)),G272-H272,IF(AND(G272="Не найдено",ISNUMBER(H272)),"Появился",IF(AND(ISNUMBER(G272),H272="Не найдено"),"Не найдено","Нет сравнения")))</x:f>
        <x:v>0</x:v>
      </x:c>
      <x:c r="J272" s="16" t="str">
        <x:v>https://kozhaclinic.ru/lazernaya-kosmetologiya/lazernaya-epilyaciya/</x:v>
      </x:c>
    </x:row>
    <x:row r="273" ht="40" customHeight="1">
      <x:c r="A273" s="12" t="str">
        <x:v>лазерная эпиляция подмышечных впадин сургут</x:v>
      </x:c>
      <x:c r="B273" s="12" t="str">
        <x:v>Лазерная эпиляция подмышек</x:v>
      </x:c>
      <x:c r="C273" s="26" t="n">
        <x:v>2</x:v>
      </x:c>
      <x:c r="D273" s="26" t="n">
        <x:v>2</x:v>
      </x:c>
      <x:c r="E273" s="28" t="n">
        <x:f>IF(AND(ISNUMBER(C273),ISNUMBER(D273)),C273-D273,IF(AND(C273="Не найдено",ISNUMBER(D273)),"Появился",IF(AND(ISNUMBER(C273),D273="Не найдено"),"Не найдено","Нет сравнения")))</x:f>
        <x:v>0</x:v>
      </x:c>
      <x:c r="F273" s="15" t="str">
        <x:v>https://kozhaclinic.ru/lazernaya-kosmetologiya/lazernaya-epilyaciya/podmyshek/</x:v>
      </x:c>
      <x:c r="G273" s="26" t="str">
        <x:v>Не найдено</x:v>
      </x:c>
      <x:c r="H273" s="26" t="n">
        <x:v>2</x:v>
      </x:c>
      <x:c r="I273" s="28" t="str">
        <x:f>IF(AND(ISNUMBER(G273),ISNUMBER(H273)),G273-H273,IF(AND(G273="Не найдено",ISNUMBER(H273)),"Появился",IF(AND(ISNUMBER(G273),H273="Не найдено"),"Не найдено","Нет сравнения")))</x:f>
        <x:v>Появился</x:v>
      </x:c>
      <x:c r="J273" s="15" t="str">
        <x:v>https://kozhaclinic.ru/lazernaya-kosmetologiya/lazernaya-epilyaciya/podmyshek/</x:v>
      </x:c>
    </x:row>
    <x:row r="274" ht="40" customHeight="1">
      <x:c r="A274" s="14" t="str">
        <x:v>эпиляция подмышек лазером сургут</x:v>
      </x:c>
      <x:c r="B274" s="14" t="str">
        <x:v>Лазерная эпиляция подмышек</x:v>
      </x:c>
      <x:c r="C274" s="27" t="n">
        <x:v>1</x:v>
      </x:c>
      <x:c r="D274" s="27" t="n">
        <x:v>2</x:v>
      </x:c>
      <x:c r="E274" s="29" t="n">
        <x:f>IF(AND(ISNUMBER(C274),ISNUMBER(D274)),C274-D274,IF(AND(C274="Не найдено",ISNUMBER(D274)),"Появился",IF(AND(ISNUMBER(C274),D274="Не найдено"),"Не найдено","Нет сравнения")))</x:f>
        <x:v>-1</x:v>
      </x:c>
      <x:c r="F274" s="16" t="str">
        <x:v>https://kozhaclinic.ru/lazernaya-kosmetologiya/lazernaya-epilyaciya/podmyshek/</x:v>
      </x:c>
      <x:c r="G274" s="27" t="n">
        <x:v>2</x:v>
      </x:c>
      <x:c r="H274" s="27" t="n">
        <x:v>3</x:v>
      </x:c>
      <x:c r="I274" s="29" t="n">
        <x:f>IF(AND(ISNUMBER(G274),ISNUMBER(H274)),G274-H274,IF(AND(G274="Не найдено",ISNUMBER(H274)),"Появился",IF(AND(ISNUMBER(G274),H274="Не найдено"),"Не найдено","Нет сравнения")))</x:f>
        <x:v>-1</x:v>
      </x:c>
      <x:c r="J274" s="16" t="str">
        <x:v>https://kozhaclinic.ru/lazernaya-kosmetologiya/lazernaya-epilyaciya/podmyshek/</x:v>
      </x:c>
    </x:row>
    <x:row r="275" ht="40" customHeight="1">
      <x:c r="A275" s="12" t="str">
        <x:v>лазерное удаление волос подмышками сургут</x:v>
      </x:c>
      <x:c r="B275" s="12" t="str">
        <x:v>Лазерная эпиляция подмышек</x:v>
      </x:c>
      <x:c r="C275" s="26" t="n">
        <x:v>1</x:v>
      </x:c>
      <x:c r="D275" s="26" t="n">
        <x:v>1</x:v>
      </x:c>
      <x:c r="E275" s="28" t="n">
        <x:f>IF(AND(ISNUMBER(C275),ISNUMBER(D275)),C275-D275,IF(AND(C275="Не найдено",ISNUMBER(D275)),"Появился",IF(AND(ISNUMBER(C275),D275="Не найдено"),"Не найдено","Нет сравнения")))</x:f>
        <x:v>0</x:v>
      </x:c>
      <x:c r="F275" s="15" t="str">
        <x:v>https://kozhaclinic.ru/lazernaya-kosmetologiya/lazernaya-epilyaciya/podmyshek/</x:v>
      </x:c>
      <x:c r="G275" s="26" t="n">
        <x:v>3</x:v>
      </x:c>
      <x:c r="H275" s="26" t="n">
        <x:v>3</x:v>
      </x:c>
      <x:c r="I275" s="28" t="n">
        <x:f>IF(AND(ISNUMBER(G275),ISNUMBER(H275)),G275-H275,IF(AND(G275="Не найдено",ISNUMBER(H275)),"Появился",IF(AND(ISNUMBER(G275),H275="Не найдено"),"Не найдено","Нет сравнения")))</x:f>
        <x:v>0</x:v>
      </x:c>
      <x:c r="J275" s="15" t="str">
        <x:v>https://kozhaclinic.ru/lazernaya-kosmetologiya/lazernaya-epilyaciya/podmyshek/</x:v>
      </x:c>
    </x:row>
    <x:row r="276" ht="40" customHeight="1">
      <x:c r="A276" s="14" t="str">
        <x:v>лазерная эпиляция подмышек цена</x:v>
      </x:c>
      <x:c r="B276" s="14" t="str">
        <x:v>Лазерная эпиляция подмышек</x:v>
      </x:c>
      <x:c r="C276" s="27" t="n">
        <x:v>6</x:v>
      </x:c>
      <x:c r="D276" s="27" t="n">
        <x:v>4</x:v>
      </x:c>
      <x:c r="E276" s="29" t="n">
        <x:f>IF(AND(ISNUMBER(C276),ISNUMBER(D276)),C276-D276,IF(AND(C276="Не найдено",ISNUMBER(D276)),"Появился",IF(AND(ISNUMBER(C276),D276="Не найдено"),"Не найдено","Нет сравнения")))</x:f>
        <x:v>2</x:v>
      </x:c>
      <x:c r="F276" s="16" t="str">
        <x:v>https://kozhaclinic.ru/lazernaya-kosmetologiya/lazernaya-epilyaciya/podmyshek/</x:v>
      </x:c>
      <x:c r="G276" s="27" t="n">
        <x:v>1</x:v>
      </x:c>
      <x:c r="H276" s="27" t="n">
        <x:v>1</x:v>
      </x:c>
      <x:c r="I276" s="29" t="n">
        <x:f>IF(AND(ISNUMBER(G276),ISNUMBER(H276)),G276-H276,IF(AND(G276="Не найдено",ISNUMBER(H276)),"Появился",IF(AND(ISNUMBER(G276),H276="Не найдено"),"Не найдено","Нет сравнения")))</x:f>
        <x:v>0</x:v>
      </x:c>
      <x:c r="J276" s="16" t="str">
        <x:v>https://kozhaclinic.ru/lazernaya-kosmetologiya/lazernaya-epilyaciya/podmyshek/</x:v>
      </x:c>
    </x:row>
    <x:row r="277" ht="40" customHeight="1">
      <x:c r="A277" s="12" t="str">
        <x:v>лазерная эпиляция подмышек стоимость</x:v>
      </x:c>
      <x:c r="B277" s="12" t="str">
        <x:v>Лазерная эпиляция подмышек</x:v>
      </x:c>
      <x:c r="C277" s="26" t="n">
        <x:v>2</x:v>
      </x:c>
      <x:c r="D277" s="26" t="n">
        <x:v>3</x:v>
      </x:c>
      <x:c r="E277" s="28" t="n">
        <x:f>IF(AND(ISNUMBER(C277),ISNUMBER(D277)),C277-D277,IF(AND(C277="Не найдено",ISNUMBER(D277)),"Появился",IF(AND(ISNUMBER(C277),D277="Не найдено"),"Не найдено","Нет сравнения")))</x:f>
        <x:v>-1</x:v>
      </x:c>
      <x:c r="F277" s="15" t="str">
        <x:v>https://kozhaclinic.ru/lazernaya-kosmetologiya/lazernaya-epilyaciya/podmyshek/</x:v>
      </x:c>
      <x:c r="G277" s="26" t="str">
        <x:v>Не найдено</x:v>
      </x:c>
      <x:c r="H277" s="26" t="n">
        <x:v>1</x:v>
      </x:c>
      <x:c r="I277" s="28" t="str">
        <x:f>IF(AND(ISNUMBER(G277),ISNUMBER(H277)),G277-H277,IF(AND(G277="Не найдено",ISNUMBER(H277)),"Появился",IF(AND(ISNUMBER(G277),H277="Не найдено"),"Не найдено","Нет сравнения")))</x:f>
        <x:v>Появился</x:v>
      </x:c>
      <x:c r="J277" s="15" t="str">
        <x:v>https://kozhaclinic.ru/lazernaya-kosmetologiya/lazernaya-epilyaciya/podmyshek/</x:v>
      </x:c>
    </x:row>
    <x:row r="278" ht="40" customHeight="1">
      <x:c r="A278" s="14" t="str">
        <x:v>лазерная эпиляция подмышек клиника</x:v>
      </x:c>
      <x:c r="B278" s="14" t="str">
        <x:v>Лазерная эпиляция подмышек</x:v>
      </x:c>
      <x:c r="C278" s="27" t="n">
        <x:v>1</x:v>
      </x:c>
      <x:c r="D278" s="27" t="n">
        <x:v>1</x:v>
      </x:c>
      <x:c r="E278" s="29" t="n">
        <x:f>IF(AND(ISNUMBER(C278),ISNUMBER(D278)),C278-D278,IF(AND(C278="Не найдено",ISNUMBER(D278)),"Появился",IF(AND(ISNUMBER(C278),D278="Не найдено"),"Не найдено","Нет сравнения")))</x:f>
        <x:v>0</x:v>
      </x:c>
      <x:c r="F278" s="16" t="str">
        <x:v>https://kozhaclinic.ru/lazernaya-kosmetologiya/lazernaya-epilyaciya/podmyshek/</x:v>
      </x:c>
      <x:c r="G278" s="27" t="n">
        <x:v>1</x:v>
      </x:c>
      <x:c r="H278" s="27" t="n">
        <x:v>1</x:v>
      </x:c>
      <x:c r="I278" s="29" t="n">
        <x:f>IF(AND(ISNUMBER(G278),ISNUMBER(H278)),G278-H278,IF(AND(G278="Не найдено",ISNUMBER(H278)),"Появился",IF(AND(ISNUMBER(G278),H278="Не найдено"),"Не найдено","Нет сравнения")))</x:f>
        <x:v>0</x:v>
      </x:c>
      <x:c r="J278" s="16" t="str">
        <x:v>https://kozhaclinic.ru/lazernaya-kosmetologiya/lazernaya-epilyaciya/podmyshek/</x:v>
      </x:c>
    </x:row>
    <x:row r="279" ht="40" customHeight="1">
      <x:c r="A279" s="12" t="str">
        <x:v>сделать лазерную эпиляцию подмышек</x:v>
      </x:c>
      <x:c r="B279" s="12" t="str">
        <x:v>Лазерная эпиляция подмышек</x:v>
      </x:c>
      <x:c r="C279" s="26" t="n">
        <x:v>1</x:v>
      </x:c>
      <x:c r="D279" s="26" t="n">
        <x:v>1</x:v>
      </x:c>
      <x:c r="E279" s="28" t="n">
        <x:f>IF(AND(ISNUMBER(C279),ISNUMBER(D279)),C279-D279,IF(AND(C279="Не найдено",ISNUMBER(D279)),"Появился",IF(AND(ISNUMBER(C279),D279="Не найдено"),"Не найдено","Нет сравнения")))</x:f>
        <x:v>0</x:v>
      </x:c>
      <x:c r="F279" s="15" t="str">
        <x:v>https://kozhaclinic.ru/lazernaya-kosmetologiya/lazernaya-epilyaciya/podmyshek/</x:v>
      </x:c>
      <x:c r="G279" s="26" t="n">
        <x:v>1</x:v>
      </x:c>
      <x:c r="H279" s="26" t="n">
        <x:v>2</x:v>
      </x:c>
      <x:c r="I279" s="28" t="n">
        <x:f>IF(AND(ISNUMBER(G279),ISNUMBER(H279)),G279-H279,IF(AND(G279="Не найдено",ISNUMBER(H279)),"Появился",IF(AND(ISNUMBER(G279),H279="Не найдено"),"Не найдено","Нет сравнения")))</x:f>
        <x:v>-1</x:v>
      </x:c>
      <x:c r="J279" s="15" t="str">
        <x:v>https://kozhaclinic.ru/lazernaya-kosmetologiya/lazernaya-epilyaciya/podmyshek/</x:v>
      </x:c>
    </x:row>
    <x:row r="280" ht="40" customHeight="1">
      <x:c r="A280" s="14" t="str">
        <x:v>лазерная эпиляция бикини сургут</x:v>
      </x:c>
      <x:c r="B280" s="14" t="str">
        <x:v>Лазерная эпиляция бикини</x:v>
      </x:c>
      <x:c r="C280" s="27" t="n">
        <x:v>6</x:v>
      </x:c>
      <x:c r="D280" s="27" t="n">
        <x:v>5</x:v>
      </x:c>
      <x:c r="E280" s="29" t="n">
        <x:f>IF(AND(ISNUMBER(C280),ISNUMBER(D280)),C280-D280,IF(AND(C280="Не найдено",ISNUMBER(D280)),"Появился",IF(AND(ISNUMBER(C280),D280="Не найдено"),"Не найдено","Нет сравнения")))</x:f>
        <x:v>1</x:v>
      </x:c>
      <x:c r="F280" s="16" t="str">
        <x:v>https://kozhaclinic.ru/lazernaya-kosmetologiya/lazernaya-epilyaciya/glubokogo-bikini/</x:v>
      </x:c>
      <x:c r="G280" s="27" t="n">
        <x:v>3</x:v>
      </x:c>
      <x:c r="H280" s="27" t="n">
        <x:v>2</x:v>
      </x:c>
      <x:c r="I280" s="29" t="n">
        <x:f>IF(AND(ISNUMBER(G280),ISNUMBER(H280)),G280-H280,IF(AND(G280="Не найдено",ISNUMBER(H280)),"Появился",IF(AND(ISNUMBER(G280),H280="Не найдено"),"Не найдено","Нет сравнения")))</x:f>
        <x:v>1</x:v>
      </x:c>
      <x:c r="J280" s="16" t="str">
        <x:v>https://kozhaclinic.ru/lazernaya-kosmetologiya/lazernaya-epilyaciya/</x:v>
      </x:c>
    </x:row>
    <x:row r="281" ht="40" customHeight="1">
      <x:c r="A281" s="12" t="str">
        <x:v>лазерная эпиляция глубокого бикини сургут</x:v>
      </x:c>
      <x:c r="B281" s="12" t="str">
        <x:v>Лазерная эпиляция бикини</x:v>
      </x:c>
      <x:c r="C281" s="26" t="n">
        <x:v>5</x:v>
      </x:c>
      <x:c r="D281" s="26" t="n">
        <x:v>3</x:v>
      </x:c>
      <x:c r="E281" s="28" t="n">
        <x:f>IF(AND(ISNUMBER(C281),ISNUMBER(D281)),C281-D281,IF(AND(C281="Не найдено",ISNUMBER(D281)),"Появился",IF(AND(ISNUMBER(C281),D281="Не найдено"),"Не найдено","Нет сравнения")))</x:f>
        <x:v>2</x:v>
      </x:c>
      <x:c r="F281" s="15" t="str">
        <x:v>https://kozhaclinic.ru/lazernaya-kosmetologiya/lazernaya-epilyaciya/glubokogo-bikini/</x:v>
      </x:c>
      <x:c r="G281" s="26" t="n">
        <x:v>5</x:v>
      </x:c>
      <x:c r="H281" s="26" t="n">
        <x:v>4</x:v>
      </x:c>
      <x:c r="I281" s="28" t="n">
        <x:f>IF(AND(ISNUMBER(G281),ISNUMBER(H281)),G281-H281,IF(AND(G281="Не найдено",ISNUMBER(H281)),"Появился",IF(AND(ISNUMBER(G281),H281="Не найдено"),"Не найдено","Нет сравнения")))</x:f>
        <x:v>1</x:v>
      </x:c>
      <x:c r="J281" s="15" t="str">
        <x:v>https://kozhaclinic.ru/lazernaya-kosmetologiya/lazernaya-epilyaciya/</x:v>
      </x:c>
    </x:row>
    <x:row r="282" ht="40" customHeight="1">
      <x:c r="A282" s="14" t="str">
        <x:v>лазерная эпиляция тотального бикини сургут</x:v>
      </x:c>
      <x:c r="B282" s="14" t="str">
        <x:v>Лазерная эпиляция бикини</x:v>
      </x:c>
      <x:c r="C282" s="27" t="n">
        <x:v>17</x:v>
      </x:c>
      <x:c r="D282" s="27" t="n">
        <x:v>18</x:v>
      </x:c>
      <x:c r="E282" s="29" t="n">
        <x:f>IF(AND(ISNUMBER(C282),ISNUMBER(D282)),C282-D282,IF(AND(C282="Не найдено",ISNUMBER(D282)),"Появился",IF(AND(ISNUMBER(C282),D282="Не найдено"),"Не найдено","Нет сравнения")))</x:f>
        <x:v>-1</x:v>
      </x:c>
      <x:c r="F282" s="16" t="str">
        <x:v>https://kozhaclinic.ru/lazernaya-kosmetologiya/lazernaya-epilyaciya/dlya-zhenshchin/</x:v>
      </x:c>
      <x:c r="G282" s="27" t="n">
        <x:v>5</x:v>
      </x:c>
      <x:c r="H282" s="27" t="n">
        <x:v>3</x:v>
      </x:c>
      <x:c r="I282" s="29" t="n">
        <x:f>IF(AND(ISNUMBER(G282),ISNUMBER(H282)),G282-H282,IF(AND(G282="Не найдено",ISNUMBER(H282)),"Появился",IF(AND(ISNUMBER(G282),H282="Не найдено"),"Не найдено","Нет сравнения")))</x:f>
        <x:v>2</x:v>
      </x:c>
      <x:c r="J282" s="16" t="str">
        <x:v>https://kozhaclinic.ru/lazernaya-kosmetologiya/lazernaya-epilyaciya/</x:v>
      </x:c>
    </x:row>
    <x:row r="283" ht="40" customHeight="1">
      <x:c r="A283" s="12" t="str">
        <x:v>лазерная эпиляция интимной зоны сургут</x:v>
      </x:c>
      <x:c r="B283" s="12" t="str">
        <x:v>Лазерная эпиляция бикини</x:v>
      </x:c>
      <x:c r="C283" s="26" t="n">
        <x:v>5</x:v>
      </x:c>
      <x:c r="D283" s="26" t="n">
        <x:v>4</x:v>
      </x:c>
      <x:c r="E283" s="28" t="n">
        <x:f>IF(AND(ISNUMBER(C283),ISNUMBER(D283)),C283-D283,IF(AND(C283="Не найдено",ISNUMBER(D283)),"Появился",IF(AND(ISNUMBER(C283),D283="Не найдено"),"Не найдено","Нет сравнения")))</x:f>
        <x:v>1</x:v>
      </x:c>
      <x:c r="F283" s="15" t="str">
        <x:v>https://kozhaclinic.ru/lazernaya-kosmetologiya/lazernaya-epilyaciya/glubokogo-bikini/</x:v>
      </x:c>
      <x:c r="G283" s="26" t="n">
        <x:v>3</x:v>
      </x:c>
      <x:c r="H283" s="26" t="str">
        <x:v>Не найдено</x:v>
      </x:c>
      <x:c r="I283" s="28" t="str">
        <x:f>IF(AND(ISNUMBER(G283),ISNUMBER(H283)),G283-H283,IF(AND(G283="Не найдено",ISNUMBER(H283)),"Появился",IF(AND(ISNUMBER(G283),H283="Не найдено"),"Не найдено","Нет сравнения")))</x:f>
        <x:v>Не найдено</x:v>
      </x:c>
      <x:c r="J283" s="12"/>
    </x:row>
    <x:row r="284" ht="40" customHeight="1">
      <x:c r="A284" s="14" t="str">
        <x:v>лазерная эпиляция бикини цена</x:v>
      </x:c>
      <x:c r="B284" s="14" t="str">
        <x:v>Лазерная эпиляция бикини</x:v>
      </x:c>
      <x:c r="C284" s="27" t="n">
        <x:v>6</x:v>
      </x:c>
      <x:c r="D284" s="27" t="n">
        <x:v>6</x:v>
      </x:c>
      <x:c r="E284" s="29" t="n">
        <x:f>IF(AND(ISNUMBER(C284),ISNUMBER(D284)),C284-D284,IF(AND(C284="Не найдено",ISNUMBER(D284)),"Появился",IF(AND(ISNUMBER(C284),D284="Не найдено"),"Не найдено","Нет сравнения")))</x:f>
        <x:v>0</x:v>
      </x:c>
      <x:c r="F284" s="16" t="str">
        <x:v>https://kozhaclinic.ru/lazernaya-kosmetologiya/lazernaya-epilyaciya/glubokogo-bikini/</x:v>
      </x:c>
      <x:c r="G284" s="27" t="n">
        <x:v>4</x:v>
      </x:c>
      <x:c r="H284" s="27" t="str">
        <x:v>Не найдено</x:v>
      </x:c>
      <x:c r="I284" s="29" t="str">
        <x:f>IF(AND(ISNUMBER(G284),ISNUMBER(H284)),G284-H284,IF(AND(G284="Не найдено",ISNUMBER(H284)),"Появился",IF(AND(ISNUMBER(G284),H284="Не найдено"),"Не найдено","Нет сравнения")))</x:f>
        <x:v>Не найдено</x:v>
      </x:c>
      <x:c r="J284" s="14"/>
    </x:row>
    <x:row r="285" ht="40" customHeight="1">
      <x:c r="A285" s="12" t="str">
        <x:v>лазерная эпиляция глубокого бикини цена</x:v>
      </x:c>
      <x:c r="B285" s="12" t="str">
        <x:v>Лазерная эпиляция бикини</x:v>
      </x:c>
      <x:c r="C285" s="26" t="n">
        <x:v>6</x:v>
      </x:c>
      <x:c r="D285" s="26" t="n">
        <x:v>6</x:v>
      </x:c>
      <x:c r="E285" s="28" t="n">
        <x:f>IF(AND(ISNUMBER(C285),ISNUMBER(D285)),C285-D285,IF(AND(C285="Не найдено",ISNUMBER(D285)),"Появился",IF(AND(ISNUMBER(C285),D285="Не найдено"),"Не найдено","Нет сравнения")))</x:f>
        <x:v>0</x:v>
      </x:c>
      <x:c r="F285" s="15" t="str">
        <x:v>https://kozhaclinic.ru/lazernaya-kosmetologiya/lazernaya-epilyaciya/glubokogo-bikini/</x:v>
      </x:c>
      <x:c r="G285" s="26" t="str">
        <x:v>Не найдено</x:v>
      </x:c>
      <x:c r="H285" s="26" t="str">
        <x:v>Не найдено</x:v>
      </x:c>
      <x:c r="I285" s="28" t="str">
        <x:f>IF(AND(ISNUMBER(G285),ISNUMBER(H285)),G285-H285,IF(AND(G285="Не найдено",ISNUMBER(H285)),"Появился",IF(AND(ISNUMBER(G285),H285="Не найдено"),"Не найдено","Нет сравнения")))</x:f>
        <x:v>Нет сравнения</x:v>
      </x:c>
      <x:c r="J285" s="12"/>
    </x:row>
    <x:row r="286" ht="40" customHeight="1">
      <x:c r="A286" s="14" t="str">
        <x:v>лазерная эпиляция бикини клиника</x:v>
      </x:c>
      <x:c r="B286" s="14" t="str">
        <x:v>Лазерная эпиляция бикини</x:v>
      </x:c>
      <x:c r="C286" s="27" t="n">
        <x:v>5</x:v>
      </x:c>
      <x:c r="D286" s="27" t="n">
        <x:v>5</x:v>
      </x:c>
      <x:c r="E286" s="29" t="n">
        <x:f>IF(AND(ISNUMBER(C286),ISNUMBER(D286)),C286-D286,IF(AND(C286="Не найдено",ISNUMBER(D286)),"Появился",IF(AND(ISNUMBER(C286),D286="Не найдено"),"Не найдено","Нет сравнения")))</x:f>
        <x:v>0</x:v>
      </x:c>
      <x:c r="F286" s="16" t="str">
        <x:v>https://kozhaclinic.ru/lazernaya-kosmetologiya/lazernaya-epilyaciya/glubokogo-bikini/</x:v>
      </x:c>
      <x:c r="G286" s="27" t="n">
        <x:v>1</x:v>
      </x:c>
      <x:c r="H286" s="27" t="n">
        <x:v>2</x:v>
      </x:c>
      <x:c r="I286" s="29" t="n">
        <x:f>IF(AND(ISNUMBER(G286),ISNUMBER(H286)),G286-H286,IF(AND(G286="Не найдено",ISNUMBER(H286)),"Появился",IF(AND(ISNUMBER(G286),H286="Не найдено"),"Не найдено","Нет сравнения")))</x:f>
        <x:v>-1</x:v>
      </x:c>
      <x:c r="J286" s="16" t="str">
        <x:v>https://kozhaclinic.ru/lazernaya-kosmetologiya/lazernaya-epilyaciya/</x:v>
      </x:c>
    </x:row>
    <x:row r="287" ht="40" customHeight="1">
      <x:c r="A287" s="12" t="str">
        <x:v>глубокое бикини лазером сургут</x:v>
      </x:c>
      <x:c r="B287" s="12" t="str">
        <x:v>Лазерная эпиляция бикини</x:v>
      </x:c>
      <x:c r="C287" s="26" t="n">
        <x:v>7</x:v>
      </x:c>
      <x:c r="D287" s="26" t="n">
        <x:v>3</x:v>
      </x:c>
      <x:c r="E287" s="28" t="n">
        <x:f>IF(AND(ISNUMBER(C287),ISNUMBER(D287)),C287-D287,IF(AND(C287="Не найдено",ISNUMBER(D287)),"Появился",IF(AND(ISNUMBER(C287),D287="Не найдено"),"Не найдено","Нет сравнения")))</x:f>
        <x:v>4</x:v>
      </x:c>
      <x:c r="F287" s="15" t="str">
        <x:v>https://kozhaclinic.ru/lazernaya-kosmetologiya/lazernaya-epilyaciya/glubokogo-bikini/</x:v>
      </x:c>
      <x:c r="G287" s="26" t="n">
        <x:v>4</x:v>
      </x:c>
      <x:c r="H287" s="26" t="n">
        <x:v>4</x:v>
      </x:c>
      <x:c r="I287" s="28" t="n">
        <x:f>IF(AND(ISNUMBER(G287),ISNUMBER(H287)),G287-H287,IF(AND(G287="Не найдено",ISNUMBER(H287)),"Появился",IF(AND(ISNUMBER(G287),H287="Не найдено"),"Не найдено","Нет сравнения")))</x:f>
        <x:v>0</x:v>
      </x:c>
      <x:c r="J287" s="15" t="str">
        <x:v>https://kozhaclinic.ru/lazernaya-kosmetologiya/lazernaya-epilyaciya/</x:v>
      </x:c>
    </x:row>
    <x:row r="288" ht="40" customHeight="1">
      <x:c r="A288" s="14" t="str">
        <x:v>лазерная эпиляция для женщин</x:v>
      </x:c>
      <x:c r="B288" s="14" t="str">
        <x:v>Лазерная эпиляция для женщин</x:v>
      </x:c>
      <x:c r="C288" s="27" t="str">
        <x:v>Не найдено</x:v>
      </x:c>
      <x:c r="D288" s="27" t="n">
        <x:v>3</x:v>
      </x:c>
      <x:c r="E288" s="29" t="str">
        <x:f>IF(AND(ISNUMBER(C288),ISNUMBER(D288)),C288-D288,IF(AND(C288="Не найдено",ISNUMBER(D288)),"Появился",IF(AND(ISNUMBER(C288),D288="Не найдено"),"Не найдено","Нет сравнения")))</x:f>
        <x:v>Появился</x:v>
      </x:c>
      <x:c r="F288" s="16" t="str">
        <x:v>https://kozhaclinic.ru/lazernaya-kosmetologiya/lazernaya-epilyaciya/dlya-zhenshchin/</x:v>
      </x:c>
      <x:c r="G288" s="27" t="n">
        <x:v>1</x:v>
      </x:c>
      <x:c r="H288" s="27" t="n">
        <x:v>1</x:v>
      </x:c>
      <x:c r="I288" s="29" t="n">
        <x:f>IF(AND(ISNUMBER(G288),ISNUMBER(H288)),G288-H288,IF(AND(G288="Не найдено",ISNUMBER(H288)),"Появился",IF(AND(ISNUMBER(G288),H288="Не найдено"),"Не найдено","Нет сравнения")))</x:f>
        <x:v>0</x:v>
      </x:c>
      <x:c r="J288" s="16" t="str">
        <x:v>https://kozhaclinic.ru/lazernaya-kosmetologiya/lazernaya-epilyaciya/dlya-zhenshchin/</x:v>
      </x:c>
    </x:row>
    <x:row r="289" ht="40" customHeight="1">
      <x:c r="A289" s="12" t="str">
        <x:v>лазерная эпиляция для женщин сургут</x:v>
      </x:c>
      <x:c r="B289" s="12" t="str">
        <x:v>Лазерная эпиляция для женщин</x:v>
      </x:c>
      <x:c r="C289" s="26" t="n">
        <x:v>2</x:v>
      </x:c>
      <x:c r="D289" s="26" t="n">
        <x:v>3</x:v>
      </x:c>
      <x:c r="E289" s="28" t="n">
        <x:f>IF(AND(ISNUMBER(C289),ISNUMBER(D289)),C289-D289,IF(AND(C289="Не найдено",ISNUMBER(D289)),"Появился",IF(AND(ISNUMBER(C289),D289="Не найдено"),"Не найдено","Нет сравнения")))</x:f>
        <x:v>-1</x:v>
      </x:c>
      <x:c r="F289" s="15" t="str">
        <x:v>https://kozhaclinic.ru/lazernaya-kosmetologiya/lazernaya-epilyaciya/dlya-zhenshchin/</x:v>
      </x:c>
      <x:c r="G289" s="26" t="n">
        <x:v>3</x:v>
      </x:c>
      <x:c r="H289" s="26" t="n">
        <x:v>2</x:v>
      </x:c>
      <x:c r="I289" s="28" t="n">
        <x:f>IF(AND(ISNUMBER(G289),ISNUMBER(H289)),G289-H289,IF(AND(G289="Не найдено",ISNUMBER(H289)),"Появился",IF(AND(ISNUMBER(G289),H289="Не найдено"),"Не найдено","Нет сравнения")))</x:f>
        <x:v>1</x:v>
      </x:c>
      <x:c r="J289" s="15" t="str">
        <x:v>https://kozhaclinic.ru/lazernaya-kosmetologiya/lazernaya-epilyaciya/</x:v>
      </x:c>
    </x:row>
    <x:row r="290" ht="40" customHeight="1">
      <x:c r="A290" s="14" t="str">
        <x:v>эпиляция для женщин сургут</x:v>
      </x:c>
      <x:c r="B290" s="14" t="str">
        <x:v>Лазерная эпиляция для женщин</x:v>
      </x:c>
      <x:c r="C290" s="27" t="n">
        <x:v>4</x:v>
      </x:c>
      <x:c r="D290" s="27" t="n">
        <x:v>3</x:v>
      </x:c>
      <x:c r="E290" s="29" t="n">
        <x:f>IF(AND(ISNUMBER(C290),ISNUMBER(D290)),C290-D290,IF(AND(C290="Не найдено",ISNUMBER(D290)),"Появился",IF(AND(ISNUMBER(C290),D290="Не найдено"),"Не найдено","Нет сравнения")))</x:f>
        <x:v>1</x:v>
      </x:c>
      <x:c r="F290" s="16" t="str">
        <x:v>https://kozhaclinic.ru/lazernaya-kosmetologiya/lazernaya-epilyaciya/dlya-zhenshchin/</x:v>
      </x:c>
      <x:c r="G290" s="27" t="n">
        <x:v>3</x:v>
      </x:c>
      <x:c r="H290" s="27" t="n">
        <x:v>3</x:v>
      </x:c>
      <x:c r="I290" s="29" t="n">
        <x:f>IF(AND(ISNUMBER(G290),ISNUMBER(H290)),G290-H290,IF(AND(G290="Не найдено",ISNUMBER(H290)),"Появился",IF(AND(ISNUMBER(G290),H290="Не найдено"),"Не найдено","Нет сравнения")))</x:f>
        <x:v>0</x:v>
      </x:c>
      <x:c r="J290" s="16" t="str">
        <x:v>https://kozhaclinic.ru/lazernaya-kosmetologiya/lazernaya-epilyaciya/</x:v>
      </x:c>
    </x:row>
    <x:row r="291" ht="40" customHeight="1">
      <x:c r="A291" s="12" t="str">
        <x:v>лазерная эпиляция лица для мужчин сургут</x:v>
      </x:c>
      <x:c r="B291" s="12" t="str">
        <x:v>Лазерная эпиляция для мужчин</x:v>
      </x:c>
      <x:c r="C291" s="26" t="n">
        <x:v>2</x:v>
      </x:c>
      <x:c r="D291" s="26" t="n">
        <x:v>4</x:v>
      </x:c>
      <x:c r="E291" s="28" t="n">
        <x:f>IF(AND(ISNUMBER(C291),ISNUMBER(D291)),C291-D291,IF(AND(C291="Не найдено",ISNUMBER(D291)),"Появился",IF(AND(ISNUMBER(C291),D291="Не найдено"),"Не найдено","Нет сравнения")))</x:f>
        <x:v>-2</x:v>
      </x:c>
      <x:c r="F291" s="15" t="str">
        <x:v>https://kozhaclinic.ru/lazernaya-kosmetologiya/lazernaya-epilyaciya/litsa-dlya-muzhchin/</x:v>
      </x:c>
      <x:c r="G291" s="26" t="n">
        <x:v>2</x:v>
      </x:c>
      <x:c r="H291" s="26" t="n">
        <x:v>3</x:v>
      </x:c>
      <x:c r="I291" s="28" t="n">
        <x:f>IF(AND(ISNUMBER(G291),ISNUMBER(H291)),G291-H291,IF(AND(G291="Не найдено",ISNUMBER(H291)),"Появился",IF(AND(ISNUMBER(G291),H291="Не найдено"),"Не найдено","Нет сравнения")))</x:f>
        <x:v>-1</x:v>
      </x:c>
      <x:c r="J291" s="15" t="str">
        <x:v>https://kozhaclinic.ru/lazernaya-kosmetologiya/lazernaya-epilyaciya/dlya-muzhchin/</x:v>
      </x:c>
    </x:row>
    <x:row r="292" ht="40" customHeight="1">
      <x:c r="A292" s="14" t="str">
        <x:v>лазерная эпиляция лица для мужчин</x:v>
      </x:c>
      <x:c r="B292" s="14" t="str">
        <x:v>Лазерная эпиляция для мужчин</x:v>
      </x:c>
      <x:c r="C292" s="27" t="n">
        <x:v>9</x:v>
      </x:c>
      <x:c r="D292" s="27" t="n">
        <x:v>4</x:v>
      </x:c>
      <x:c r="E292" s="29" t="n">
        <x:f>IF(AND(ISNUMBER(C292),ISNUMBER(D292)),C292-D292,IF(AND(C292="Не найдено",ISNUMBER(D292)),"Появился",IF(AND(ISNUMBER(C292),D292="Не найдено"),"Не найдено","Нет сравнения")))</x:f>
        <x:v>5</x:v>
      </x:c>
      <x:c r="F292" s="16" t="str">
        <x:v>https://kozhaclinic.ru/lazernaya-kosmetologiya/lazernaya-epilyaciya/litsa-dlya-muzhchin/</x:v>
      </x:c>
      <x:c r="G292" s="27" t="n">
        <x:v>3</x:v>
      </x:c>
      <x:c r="H292" s="27" t="n">
        <x:v>3</x:v>
      </x:c>
      <x:c r="I292" s="29" t="n">
        <x:f>IF(AND(ISNUMBER(G292),ISNUMBER(H292)),G292-H292,IF(AND(G292="Не найдено",ISNUMBER(H292)),"Появился",IF(AND(ISNUMBER(G292),H292="Не найдено"),"Не найдено","Нет сравнения")))</x:f>
        <x:v>0</x:v>
      </x:c>
      <x:c r="J292" s="16" t="str">
        <x:v>https://kozhaclinic.ru/lazernaya-kosmetologiya/lazernaya-epilyaciya/litsa-dlya-muzhchin/</x:v>
      </x:c>
    </x:row>
    <x:row r="293" ht="40" customHeight="1">
      <x:c r="A293" s="12" t="str">
        <x:v>лазерная эпиляция для мужчин сургут</x:v>
      </x:c>
      <x:c r="B293" s="12" t="str">
        <x:v>Лазерная эпиляция для мужчин</x:v>
      </x:c>
      <x:c r="C293" s="26" t="n">
        <x:v>3</x:v>
      </x:c>
      <x:c r="D293" s="26" t="n">
        <x:v>4</x:v>
      </x:c>
      <x:c r="E293" s="28" t="n">
        <x:f>IF(AND(ISNUMBER(C293),ISNUMBER(D293)),C293-D293,IF(AND(C293="Не найдено",ISNUMBER(D293)),"Появился",IF(AND(ISNUMBER(C293),D293="Не найдено"),"Не найдено","Нет сравнения")))</x:f>
        <x:v>-1</x:v>
      </x:c>
      <x:c r="F293" s="15" t="str">
        <x:v>https://kozhaclinic.ru/lazernaya-kosmetologiya/lazernaya-epilyaciya/dlya-muzhchin/</x:v>
      </x:c>
      <x:c r="G293" s="26" t="n">
        <x:v>3</x:v>
      </x:c>
      <x:c r="H293" s="26" t="n">
        <x:v>2</x:v>
      </x:c>
      <x:c r="I293" s="28" t="n">
        <x:f>IF(AND(ISNUMBER(G293),ISNUMBER(H293)),G293-H293,IF(AND(G293="Не найдено",ISNUMBER(H293)),"Появился",IF(AND(ISNUMBER(G293),H293="Не найдено"),"Не найдено","Нет сравнения")))</x:f>
        <x:v>1</x:v>
      </x:c>
      <x:c r="J293" s="15" t="str">
        <x:v>https://kozhaclinic.ru/lazernaya-kosmetologiya/lazernaya-epilyaciya/dlya-muzhchin/</x:v>
      </x:c>
    </x:row>
    <x:row r="294" ht="40" customHeight="1">
      <x:c r="A294" s="14" t="str">
        <x:v>эпиляция для мужчин сургут</x:v>
      </x:c>
      <x:c r="B294" s="14" t="str">
        <x:v>Лазерная эпиляция для мужчин</x:v>
      </x:c>
      <x:c r="C294" s="27" t="n">
        <x:v>6</x:v>
      </x:c>
      <x:c r="D294" s="27" t="n">
        <x:v>4</x:v>
      </x:c>
      <x:c r="E294" s="29" t="n">
        <x:f>IF(AND(ISNUMBER(C294),ISNUMBER(D294)),C294-D294,IF(AND(C294="Не найдено",ISNUMBER(D294)),"Появился",IF(AND(ISNUMBER(C294),D294="Не найдено"),"Не найдено","Нет сравнения")))</x:f>
        <x:v>2</x:v>
      </x:c>
      <x:c r="F294" s="16" t="str">
        <x:v>https://kozhaclinic.ru/lazernaya-kosmetologiya/lazernaya-epilyaciya/dlya-muzhchin/</x:v>
      </x:c>
      <x:c r="G294" s="27" t="n">
        <x:v>3</x:v>
      </x:c>
      <x:c r="H294" s="27" t="n">
        <x:v>3</x:v>
      </x:c>
      <x:c r="I294" s="29" t="n">
        <x:f>IF(AND(ISNUMBER(G294),ISNUMBER(H294)),G294-H294,IF(AND(G294="Не найдено",ISNUMBER(H294)),"Появился",IF(AND(ISNUMBER(G294),H294="Не найдено"),"Не найдено","Нет сравнения")))</x:f>
        <x:v>0</x:v>
      </x:c>
      <x:c r="J294" s="16" t="str">
        <x:v>https://kozhaclinic.ru/lazernaya-kosmetologiya/lazernaya-epilyaciya/dlya-muzhchin/</x:v>
      </x:c>
    </x:row>
    <x:row r="295" ht="40" customHeight="1">
      <x:c r="A295" s="12" t="str">
        <x:v>лазерная эпиляция сургут</x:v>
      </x:c>
      <x:c r="B295" s="12" t="str">
        <x:v>Лазерная эпиляция</x:v>
      </x:c>
      <x:c r="C295" s="26" t="n">
        <x:v>12</x:v>
      </x:c>
      <x:c r="D295" s="26" t="n">
        <x:v>12</x:v>
      </x:c>
      <x:c r="E295" s="28" t="n">
        <x:f>IF(AND(ISNUMBER(C295),ISNUMBER(D295)),C295-D295,IF(AND(C295="Не найдено",ISNUMBER(D295)),"Появился",IF(AND(ISNUMBER(C295),D295="Не найдено"),"Не найдено","Нет сравнения")))</x:f>
        <x:v>0</x:v>
      </x:c>
      <x:c r="F295" s="15" t="str">
        <x:v>https://kozhaclinic.ru/lazernaya-kosmetologiya/lazernaya-epilyaciya/</x:v>
      </x:c>
      <x:c r="G295" s="26" t="n">
        <x:v>4</x:v>
      </x:c>
      <x:c r="H295" s="26" t="n">
        <x:v>4</x:v>
      </x:c>
      <x:c r="I295" s="28" t="n">
        <x:f>IF(AND(ISNUMBER(G295),ISNUMBER(H295)),G295-H295,IF(AND(G295="Не найдено",ISNUMBER(H295)),"Появился",IF(AND(ISNUMBER(G295),H295="Не найдено"),"Не найдено","Нет сравнения")))</x:f>
        <x:v>0</x:v>
      </x:c>
      <x:c r="J295" s="15" t="str">
        <x:v>https://kozhaclinic.ru/lazernaya-kosmetologiya/lazernaya-epilyaciya/</x:v>
      </x:c>
    </x:row>
    <x:row r="296" ht="40" customHeight="1">
      <x:c r="A296" s="14" t="str">
        <x:v>лазерная эпиляция цена</x:v>
      </x:c>
      <x:c r="B296" s="14" t="str">
        <x:v>Лазерная эпиляция</x:v>
      </x:c>
      <x:c r="C296" s="27" t="n">
        <x:v>16</x:v>
      </x:c>
      <x:c r="D296" s="27" t="n">
        <x:v>5</x:v>
      </x:c>
      <x:c r="E296" s="29" t="n">
        <x:f>IF(AND(ISNUMBER(C296),ISNUMBER(D296)),C296-D296,IF(AND(C296="Не найдено",ISNUMBER(D296)),"Появился",IF(AND(ISNUMBER(C296),D296="Не найдено"),"Не найдено","Нет сравнения")))</x:f>
        <x:v>11</x:v>
      </x:c>
      <x:c r="F296" s="16" t="str">
        <x:v>https://kozhaclinic.ru/ustranenie-nezhelatelnykh-volos/</x:v>
      </x:c>
      <x:c r="G296" s="27" t="n">
        <x:v>1</x:v>
      </x:c>
      <x:c r="H296" s="27" t="n">
        <x:v>2</x:v>
      </x:c>
      <x:c r="I296" s="29" t="n">
        <x:f>IF(AND(ISNUMBER(G296),ISNUMBER(H296)),G296-H296,IF(AND(G296="Не найдено",ISNUMBER(H296)),"Появился",IF(AND(ISNUMBER(G296),H296="Не найдено"),"Не найдено","Нет сравнения")))</x:f>
        <x:v>-1</x:v>
      </x:c>
      <x:c r="J296" s="16" t="str">
        <x:v>https://kozhaclinic.ru/lazernaya-kosmetologiya/lazernaya-epilyaciya/</x:v>
      </x:c>
    </x:row>
    <x:row r="297" ht="40" customHeight="1">
      <x:c r="A297" s="12" t="str">
        <x:v>эпиляция сургут</x:v>
      </x:c>
      <x:c r="B297" s="12" t="str">
        <x:v>Лазерная эпиляция</x:v>
      </x:c>
      <x:c r="C297" s="26" t="n">
        <x:v>14</x:v>
      </x:c>
      <x:c r="D297" s="26" t="str">
        <x:v>Не найдено</x:v>
      </x:c>
      <x:c r="E297" s="28" t="str">
        <x:f>IF(AND(ISNUMBER(C297),ISNUMBER(D297)),C297-D297,IF(AND(C297="Не найдено",ISNUMBER(D297)),"Появился",IF(AND(ISNUMBER(C297),D297="Не найдено"),"Не найдено","Нет сравнения")))</x:f>
        <x:v>Не найдено</x:v>
      </x:c>
      <x:c r="F297" s="12"/>
      <x:c r="G297" s="26" t="n">
        <x:v>5</x:v>
      </x:c>
      <x:c r="H297" s="26" t="n">
        <x:v>4</x:v>
      </x:c>
      <x:c r="I297" s="28" t="n">
        <x:f>IF(AND(ISNUMBER(G297),ISNUMBER(H297)),G297-H297,IF(AND(G297="Не найдено",ISNUMBER(H297)),"Появился",IF(AND(ISNUMBER(G297),H297="Не найдено"),"Не найдено","Нет сравнения")))</x:f>
        <x:v>1</x:v>
      </x:c>
      <x:c r="J297" s="15" t="str">
        <x:v>https://kozhaclinic.ru/lazernaya-kosmetologiya/lazernaya-epilyaciya/</x:v>
      </x:c>
    </x:row>
    <x:row r="298" ht="40" customHeight="1">
      <x:c r="A298" s="14" t="str">
        <x:v>эпиляция цена</x:v>
      </x:c>
      <x:c r="B298" s="14" t="str">
        <x:v>Лазерная эпиляция</x:v>
      </x:c>
      <x:c r="C298" s="27" t="n">
        <x:v>15</x:v>
      </x:c>
      <x:c r="D298" s="27" t="n">
        <x:v>6</x:v>
      </x:c>
      <x:c r="E298" s="29" t="n">
        <x:f>IF(AND(ISNUMBER(C298),ISNUMBER(D298)),C298-D298,IF(AND(C298="Не найдено",ISNUMBER(D298)),"Появился",IF(AND(ISNUMBER(C298),D298="Не найдено"),"Не найдено","Нет сравнения")))</x:f>
        <x:v>9</x:v>
      </x:c>
      <x:c r="F298" s="16" t="str">
        <x:v>https://kozhaclinic.ru/ustranenie-nezhelatelnykh-volos/</x:v>
      </x:c>
      <x:c r="G298" s="27" t="n">
        <x:v>3</x:v>
      </x:c>
      <x:c r="H298" s="27" t="n">
        <x:v>3</x:v>
      </x:c>
      <x:c r="I298" s="29" t="n">
        <x:f>IF(AND(ISNUMBER(G298),ISNUMBER(H298)),G298-H298,IF(AND(G298="Не найдено",ISNUMBER(H298)),"Появился",IF(AND(ISNUMBER(G298),H298="Не найдено"),"Не найдено","Нет сравнения")))</x:f>
        <x:v>0</x:v>
      </x:c>
      <x:c r="J298" s="16" t="str">
        <x:v>https://kozhaclinic.ru/lazernaya-kosmetologiya/lazernaya-epilyaciya/dlya-zhenshchin/</x:v>
      </x:c>
    </x:row>
    <x:row r="299" ht="40" customHeight="1">
      <x:c r="A299" s="12" t="str">
        <x:v>эпиляция цены сургут</x:v>
      </x:c>
      <x:c r="B299" s="12" t="str">
        <x:v>Лазерная эпиляция</x:v>
      </x:c>
      <x:c r="C299" s="26" t="n">
        <x:v>15</x:v>
      </x:c>
      <x:c r="D299" s="26" t="n">
        <x:v>11</x:v>
      </x:c>
      <x:c r="E299" s="28" t="n">
        <x:f>IF(AND(ISNUMBER(C299),ISNUMBER(D299)),C299-D299,IF(AND(C299="Не найдено",ISNUMBER(D299)),"Появился",IF(AND(ISNUMBER(C299),D299="Не найдено"),"Не найдено","Нет сравнения")))</x:f>
        <x:v>4</x:v>
      </x:c>
      <x:c r="F299" s="15" t="str">
        <x:v>https://kozhaclinic.ru/ceny-prajs-list/</x:v>
      </x:c>
      <x:c r="G299" s="26" t="n">
        <x:v>1</x:v>
      </x:c>
      <x:c r="H299" s="26" t="n">
        <x:v>3</x:v>
      </x:c>
      <x:c r="I299" s="28" t="n">
        <x:f>IF(AND(ISNUMBER(G299),ISNUMBER(H299)),G299-H299,IF(AND(G299="Не найдено",ISNUMBER(H299)),"Появился",IF(AND(ISNUMBER(G299),H299="Не найдено"),"Не найдено","Нет сравнения")))</x:f>
        <x:v>-2</x:v>
      </x:c>
      <x:c r="J299" s="15" t="str">
        <x:v>https://kozhaclinic.ru/lazernaya-kosmetologiya/lazernaya-epilyaciya/dlya-zhenshchin/</x:v>
      </x:c>
    </x:row>
    <x:row r="300" ht="40" customHeight="1">
      <x:c r="A300" s="14" t="str">
        <x:v>лазерная косметология</x:v>
      </x:c>
      <x:c r="B300" s="14" t="str">
        <x:v>Лазерная косметология</x:v>
      </x:c>
      <x:c r="C300" s="27" t="n">
        <x:v>3</x:v>
      </x:c>
      <x:c r="D300" s="27" t="n">
        <x:v>1</x:v>
      </x:c>
      <x:c r="E300" s="29" t="n">
        <x:f>IF(AND(ISNUMBER(C300),ISNUMBER(D300)),C300-D300,IF(AND(C300="Не найдено",ISNUMBER(D300)),"Появился",IF(AND(ISNUMBER(C300),D300="Не найдено"),"Не найдено","Нет сравнения")))</x:f>
        <x:v>2</x:v>
      </x:c>
      <x:c r="F300" s="16" t="str">
        <x:v>https://kozhaclinic.ru/lazernaya-kosmetologiya/</x:v>
      </x:c>
      <x:c r="G300" s="27" t="n">
        <x:v>1</x:v>
      </x:c>
      <x:c r="H300" s="27" t="n">
        <x:v>1</x:v>
      </x:c>
      <x:c r="I300" s="29" t="n">
        <x:f>IF(AND(ISNUMBER(G300),ISNUMBER(H300)),G300-H300,IF(AND(G300="Не найдено",ISNUMBER(H300)),"Появился",IF(AND(ISNUMBER(G300),H300="Не найдено"),"Не найдено","Нет сравнения")))</x:f>
        <x:v>0</x:v>
      </x:c>
      <x:c r="J300" s="16" t="str">
        <x:v>https://kozhaclinic.ru/lazernaya-kosmetologiya/</x:v>
      </x:c>
    </x:row>
    <x:row r="301" ht="40" customHeight="1">
      <x:c r="A301" s="12" t="str">
        <x:v>лазерная косметология сургут</x:v>
      </x:c>
      <x:c r="B301" s="12" t="str">
        <x:v>Лазерная косметология</x:v>
      </x:c>
      <x:c r="C301" s="26" t="n">
        <x:v>10</x:v>
      </x:c>
      <x:c r="D301" s="26" t="n">
        <x:v>3</x:v>
      </x:c>
      <x:c r="E301" s="28" t="n">
        <x:f>IF(AND(ISNUMBER(C301),ISNUMBER(D301)),C301-D301,IF(AND(C301="Не найдено",ISNUMBER(D301)),"Появился",IF(AND(ISNUMBER(C301),D301="Не найдено"),"Не найдено","Нет сравнения")))</x:f>
        <x:v>7</x:v>
      </x:c>
      <x:c r="F301" s="15" t="str">
        <x:v>https://kozhaclinic.ru/</x:v>
      </x:c>
      <x:c r="G301" s="26" t="n">
        <x:v>5</x:v>
      </x:c>
      <x:c r="H301" s="26" t="n">
        <x:v>4</x:v>
      </x:c>
      <x:c r="I301" s="28" t="n">
        <x:f>IF(AND(ISNUMBER(G301),ISNUMBER(H301)),G301-H301,IF(AND(G301="Не найдено",ISNUMBER(H301)),"Появился",IF(AND(ISNUMBER(G301),H301="Не найдено"),"Не найдено","Нет сравнения")))</x:f>
        <x:v>1</x:v>
      </x:c>
      <x:c r="J301" s="15" t="str">
        <x:v>https://kozhaclinic.ru/lazernaya-kosmetologiya/</x:v>
      </x:c>
    </x:row>
    <x:row r="302" ht="40" customHeight="1">
      <x:c r="A302" s="14" t="str">
        <x:v>витаминные капельницы сургут</x:v>
      </x:c>
      <x:c r="B302" s="14" t="str">
        <x:v>Витаминные капельницы (iv терапия)</x:v>
      </x:c>
      <x:c r="C302" s="27" t="n">
        <x:v>10</x:v>
      </x:c>
      <x:c r="D302" s="27" t="n">
        <x:v>8</x:v>
      </x:c>
      <x:c r="E302" s="29" t="n">
        <x:f>IF(AND(ISNUMBER(C302),ISNUMBER(D302)),C302-D302,IF(AND(C302="Не найдено",ISNUMBER(D302)),"Появился",IF(AND(ISNUMBER(C302),D302="Не найдено"),"Не найдено","Нет сравнения")))</x:f>
        <x:v>2</x:v>
      </x:c>
      <x:c r="F302" s="16" t="str">
        <x:v>https://kozhaclinic.ru/iv-terapiya/immunostimulyatsiya/</x:v>
      </x:c>
      <x:c r="G302" s="27" t="n">
        <x:v>1</x:v>
      </x:c>
      <x:c r="H302" s="27" t="n">
        <x:v>3</x:v>
      </x:c>
      <x:c r="I302" s="29" t="n">
        <x:f>IF(AND(ISNUMBER(G302),ISNUMBER(H302)),G302-H302,IF(AND(G302="Не найдено",ISNUMBER(H302)),"Появился",IF(AND(ISNUMBER(G302),H302="Не найдено"),"Не найдено","Нет сравнения")))</x:f>
        <x:v>-2</x:v>
      </x:c>
      <x:c r="J302" s="16" t="str">
        <x:v>https://kozhaclinic.ru/iv-terapiya/</x:v>
      </x:c>
    </x:row>
    <x:row r="303" ht="40" customHeight="1">
      <x:c r="A303" s="12" t="str">
        <x:v>iv терапия сургут</x:v>
      </x:c>
      <x:c r="B303" s="12" t="str">
        <x:v>Витаминные капельницы (iv терапия)</x:v>
      </x:c>
      <x:c r="C303" s="26" t="n">
        <x:v>2</x:v>
      </x:c>
      <x:c r="D303" s="26" t="n">
        <x:v>2</x:v>
      </x:c>
      <x:c r="E303" s="28" t="n">
        <x:f>IF(AND(ISNUMBER(C303),ISNUMBER(D303)),C303-D303,IF(AND(C303="Не найдено",ISNUMBER(D303)),"Появился",IF(AND(ISNUMBER(C303),D303="Не найдено"),"Не найдено","Нет сравнения")))</x:f>
        <x:v>0</x:v>
      </x:c>
      <x:c r="F303" s="15" t="str">
        <x:v>https://kozhaclinic.ru/iv-terapiya/</x:v>
      </x:c>
      <x:c r="G303" s="26" t="n">
        <x:v>1</x:v>
      </x:c>
      <x:c r="H303" s="26" t="n">
        <x:v>1</x:v>
      </x:c>
      <x:c r="I303" s="28" t="n">
        <x:f>IF(AND(ISNUMBER(G303),ISNUMBER(H303)),G303-H303,IF(AND(G303="Не найдено",ISNUMBER(H303)),"Появился",IF(AND(ISNUMBER(G303),H303="Не найдено"),"Не найдено","Нет сравнения")))</x:f>
        <x:v>0</x:v>
      </x:c>
      <x:c r="J303" s="15" t="str">
        <x:v>https://kozhaclinic.ru/iv-terapiya/</x:v>
      </x:c>
    </x:row>
    <x:row r="304" ht="40" customHeight="1">
      <x:c r="A304" s="14" t="str">
        <x:v>клиника косметологии сургут</x:v>
      </x:c>
      <x:c r="B304" s="14" t="str">
        <x:v>Косметология</x:v>
      </x:c>
      <x:c r="C304" s="27" t="n">
        <x:v>2</x:v>
      </x:c>
      <x:c r="D304" s="27" t="n">
        <x:v>2</x:v>
      </x:c>
      <x:c r="E304" s="29" t="n">
        <x:f>IF(AND(ISNUMBER(C304),ISNUMBER(D304)),C304-D304,IF(AND(C304="Не найдено",ISNUMBER(D304)),"Появился",IF(AND(ISNUMBER(C304),D304="Не найдено"),"Не найдено","Нет сравнения")))</x:f>
        <x:v>0</x:v>
      </x:c>
      <x:c r="F304" s="16" t="str">
        <x:v>https://kozhaclinic.ru/</x:v>
      </x:c>
      <x:c r="G304" s="27" t="n">
        <x:v>2</x:v>
      </x:c>
      <x:c r="H304" s="27" t="n">
        <x:v>2</x:v>
      </x:c>
      <x:c r="I304" s="29" t="n">
        <x:f>IF(AND(ISNUMBER(G304),ISNUMBER(H304)),G304-H304,IF(AND(G304="Не найдено",ISNUMBER(H304)),"Появился",IF(AND(ISNUMBER(G304),H304="Не найдено"),"Не найдено","Нет сравнения")))</x:f>
        <x:v>0</x:v>
      </x:c>
      <x:c r="J304" s="16" t="str">
        <x:v>https://kozhaclinic.ru/</x:v>
      </x:c>
    </x:row>
    <x:row r="305" ht="40" customHeight="1">
      <x:c r="A305" s="12" t="str">
        <x:v>кожа сургут клиника косметологии</x:v>
      </x:c>
      <x:c r="B305" s="12" t="str">
        <x:v>Косметология</x:v>
      </x:c>
      <x:c r="C305" s="26" t="n">
        <x:v>1</x:v>
      </x:c>
      <x:c r="D305" s="26" t="n">
        <x:v>1</x:v>
      </x:c>
      <x:c r="E305" s="28" t="n">
        <x:f>IF(AND(ISNUMBER(C305),ISNUMBER(D305)),C305-D305,IF(AND(C305="Не найдено",ISNUMBER(D305)),"Появился",IF(AND(ISNUMBER(C305),D305="Не найдено"),"Не найдено","Нет сравнения")))</x:f>
        <x:v>0</x:v>
      </x:c>
      <x:c r="F305" s="15" t="str">
        <x:v>https://kozhaclinic.ru/</x:v>
      </x:c>
      <x:c r="G305" s="26" t="n">
        <x:v>1</x:v>
      </x:c>
      <x:c r="H305" s="26" t="n">
        <x:v>1</x:v>
      </x:c>
      <x:c r="I305" s="28" t="n">
        <x:f>IF(AND(ISNUMBER(G305),ISNUMBER(H305)),G305-H305,IF(AND(G305="Не найдено",ISNUMBER(H305)),"Появился",IF(AND(ISNUMBER(G305),H305="Не найдено"),"Не найдено","Нет сравнения")))</x:f>
        <x:v>0</x:v>
      </x:c>
      <x:c r="J305" s="15" t="str">
        <x:v>https://kozhaclinic.ru/ceny-prajs-list/</x:v>
      </x:c>
    </x:row>
    <x:row r="306" ht="40" customHeight="1">
      <x:c r="A306" s="14" t="str">
        <x:v>косметологическая клиника сургут</x:v>
      </x:c>
      <x:c r="B306" s="14" t="str">
        <x:v>Косметология</x:v>
      </x:c>
      <x:c r="C306" s="27" t="n">
        <x:v>2</x:v>
      </x:c>
      <x:c r="D306" s="27" t="n">
        <x:v>5</x:v>
      </x:c>
      <x:c r="E306" s="29" t="n">
        <x:f>IF(AND(ISNUMBER(C306),ISNUMBER(D306)),C306-D306,IF(AND(C306="Не найдено",ISNUMBER(D306)),"Появился",IF(AND(ISNUMBER(C306),D306="Не найдено"),"Не найдено","Нет сравнения")))</x:f>
        <x:v>-3</x:v>
      </x:c>
      <x:c r="F306" s="16" t="str">
        <x:v>https://kozhaclinic.ru/</x:v>
      </x:c>
      <x:c r="G306" s="27" t="n">
        <x:v>2</x:v>
      </x:c>
      <x:c r="H306" s="27" t="n">
        <x:v>4</x:v>
      </x:c>
      <x:c r="I306" s="29" t="n">
        <x:f>IF(AND(ISNUMBER(G306),ISNUMBER(H306)),G306-H306,IF(AND(G306="Не найдено",ISNUMBER(H306)),"Появился",IF(AND(ISNUMBER(G306),H306="Не найдено"),"Не найдено","Нет сравнения")))</x:f>
        <x:v>-2</x:v>
      </x:c>
      <x:c r="J306" s="16" t="str">
        <x:v>https://kozhaclinic.ru/</x:v>
      </x:c>
    </x:row>
    <x:row r="307" ht="40" customHeight="1">
      <x:c r="A307" s="12" t="str">
        <x:v>косметологические процедуры</x:v>
      </x:c>
      <x:c r="B307" s="12" t="str">
        <x:v>Косметология</x:v>
      </x:c>
      <x:c r="C307" s="26" t="n">
        <x:v>3</x:v>
      </x:c>
      <x:c r="D307" s="26" t="n">
        <x:v>2</x:v>
      </x:c>
      <x:c r="E307" s="28" t="n">
        <x:f>IF(AND(ISNUMBER(C307),ISNUMBER(D307)),C307-D307,IF(AND(C307="Не найдено",ISNUMBER(D307)),"Появился",IF(AND(ISNUMBER(C307),D307="Не найдено"),"Не найдено","Нет сравнения")))</x:f>
        <x:v>1</x:v>
      </x:c>
      <x:c r="F307" s="15" t="str">
        <x:v>https://kozhaclinic.ru/apparatnaya-kosmetologiya/</x:v>
      </x:c>
      <x:c r="G307" s="26" t="str">
        <x:v>Не найдено</x:v>
      </x:c>
      <x:c r="H307" s="26" t="str">
        <x:v>Не найдено</x:v>
      </x:c>
      <x:c r="I307" s="28" t="str">
        <x:f>IF(AND(ISNUMBER(G307),ISNUMBER(H307)),G307-H307,IF(AND(G307="Не найдено",ISNUMBER(H307)),"Появился",IF(AND(ISNUMBER(G307),H307="Не найдено"),"Не найдено","Нет сравнения")))</x:f>
        <x:v>Нет сравнения</x:v>
      </x:c>
      <x:c r="J307" s="12"/>
    </x:row>
    <x:row r="308" ht="40" customHeight="1">
      <x:c r="A308" s="14" t="str">
        <x:v>косметологические услуги</x:v>
      </x:c>
      <x:c r="B308" s="14" t="str">
        <x:v>Косметология</x:v>
      </x:c>
      <x:c r="C308" s="27" t="n">
        <x:v>7</x:v>
      </x:c>
      <x:c r="D308" s="27" t="n">
        <x:v>6</x:v>
      </x:c>
      <x:c r="E308" s="29" t="n">
        <x:f>IF(AND(ISNUMBER(C308),ISNUMBER(D308)),C308-D308,IF(AND(C308="Не найдено",ISNUMBER(D308)),"Появился",IF(AND(ISNUMBER(C308),D308="Не найдено"),"Не найдено","Нет сравнения")))</x:f>
        <x:v>1</x:v>
      </x:c>
      <x:c r="F308" s="16" t="str">
        <x:v>https://kozhaclinic.ru/ceny-prajs-list/</x:v>
      </x:c>
      <x:c r="G308" s="27" t="str">
        <x:v>Не найдено</x:v>
      </x:c>
      <x:c r="H308" s="27" t="str">
        <x:v>Не найдено</x:v>
      </x:c>
      <x:c r="I308" s="29" t="str">
        <x:f>IF(AND(ISNUMBER(G308),ISNUMBER(H308)),G308-H308,IF(AND(G308="Не найдено",ISNUMBER(H308)),"Появился",IF(AND(ISNUMBER(G308),H308="Не найдено"),"Не найдено","Нет сравнения")))</x:f>
        <x:v>Нет сравнения</x:v>
      </x:c>
      <x:c r="J308" s="14"/>
    </x:row>
    <x:row r="309" ht="40" customHeight="1">
      <x:c r="A309" s="12" t="str">
        <x:v>косметология</x:v>
      </x:c>
      <x:c r="B309" s="12" t="str">
        <x:v>Косметология</x:v>
      </x:c>
      <x:c r="C309" s="26" t="n">
        <x:v>5</x:v>
      </x:c>
      <x:c r="D309" s="26" t="n">
        <x:v>4</x:v>
      </x:c>
      <x:c r="E309" s="28" t="n">
        <x:f>IF(AND(ISNUMBER(C309),ISNUMBER(D309)),C309-D309,IF(AND(C309="Не найдено",ISNUMBER(D309)),"Появился",IF(AND(ISNUMBER(C309),D309="Не найдено"),"Не найдено","Нет сравнения")))</x:f>
        <x:v>1</x:v>
      </x:c>
      <x:c r="F309" s="15" t="str">
        <x:v>https://kozhaclinic.ru/</x:v>
      </x:c>
      <x:c r="G309" s="26" t="n">
        <x:v>7</x:v>
      </x:c>
      <x:c r="H309" s="26" t="str">
        <x:v>Не найдено</x:v>
      </x:c>
      <x:c r="I309" s="28" t="str">
        <x:f>IF(AND(ISNUMBER(G309),ISNUMBER(H309)),G309-H309,IF(AND(G309="Не найдено",ISNUMBER(H309)),"Появился",IF(AND(ISNUMBER(G309),H309="Не найдено"),"Не найдено","Нет сравнения")))</x:f>
        <x:v>Не найдено</x:v>
      </x:c>
      <x:c r="J309" s="12"/>
    </x:row>
    <x:row r="310" ht="40" customHeight="1">
      <x:c r="A310" s="14" t="str">
        <x:v>косметология кожа сургут</x:v>
      </x:c>
      <x:c r="B310" s="14" t="str">
        <x:v>Косметология</x:v>
      </x:c>
      <x:c r="C310" s="27" t="n">
        <x:v>1</x:v>
      </x:c>
      <x:c r="D310" s="27" t="n">
        <x:v>1</x:v>
      </x:c>
      <x:c r="E310" s="29" t="n">
        <x:f>IF(AND(ISNUMBER(C310),ISNUMBER(D310)),C310-D310,IF(AND(C310="Не найдено",ISNUMBER(D310)),"Появился",IF(AND(ISNUMBER(C310),D310="Не найдено"),"Не найдено","Нет сравнения")))</x:f>
        <x:v>0</x:v>
      </x:c>
      <x:c r="F310" s="16" t="str">
        <x:v>https://kozhaclinic.ru/</x:v>
      </x:c>
      <x:c r="G310" s="27" t="n">
        <x:v>1</x:v>
      </x:c>
      <x:c r="H310" s="27" t="n">
        <x:v>1</x:v>
      </x:c>
      <x:c r="I310" s="29" t="n">
        <x:f>IF(AND(ISNUMBER(G310),ISNUMBER(H310)),G310-H310,IF(AND(G310="Не найдено",ISNUMBER(H310)),"Появился",IF(AND(ISNUMBER(G310),H310="Не найдено"),"Не найдено","Нет сравнения")))</x:f>
        <x:v>0</x:v>
      </x:c>
      <x:c r="J310" s="16" t="str">
        <x:v>https://kozhaclinic.ru/</x:v>
      </x:c>
    </x:row>
    <x:row r="311" ht="40" customHeight="1">
      <x:c r="A311" s="12" t="str">
        <x:v>косметология лица сургут</x:v>
      </x:c>
      <x:c r="B311" s="12" t="str">
        <x:v>Косметология</x:v>
      </x:c>
      <x:c r="C311" s="26" t="n">
        <x:v>3</x:v>
      </x:c>
      <x:c r="D311" s="26" t="n">
        <x:v>2</x:v>
      </x:c>
      <x:c r="E311" s="28" t="n">
        <x:f>IF(AND(ISNUMBER(C311),ISNUMBER(D311)),C311-D311,IF(AND(C311="Не найдено",ISNUMBER(D311)),"Появился",IF(AND(ISNUMBER(C311),D311="Не найдено"),"Не найдено","Нет сравнения")))</x:f>
        <x:v>1</x:v>
      </x:c>
      <x:c r="F311" s="15" t="str">
        <x:v>https://kozhaclinic.ru/ceny-prajs-list/</x:v>
      </x:c>
      <x:c r="G311" s="26" t="n">
        <x:v>3</x:v>
      </x:c>
      <x:c r="H311" s="26" t="n">
        <x:v>4</x:v>
      </x:c>
      <x:c r="I311" s="28" t="n">
        <x:f>IF(AND(ISNUMBER(G311),ISNUMBER(H311)),G311-H311,IF(AND(G311="Не найдено",ISNUMBER(H311)),"Появился",IF(AND(ISNUMBER(G311),H311="Не найдено"),"Не найдено","Нет сравнения")))</x:f>
        <x:v>-1</x:v>
      </x:c>
      <x:c r="J311" s="15" t="str">
        <x:v>https://kozhaclinic.ru/</x:v>
      </x:c>
    </x:row>
    <x:row r="312" ht="40" customHeight="1">
      <x:c r="A312" s="14" t="str">
        <x:v>косметология лица цены</x:v>
      </x:c>
      <x:c r="B312" s="14" t="str">
        <x:v>Косметология</x:v>
      </x:c>
      <x:c r="C312" s="27" t="n">
        <x:v>4</x:v>
      </x:c>
      <x:c r="D312" s="27" t="n">
        <x:v>1</x:v>
      </x:c>
      <x:c r="E312" s="29" t="n">
        <x:f>IF(AND(ISNUMBER(C312),ISNUMBER(D312)),C312-D312,IF(AND(C312="Не найдено",ISNUMBER(D312)),"Появился",IF(AND(ISNUMBER(C312),D312="Не найдено"),"Не найдено","Нет сравнения")))</x:f>
        <x:v>3</x:v>
      </x:c>
      <x:c r="F312" s="16" t="str">
        <x:v>https://kozhaclinic.ru/ceny-prajs-list/</x:v>
      </x:c>
      <x:c r="G312" s="27" t="n">
        <x:v>4</x:v>
      </x:c>
      <x:c r="H312" s="27" t="str">
        <x:v>Не найдено</x:v>
      </x:c>
      <x:c r="I312" s="29" t="str">
        <x:f>IF(AND(ISNUMBER(G312),ISNUMBER(H312)),G312-H312,IF(AND(G312="Не найдено",ISNUMBER(H312)),"Появился",IF(AND(ISNUMBER(G312),H312="Не найдено"),"Не найдено","Нет сравнения")))</x:f>
        <x:v>Не найдено</x:v>
      </x:c>
      <x:c r="J312" s="14"/>
    </x:row>
    <x:row r="313" ht="40" customHeight="1">
      <x:c r="A313" s="12" t="str">
        <x:v>косметология сургут</x:v>
      </x:c>
      <x:c r="B313" s="12" t="str">
        <x:v>Косметология</x:v>
      </x:c>
      <x:c r="C313" s="26" t="n">
        <x:v>5</x:v>
      </x:c>
      <x:c r="D313" s="26" t="n">
        <x:v>5</x:v>
      </x:c>
      <x:c r="E313" s="28" t="n">
        <x:f>IF(AND(ISNUMBER(C313),ISNUMBER(D313)),C313-D313,IF(AND(C313="Не найдено",ISNUMBER(D313)),"Появился",IF(AND(ISNUMBER(C313),D313="Не найдено"),"Не найдено","Нет сравнения")))</x:f>
        <x:v>0</x:v>
      </x:c>
      <x:c r="F313" s="15" t="str">
        <x:v>https://kozhaclinic.ru/</x:v>
      </x:c>
      <x:c r="G313" s="26" t="n">
        <x:v>2</x:v>
      </x:c>
      <x:c r="H313" s="26" t="n">
        <x:v>3</x:v>
      </x:c>
      <x:c r="I313" s="28" t="n">
        <x:f>IF(AND(ISNUMBER(G313),ISNUMBER(H313)),G313-H313,IF(AND(G313="Не найдено",ISNUMBER(H313)),"Появился",IF(AND(ISNUMBER(G313),H313="Не найдено"),"Не найдено","Нет сравнения")))</x:f>
        <x:v>-1</x:v>
      </x:c>
      <x:c r="J313" s="15" t="str">
        <x:v>https://kozhaclinic.ru/</x:v>
      </x:c>
    </x:row>
    <x:row r="314" ht="40" customHeight="1">
      <x:c r="A314" s="14" t="str">
        <x:v>косметология цены</x:v>
      </x:c>
      <x:c r="B314" s="14" t="str">
        <x:v>Косметология</x:v>
      </x:c>
      <x:c r="C314" s="27" t="n">
        <x:v>4</x:v>
      </x:c>
      <x:c r="D314" s="27" t="n">
        <x:v>4</x:v>
      </x:c>
      <x:c r="E314" s="29" t="n">
        <x:f>IF(AND(ISNUMBER(C314),ISNUMBER(D314)),C314-D314,IF(AND(C314="Не найдено",ISNUMBER(D314)),"Появился",IF(AND(ISNUMBER(C314),D314="Не найдено"),"Не найдено","Нет сравнения")))</x:f>
        <x:v>0</x:v>
      </x:c>
      <x:c r="F314" s="16" t="str">
        <x:v>https://kozhaclinic.ru/ceny-prajs-list/</x:v>
      </x:c>
      <x:c r="G314" s="27" t="n">
        <x:v>5</x:v>
      </x:c>
      <x:c r="H314" s="27" t="n">
        <x:v>5</x:v>
      </x:c>
      <x:c r="I314" s="29" t="n">
        <x:f>IF(AND(ISNUMBER(G314),ISNUMBER(H314)),G314-H314,IF(AND(G314="Не найдено",ISNUMBER(H314)),"Появился",IF(AND(ISNUMBER(G314),H314="Не найдено"),"Не найдено","Нет сравнения")))</x:f>
        <x:v>0</x:v>
      </x:c>
      <x:c r="J314" s="16" t="str">
        <x:v>https://kozhaclinic.ru/ceny-prajs-list/</x:v>
      </x:c>
    </x:row>
    <x:row r="315" ht="40" customHeight="1">
      <x:c r="A315" s="12" t="str">
        <x:v>сайт косметологии сургут</x:v>
      </x:c>
      <x:c r="B315" s="12" t="str">
        <x:v>Косметология</x:v>
      </x:c>
      <x:c r="C315" s="26" t="n">
        <x:v>3</x:v>
      </x:c>
      <x:c r="D315" s="26" t="n">
        <x:v>3</x:v>
      </x:c>
      <x:c r="E315" s="28" t="n">
        <x:f>IF(AND(ISNUMBER(C315),ISNUMBER(D315)),C315-D315,IF(AND(C315="Не найдено",ISNUMBER(D315)),"Появился",IF(AND(ISNUMBER(C315),D315="Не найдено"),"Не найдено","Нет сравнения")))</x:f>
        <x:v>0</x:v>
      </x:c>
      <x:c r="F315" s="15" t="str">
        <x:v>https://kozhaclinic.ru/</x:v>
      </x:c>
      <x:c r="G315" s="26" t="n">
        <x:v>1</x:v>
      </x:c>
      <x:c r="H315" s="26" t="n">
        <x:v>1</x:v>
      </x:c>
      <x:c r="I315" s="28" t="n">
        <x:f>IF(AND(ISNUMBER(G315),ISNUMBER(H315)),G315-H315,IF(AND(G315="Не найдено",ISNUMBER(H315)),"Появился",IF(AND(ISNUMBER(G315),H315="Не найдено"),"Не найдено","Нет сравнения")))</x:f>
        <x:v>0</x:v>
      </x:c>
      <x:c r="J315" s="15" t="str">
        <x:v>https://kozhaclinic.ru/</x:v>
      </x:c>
    </x:row>
    <x:row r="316" ht="40" customHeight="1">
      <x:c r="A316" s="14" t="str">
        <x:v>услуги косметологии</x:v>
      </x:c>
      <x:c r="B316" s="14" t="str">
        <x:v>Косметология</x:v>
      </x:c>
      <x:c r="C316" s="27" t="n">
        <x:v>5</x:v>
      </x:c>
      <x:c r="D316" s="27" t="n">
        <x:v>3</x:v>
      </x:c>
      <x:c r="E316" s="29" t="n">
        <x:f>IF(AND(ISNUMBER(C316),ISNUMBER(D316)),C316-D316,IF(AND(C316="Не найдено",ISNUMBER(D316)),"Появился",IF(AND(ISNUMBER(C316),D316="Не найдено"),"Не найдено","Нет сравнения")))</x:f>
        <x:v>2</x:v>
      </x:c>
      <x:c r="F316" s="16" t="str">
        <x:v>https://kozhaclinic.ru/ceny-prajs-list/</x:v>
      </x:c>
      <x:c r="G316" s="27" t="str">
        <x:v>Не найдено</x:v>
      </x:c>
      <x:c r="H316" s="27" t="str">
        <x:v>Не найдено</x:v>
      </x:c>
      <x:c r="I316" s="29" t="str">
        <x:f>IF(AND(ISNUMBER(G316),ISNUMBER(H316)),G316-H316,IF(AND(G316="Не найдено",ISNUMBER(H316)),"Появился",IF(AND(ISNUMBER(G316),H316="Не найдено"),"Не найдено","Нет сравнения")))</x:f>
        <x:v>Нет сравнения</x:v>
      </x:c>
      <x:c r="J316" s="14"/>
    </x:row>
    <x:row r="317" ht="40" customHeight="1">
      <x:c r="A317" s="12" t="str">
        <x:v>лазерное удаление бородавок</x:v>
      </x:c>
      <x:c r="B317" s="12" t="str">
        <x:v>Удаление бородавок</x:v>
      </x:c>
      <x:c r="C317" s="26" t="n">
        <x:v>2</x:v>
      </x:c>
      <x:c r="D317" s="26" t="n">
        <x:v>9</x:v>
      </x:c>
      <x:c r="E317" s="28" t="n">
        <x:f>IF(AND(ISNUMBER(C317),ISNUMBER(D317)),C317-D317,IF(AND(C317="Не найдено",ISNUMBER(D317)),"Появился",IF(AND(ISNUMBER(C317),D317="Не найдено"),"Не найдено","Нет сравнения")))</x:f>
        <x:v>-7</x:v>
      </x:c>
      <x:c r="F317" s="15" t="str">
        <x:v>https://kozhaclinic.ru/udalenie-novoobrazovanij/udalenie-borodavok/</x:v>
      </x:c>
      <x:c r="G317" s="26" t="n">
        <x:v>2</x:v>
      </x:c>
      <x:c r="H317" s="26" t="n">
        <x:v>3</x:v>
      </x:c>
      <x:c r="I317" s="28" t="n">
        <x:f>IF(AND(ISNUMBER(G317),ISNUMBER(H317)),G317-H317,IF(AND(G317="Не найдено",ISNUMBER(H317)),"Появился",IF(AND(ISNUMBER(G317),H317="Не найдено"),"Не найдено","Нет сравнения")))</x:f>
        <x:v>-1</x:v>
      </x:c>
      <x:c r="J317" s="15" t="str">
        <x:v>https://kozhaclinic.ru/udalenie-novoobrazovanij/udalenie-borodavok/</x:v>
      </x:c>
    </x:row>
    <x:row r="318" ht="40" customHeight="1">
      <x:c r="A318" s="14" t="str">
        <x:v>лазерное удаление бородавок сургут</x:v>
      </x:c>
      <x:c r="B318" s="14" t="str">
        <x:v>Удаление бородавок</x:v>
      </x:c>
      <x:c r="C318" s="27" t="n">
        <x:v>10</x:v>
      </x:c>
      <x:c r="D318" s="27" t="n">
        <x:v>4</x:v>
      </x:c>
      <x:c r="E318" s="29" t="n">
        <x:f>IF(AND(ISNUMBER(C318),ISNUMBER(D318)),C318-D318,IF(AND(C318="Не найдено",ISNUMBER(D318)),"Появился",IF(AND(ISNUMBER(C318),D318="Не найдено"),"Не найдено","Нет сравнения")))</x:f>
        <x:v>6</x:v>
      </x:c>
      <x:c r="F318" s="16" t="str">
        <x:v>https://kozhaclinic.ru/udalenie-novoobrazovanij/udalenie-borodavok/</x:v>
      </x:c>
      <x:c r="G318" s="27" t="n">
        <x:v>2</x:v>
      </x:c>
      <x:c r="H318" s="27" t="n">
        <x:v>1</x:v>
      </x:c>
      <x:c r="I318" s="29" t="n">
        <x:f>IF(AND(ISNUMBER(G318),ISNUMBER(H318)),G318-H318,IF(AND(G318="Не найдено",ISNUMBER(H318)),"Появился",IF(AND(ISNUMBER(G318),H318="Не найдено"),"Не найдено","Нет сравнения")))</x:f>
        <x:v>1</x:v>
      </x:c>
      <x:c r="J318" s="16" t="str">
        <x:v>https://kozhaclinic.ru/udalenie-novoobrazovanij/udalenie-borodavok/</x:v>
      </x:c>
    </x:row>
    <x:row r="319" ht="40" customHeight="1">
      <x:c r="A319" s="12" t="str">
        <x:v>удаление бородавок сургут</x:v>
      </x:c>
      <x:c r="B319" s="12" t="str">
        <x:v>Удаление бородавок</x:v>
      </x:c>
      <x:c r="C319" s="26" t="n">
        <x:v>3</x:v>
      </x:c>
      <x:c r="D319" s="26" t="n">
        <x:v>3</x:v>
      </x:c>
      <x:c r="E319" s="28" t="n">
        <x:f>IF(AND(ISNUMBER(C319),ISNUMBER(D319)),C319-D319,IF(AND(C319="Не найдено",ISNUMBER(D319)),"Появился",IF(AND(ISNUMBER(C319),D319="Не найдено"),"Не найдено","Нет сравнения")))</x:f>
        <x:v>0</x:v>
      </x:c>
      <x:c r="F319" s="15" t="str">
        <x:v>https://kozhaclinic.ru/udalenie-novoobrazovanij/udalenie-borodavok/</x:v>
      </x:c>
      <x:c r="G319" s="26" t="n">
        <x:v>2</x:v>
      </x:c>
      <x:c r="H319" s="26" t="n">
        <x:v>2</x:v>
      </x:c>
      <x:c r="I319" s="28" t="n">
        <x:f>IF(AND(ISNUMBER(G319),ISNUMBER(H319)),G319-H319,IF(AND(G319="Не найдено",ISNUMBER(H319)),"Появился",IF(AND(ISNUMBER(G319),H319="Не найдено"),"Не найдено","Нет сравнения")))</x:f>
        <x:v>0</x:v>
      </x:c>
      <x:c r="J319" s="15" t="str">
        <x:v>https://kozhaclinic.ru/udalenie-novoobrazovanij/udalenie-borodavok/</x:v>
      </x:c>
    </x:row>
    <x:row r="320" ht="40" customHeight="1">
      <x:c r="A320" s="14" t="str">
        <x:v>удаление бородавок лазером</x:v>
      </x:c>
      <x:c r="B320" s="14" t="str">
        <x:v>Удаление бородавок</x:v>
      </x:c>
      <x:c r="C320" s="27" t="n">
        <x:v>1</x:v>
      </x:c>
      <x:c r="D320" s="27" t="n">
        <x:v>3</x:v>
      </x:c>
      <x:c r="E320" s="29" t="n">
        <x:f>IF(AND(ISNUMBER(C320),ISNUMBER(D320)),C320-D320,IF(AND(C320="Не найдено",ISNUMBER(D320)),"Появился",IF(AND(ISNUMBER(C320),D320="Не найдено"),"Не найдено","Нет сравнения")))</x:f>
        <x:v>-2</x:v>
      </x:c>
      <x:c r="F320" s="16" t="str">
        <x:v>https://kozhaclinic.ru/udalenie-novoobrazovanij/udalenie-borodavok/</x:v>
      </x:c>
      <x:c r="G320" s="27" t="n">
        <x:v>1</x:v>
      </x:c>
      <x:c r="H320" s="27" t="n">
        <x:v>1</x:v>
      </x:c>
      <x:c r="I320" s="29" t="n">
        <x:f>IF(AND(ISNUMBER(G320),ISNUMBER(H320)),G320-H320,IF(AND(G320="Не найдено",ISNUMBER(H320)),"Появился",IF(AND(ISNUMBER(G320),H320="Не найдено"),"Не найдено","Нет сравнения")))</x:f>
        <x:v>0</x:v>
      </x:c>
      <x:c r="J320" s="16" t="str">
        <x:v>https://kozhaclinic.ru/udalenie-novoobrazovanij/udalenie-borodavok/</x:v>
      </x:c>
    </x:row>
    <x:row r="321" ht="40" customHeight="1">
      <x:c r="A321" s="12" t="str">
        <x:v>удалить бородавку</x:v>
      </x:c>
      <x:c r="B321" s="12" t="str">
        <x:v>Удаление бородавок</x:v>
      </x:c>
      <x:c r="C321" s="26" t="n">
        <x:v>2</x:v>
      </x:c>
      <x:c r="D321" s="26" t="n">
        <x:v>2</x:v>
      </x:c>
      <x:c r="E321" s="28" t="n">
        <x:f>IF(AND(ISNUMBER(C321),ISNUMBER(D321)),C321-D321,IF(AND(C321="Не найдено",ISNUMBER(D321)),"Появился",IF(AND(ISNUMBER(C321),D321="Не найдено"),"Не найдено","Нет сравнения")))</x:f>
        <x:v>0</x:v>
      </x:c>
      <x:c r="F321" s="15" t="str">
        <x:v>https://kozhaclinic.ru/udalenie-novoobrazovanij/udalenie-borodavok/</x:v>
      </x:c>
      <x:c r="G321" s="26" t="n">
        <x:v>1</x:v>
      </x:c>
      <x:c r="H321" s="26" t="n">
        <x:v>5</x:v>
      </x:c>
      <x:c r="I321" s="28" t="n">
        <x:f>IF(AND(ISNUMBER(G321),ISNUMBER(H321)),G321-H321,IF(AND(G321="Не найдено",ISNUMBER(H321)),"Появился",IF(AND(ISNUMBER(G321),H321="Не найдено"),"Не найдено","Нет сравнения")))</x:f>
        <x:v>-4</x:v>
      </x:c>
      <x:c r="J321" s="15" t="str">
        <x:v>https://kozhaclinic.ru/udalenie-novoobrazovanij/udalenie-borodavok/</x:v>
      </x:c>
    </x:row>
    <x:row r="322" ht="40" customHeight="1">
      <x:c r="A322" s="14" t="str">
        <x:v>удалить бородавку сургут</x:v>
      </x:c>
      <x:c r="B322" s="14" t="str">
        <x:v>Удаление бородавок</x:v>
      </x:c>
      <x:c r="C322" s="27" t="n">
        <x:v>4</x:v>
      </x:c>
      <x:c r="D322" s="27" t="n">
        <x:v>3</x:v>
      </x:c>
      <x:c r="E322" s="29" t="n">
        <x:f>IF(AND(ISNUMBER(C322),ISNUMBER(D322)),C322-D322,IF(AND(C322="Не найдено",ISNUMBER(D322)),"Появился",IF(AND(ISNUMBER(C322),D322="Не найдено"),"Не найдено","Нет сравнения")))</x:f>
        <x:v>1</x:v>
      </x:c>
      <x:c r="F322" s="16" t="str">
        <x:v>https://kozhaclinic.ru/udalenie-novoobrazovanij/udalenie-borodavok/</x:v>
      </x:c>
      <x:c r="G322" s="27" t="n">
        <x:v>2</x:v>
      </x:c>
      <x:c r="H322" s="27" t="n">
        <x:v>2</x:v>
      </x:c>
      <x:c r="I322" s="29" t="n">
        <x:f>IF(AND(ISNUMBER(G322),ISNUMBER(H322)),G322-H322,IF(AND(G322="Не найдено",ISNUMBER(H322)),"Появился",IF(AND(ISNUMBER(G322),H322="Не найдено"),"Не найдено","Нет сравнения")))</x:f>
        <x:v>0</x:v>
      </x:c>
      <x:c r="J322" s="16" t="str">
        <x:v>https://kozhaclinic.ru/udalenie-novoobrazovanij/udalenie-borodavok/</x:v>
      </x:c>
    </x:row>
    <x:row r="323" ht="40" customHeight="1">
      <x:c r="A323" s="12" t="str">
        <x:v>удаление новообразований клиника</x:v>
      </x:c>
      <x:c r="B323" s="12" t="str">
        <x:v>Удаление новообразований</x:v>
      </x:c>
      <x:c r="C323" s="26" t="n">
        <x:v>1</x:v>
      </x:c>
      <x:c r="D323" s="26" t="n">
        <x:v>3</x:v>
      </x:c>
      <x:c r="E323" s="28" t="n">
        <x:f>IF(AND(ISNUMBER(C323),ISNUMBER(D323)),C323-D323,IF(AND(C323="Не найдено",ISNUMBER(D323)),"Появился",IF(AND(ISNUMBER(C323),D323="Не найдено"),"Не найдено","Нет сравнения")))</x:f>
        <x:v>-2</x:v>
      </x:c>
      <x:c r="F323" s="15" t="str">
        <x:v>https://kozhaclinic.ru/udalenie-novoobrazovanij/</x:v>
      </x:c>
      <x:c r="G323" s="26" t="n">
        <x:v>4</x:v>
      </x:c>
      <x:c r="H323" s="26" t="n">
        <x:v>3</x:v>
      </x:c>
      <x:c r="I323" s="28" t="n">
        <x:f>IF(AND(ISNUMBER(G323),ISNUMBER(H323)),G323-H323,IF(AND(G323="Не найдено",ISNUMBER(H323)),"Появился",IF(AND(ISNUMBER(G323),H323="Не найдено"),"Не найдено","Нет сравнения")))</x:f>
        <x:v>1</x:v>
      </x:c>
      <x:c r="J323" s="15" t="str">
        <x:v>https://kozhaclinic.ru/apparatnaya-kosmetologiya/udalenie-novoobrazovaniy/</x:v>
      </x:c>
    </x:row>
    <x:row r="324" ht="40" customHeight="1">
      <x:c r="A324" s="14" t="str">
        <x:v>удаление новообразований лазером</x:v>
      </x:c>
      <x:c r="B324" s="14" t="str">
        <x:v>Удаление новообразований</x:v>
      </x:c>
      <x:c r="C324" s="27" t="n">
        <x:v>12</x:v>
      </x:c>
      <x:c r="D324" s="27" t="n">
        <x:v>11</x:v>
      </x:c>
      <x:c r="E324" s="29" t="n">
        <x:f>IF(AND(ISNUMBER(C324),ISNUMBER(D324)),C324-D324,IF(AND(C324="Не найдено",ISNUMBER(D324)),"Появился",IF(AND(ISNUMBER(C324),D324="Не найдено"),"Не найдено","Нет сравнения")))</x:f>
        <x:v>1</x:v>
      </x:c>
      <x:c r="F324" s="16" t="str">
        <x:v>https://kozhaclinic.ru/udalenie-novoobrazovanij/udalenie-borodavok/</x:v>
      </x:c>
      <x:c r="G324" s="27" t="str">
        <x:v>Не найдено</x:v>
      </x:c>
      <x:c r="H324" s="27" t="str">
        <x:v>Не найдено</x:v>
      </x:c>
      <x:c r="I324" s="29" t="str">
        <x:f>IF(AND(ISNUMBER(G324),ISNUMBER(H324)),G324-H324,IF(AND(G324="Не найдено",ISNUMBER(H324)),"Появился",IF(AND(ISNUMBER(G324),H324="Не найдено"),"Не найдено","Нет сравнения")))</x:f>
        <x:v>Нет сравнения</x:v>
      </x:c>
      <x:c r="J324" s="14"/>
    </x:row>
    <x:row r="325" ht="40" customHeight="1">
      <x:c r="A325" s="12" t="str">
        <x:v>удаление новообразований на коже</x:v>
      </x:c>
      <x:c r="B325" s="12" t="str">
        <x:v>Удаление новообразований</x:v>
      </x:c>
      <x:c r="C325" s="26" t="n">
        <x:v>1</x:v>
      </x:c>
      <x:c r="D325" s="26" t="n">
        <x:v>1</x:v>
      </x:c>
      <x:c r="E325" s="28" t="n">
        <x:f>IF(AND(ISNUMBER(C325),ISNUMBER(D325)),C325-D325,IF(AND(C325="Не найдено",ISNUMBER(D325)),"Появился",IF(AND(ISNUMBER(C325),D325="Не найдено"),"Не найдено","Нет сравнения")))</x:f>
        <x:v>0</x:v>
      </x:c>
      <x:c r="F325" s="15" t="str">
        <x:v>https://kozhaclinic.ru/udalenie-novoobrazovanij/</x:v>
      </x:c>
      <x:c r="G325" s="26" t="n">
        <x:v>2</x:v>
      </x:c>
      <x:c r="H325" s="26" t="str">
        <x:v>Не найдено</x:v>
      </x:c>
      <x:c r="I325" s="28" t="str">
        <x:f>IF(AND(ISNUMBER(G325),ISNUMBER(H325)),G325-H325,IF(AND(G325="Не найдено",ISNUMBER(H325)),"Появился",IF(AND(ISNUMBER(G325),H325="Не найдено"),"Не найдено","Нет сравнения")))</x:f>
        <x:v>Не найдено</x:v>
      </x:c>
      <x:c r="J325" s="12"/>
    </x:row>
    <x:row r="326" ht="40" customHeight="1">
      <x:c r="A326" s="14" t="str">
        <x:v>удаление новообразований сургут</x:v>
      </x:c>
      <x:c r="B326" s="14" t="str">
        <x:v>Удаление новообразований</x:v>
      </x:c>
      <x:c r="C326" s="27" t="n">
        <x:v>3</x:v>
      </x:c>
      <x:c r="D326" s="27" t="n">
        <x:v>3</x:v>
      </x:c>
      <x:c r="E326" s="29" t="n">
        <x:f>IF(AND(ISNUMBER(C326),ISNUMBER(D326)),C326-D326,IF(AND(C326="Не найдено",ISNUMBER(D326)),"Появился",IF(AND(ISNUMBER(C326),D326="Не найдено"),"Не найдено","Нет сравнения")))</x:f>
        <x:v>0</x:v>
      </x:c>
      <x:c r="F326" s="16" t="str">
        <x:v>https://kozhaclinic.ru/udalenie-novoobrazovanij/</x:v>
      </x:c>
      <x:c r="G326" s="27" t="n">
        <x:v>9</x:v>
      </x:c>
      <x:c r="H326" s="27" t="n">
        <x:v>7</x:v>
      </x:c>
      <x:c r="I326" s="29" t="n">
        <x:f>IF(AND(ISNUMBER(G326),ISNUMBER(H326)),G326-H326,IF(AND(G326="Не найдено",ISNUMBER(H326)),"Появился",IF(AND(ISNUMBER(G326),H326="Не найдено"),"Не найдено","Нет сравнения")))</x:f>
        <x:v>2</x:v>
      </x:c>
      <x:c r="J326" s="16" t="str">
        <x:v>https://kozhaclinic.ru/apparatnaya-kosmetologiya/udalenie-novoobrazovaniy/</x:v>
      </x:c>
    </x:row>
    <x:row r="327" ht="40" customHeight="1">
      <x:c r="A327" s="12" t="str">
        <x:v>избавиться от папиллом сургут</x:v>
      </x:c>
      <x:c r="B327" s="12" t="str">
        <x:v>Удаление папилом</x:v>
      </x:c>
      <x:c r="C327" s="26" t="n">
        <x:v>3</x:v>
      </x:c>
      <x:c r="D327" s="26" t="n">
        <x:v>3</x:v>
      </x:c>
      <x:c r="E327" s="28" t="n">
        <x:f>IF(AND(ISNUMBER(C327),ISNUMBER(D327)),C327-D327,IF(AND(C327="Не найдено",ISNUMBER(D327)),"Появился",IF(AND(ISNUMBER(C327),D327="Не найдено"),"Не найдено","Нет сравнения")))</x:f>
        <x:v>0</x:v>
      </x:c>
      <x:c r="F327" s="15" t="str">
        <x:v>https://kozhaclinic.ru/udalenie-novoobrazovanij/udalenie-papilom/</x:v>
      </x:c>
      <x:c r="G327" s="26" t="n">
        <x:v>4</x:v>
      </x:c>
      <x:c r="H327" s="26" t="n">
        <x:v>4</x:v>
      </x:c>
      <x:c r="I327" s="28" t="n">
        <x:f>IF(AND(ISNUMBER(G327),ISNUMBER(H327)),G327-H327,IF(AND(G327="Не найдено",ISNUMBER(H327)),"Появился",IF(AND(ISNUMBER(G327),H327="Не найдено"),"Не найдено","Нет сравнения")))</x:f>
        <x:v>0</x:v>
      </x:c>
      <x:c r="J327" s="15" t="str">
        <x:v>https://kozhaclinic.ru/udalenie-novoobrazovanij/udalenie-papilom/</x:v>
      </x:c>
    </x:row>
    <x:row r="328" ht="40" customHeight="1">
      <x:c r="A328" s="14" t="str">
        <x:v>убрать папилломы сургут</x:v>
      </x:c>
      <x:c r="B328" s="14" t="str">
        <x:v>Удаление папилом</x:v>
      </x:c>
      <x:c r="C328" s="27" t="n">
        <x:v>3</x:v>
      </x:c>
      <x:c r="D328" s="27" t="n">
        <x:v>6</x:v>
      </x:c>
      <x:c r="E328" s="29" t="n">
        <x:f>IF(AND(ISNUMBER(C328),ISNUMBER(D328)),C328-D328,IF(AND(C328="Не найдено",ISNUMBER(D328)),"Появился",IF(AND(ISNUMBER(C328),D328="Не найдено"),"Не найдено","Нет сравнения")))</x:f>
        <x:v>-3</x:v>
      </x:c>
      <x:c r="F328" s="16" t="str">
        <x:v>https://kozhaclinic.ru/udalenie-novoobrazovanij/udalenie-papilom/</x:v>
      </x:c>
      <x:c r="G328" s="27" t="n">
        <x:v>3</x:v>
      </x:c>
      <x:c r="H328" s="27" t="n">
        <x:v>4</x:v>
      </x:c>
      <x:c r="I328" s="29" t="n">
        <x:f>IF(AND(ISNUMBER(G328),ISNUMBER(H328)),G328-H328,IF(AND(G328="Не найдено",ISNUMBER(H328)),"Появился",IF(AND(ISNUMBER(G328),H328="Не найдено"),"Не найдено","Нет сравнения")))</x:f>
        <x:v>-1</x:v>
      </x:c>
      <x:c r="J328" s="16" t="str">
        <x:v>https://kozhaclinic.ru/udalenie-novoobrazovanij/udalenie-papilom/</x:v>
      </x:c>
    </x:row>
    <x:row r="329" ht="40" customHeight="1">
      <x:c r="A329" s="12" t="str">
        <x:v>удаление папиллом сургут</x:v>
      </x:c>
      <x:c r="B329" s="12" t="str">
        <x:v>Удаление папилом</x:v>
      </x:c>
      <x:c r="C329" s="26" t="n">
        <x:v>3</x:v>
      </x:c>
      <x:c r="D329" s="26" t="n">
        <x:v>3</x:v>
      </x:c>
      <x:c r="E329" s="28" t="n">
        <x:f>IF(AND(ISNUMBER(C329),ISNUMBER(D329)),C329-D329,IF(AND(C329="Не найдено",ISNUMBER(D329)),"Появился",IF(AND(ISNUMBER(C329),D329="Не найдено"),"Не найдено","Нет сравнения")))</x:f>
        <x:v>0</x:v>
      </x:c>
      <x:c r="F329" s="15" t="str">
        <x:v>https://kozhaclinic.ru/udalenie-novoobrazovanij/udalenie-papilom/</x:v>
      </x:c>
      <x:c r="G329" s="26" t="n">
        <x:v>3</x:v>
      </x:c>
      <x:c r="H329" s="26" t="n">
        <x:v>3</x:v>
      </x:c>
      <x:c r="I329" s="28" t="n">
        <x:f>IF(AND(ISNUMBER(G329),ISNUMBER(H329)),G329-H329,IF(AND(G329="Не найдено",ISNUMBER(H329)),"Появился",IF(AND(ISNUMBER(G329),H329="Не найдено"),"Не найдено","Нет сравнения")))</x:f>
        <x:v>0</x:v>
      </x:c>
      <x:c r="J329" s="15" t="str">
        <x:v>https://kozhaclinic.ru/udalenie-novoobrazovanij/udalenie-papilom/</x:v>
      </x:c>
    </x:row>
    <x:row r="330" ht="40" customHeight="1">
      <x:c r="A330" s="14" t="str">
        <x:v>удалить папилломы</x:v>
      </x:c>
      <x:c r="B330" s="14" t="str">
        <x:v>Удаление папилом</x:v>
      </x:c>
      <x:c r="C330" s="27" t="n">
        <x:v>9</x:v>
      </x:c>
      <x:c r="D330" s="27" t="n">
        <x:v>2</x:v>
      </x:c>
      <x:c r="E330" s="29" t="n">
        <x:f>IF(AND(ISNUMBER(C330),ISNUMBER(D330)),C330-D330,IF(AND(C330="Не найдено",ISNUMBER(D330)),"Появился",IF(AND(ISNUMBER(C330),D330="Не найдено"),"Не найдено","Нет сравнения")))</x:f>
        <x:v>7</x:v>
      </x:c>
      <x:c r="F330" s="16" t="str">
        <x:v>https://kozhaclinic.ru/udalenie-novoobrazovanij/udalenie-papilom/</x:v>
      </x:c>
      <x:c r="G330" s="27" t="n">
        <x:v>5</x:v>
      </x:c>
      <x:c r="H330" s="27" t="n">
        <x:v>1</x:v>
      </x:c>
      <x:c r="I330" s="29" t="n">
        <x:f>IF(AND(ISNUMBER(G330),ISNUMBER(H330)),G330-H330,IF(AND(G330="Не найдено",ISNUMBER(H330)),"Появился",IF(AND(ISNUMBER(G330),H330="Не найдено"),"Не найдено","Нет сравнения")))</x:f>
        <x:v>4</x:v>
      </x:c>
      <x:c r="J330" s="16" t="str">
        <x:v>https://kozhaclinic.ru/udalenie-novoobrazovanij/udalenie-papilom/</x:v>
      </x:c>
    </x:row>
    <x:row r="331" ht="40" customHeight="1">
      <x:c r="A331" s="12" t="str">
        <x:v>удалить папилломы в сургуте</x:v>
      </x:c>
      <x:c r="B331" s="12" t="str">
        <x:v>Удаление папилом</x:v>
      </x:c>
      <x:c r="C331" s="26" t="n">
        <x:v>5</x:v>
      </x:c>
      <x:c r="D331" s="26" t="n">
        <x:v>3</x:v>
      </x:c>
      <x:c r="E331" s="28" t="n">
        <x:f>IF(AND(ISNUMBER(C331),ISNUMBER(D331)),C331-D331,IF(AND(C331="Не найдено",ISNUMBER(D331)),"Появился",IF(AND(ISNUMBER(C331),D331="Не найдено"),"Не найдено","Нет сравнения")))</x:f>
        <x:v>2</x:v>
      </x:c>
      <x:c r="F331" s="15" t="str">
        <x:v>https://kozhaclinic.ru/udalenie-novoobrazovanij/udalenie-papilom/</x:v>
      </x:c>
      <x:c r="G331" s="26" t="n">
        <x:v>4</x:v>
      </x:c>
      <x:c r="H331" s="26" t="n">
        <x:v>6</x:v>
      </x:c>
      <x:c r="I331" s="28" t="n">
        <x:f>IF(AND(ISNUMBER(G331),ISNUMBER(H331)),G331-H331,IF(AND(G331="Не найдено",ISNUMBER(H331)),"Появился",IF(AND(ISNUMBER(G331),H331="Не найдено"),"Не найдено","Нет сравнения")))</x:f>
        <x:v>-2</x:v>
      </x:c>
      <x:c r="J331" s="15" t="str">
        <x:v>https://kozhaclinic.ru/udalenie-novoobrazovanij/udalenie-papilom/</x:v>
      </x:c>
    </x:row>
    <x:row r="332" ht="40" customHeight="1">
      <x:c r="A332" s="14" t="str">
        <x:v>избавиться от постакне сургут</x:v>
      </x:c>
      <x:c r="B332" s="14" t="str">
        <x:v>Удаление постакне</x:v>
      </x:c>
      <x:c r="C332" s="27" t="n">
        <x:v>6</x:v>
      </x:c>
      <x:c r="D332" s="27" t="n">
        <x:v>4</x:v>
      </x:c>
      <x:c r="E332" s="29" t="n">
        <x:f>IF(AND(ISNUMBER(C332),ISNUMBER(D332)),C332-D332,IF(AND(C332="Не найдено",ISNUMBER(D332)),"Появился",IF(AND(ISNUMBER(C332),D332="Не найдено"),"Не найдено","Нет сравнения")))</x:f>
        <x:v>2</x:v>
      </x:c>
      <x:c r="F332" s="16" t="str">
        <x:v>https://kozhaclinic.ru/apparatnaya-kosmetologiya/</x:v>
      </x:c>
      <x:c r="G332" s="27" t="n">
        <x:v>5</x:v>
      </x:c>
      <x:c r="H332" s="27" t="n">
        <x:v>5</x:v>
      </x:c>
      <x:c r="I332" s="29" t="n">
        <x:f>IF(AND(ISNUMBER(G332),ISNUMBER(H332)),G332-H332,IF(AND(G332="Не найдено",ISNUMBER(H332)),"Появился",IF(AND(ISNUMBER(G332),H332="Не найдено"),"Не найдено","Нет сравнения")))</x:f>
        <x:v>0</x:v>
      </x:c>
      <x:c r="J332" s="16" t="str">
        <x:v>https://kozhaclinic.ru/uhodovye-procedury/chistki-litsa-i-spiny/chistka-spiny/</x:v>
      </x:c>
    </x:row>
    <x:row r="333" ht="40" customHeight="1">
      <x:c r="A333" s="12" t="str">
        <x:v>избавиться от постакне на лице сургут</x:v>
      </x:c>
      <x:c r="B333" s="12" t="str">
        <x:v>Удаление постакне</x:v>
      </x:c>
      <x:c r="C333" s="26" t="n">
        <x:v>9</x:v>
      </x:c>
      <x:c r="D333" s="26" t="n">
        <x:v>5</x:v>
      </x:c>
      <x:c r="E333" s="28" t="n">
        <x:f>IF(AND(ISNUMBER(C333),ISNUMBER(D333)),C333-D333,IF(AND(C333="Не найдено",ISNUMBER(D333)),"Появился",IF(AND(ISNUMBER(C333),D333="Не найдено"),"Не найдено","Нет сравнения")))</x:f>
        <x:v>4</x:v>
      </x:c>
      <x:c r="F333" s="15" t="str">
        <x:v>https://kozhaclinic.ru/uhodovye-procedury/chistki-litsa-i-spiny/lechebnaya-chistka-litsa/</x:v>
      </x:c>
      <x:c r="G333" s="26" t="n">
        <x:v>5</x:v>
      </x:c>
      <x:c r="H333" s="26" t="n">
        <x:v>5</x:v>
      </x:c>
      <x:c r="I333" s="28" t="n">
        <x:f>IF(AND(ISNUMBER(G333),ISNUMBER(H333)),G333-H333,IF(AND(G333="Не найдено",ISNUMBER(H333)),"Появился",IF(AND(ISNUMBER(G333),H333="Не найдено"),"Не найдено","Нет сравнения")))</x:f>
        <x:v>0</x:v>
      </x:c>
      <x:c r="J333" s="15" t="str">
        <x:v>https://kozhaclinic.ru/uhodovye-procedury/chistki-litsa-i-spiny/lechebnaya-chistka-litsa/</x:v>
      </x:c>
    </x:row>
    <x:row r="334" ht="40" customHeight="1">
      <x:c r="A334" s="14" t="str">
        <x:v>удаление родинок</x:v>
      </x:c>
      <x:c r="B334" s="14" t="str">
        <x:v>Удаление родинок</x:v>
      </x:c>
      <x:c r="C334" s="27" t="n">
        <x:v>5</x:v>
      </x:c>
      <x:c r="D334" s="27" t="n">
        <x:v>3</x:v>
      </x:c>
      <x:c r="E334" s="29" t="n">
        <x:f>IF(AND(ISNUMBER(C334),ISNUMBER(D334)),C334-D334,IF(AND(C334="Не найдено",ISNUMBER(D334)),"Появился",IF(AND(ISNUMBER(C334),D334="Не найдено"),"Не найдено","Нет сравнения")))</x:f>
        <x:v>2</x:v>
      </x:c>
      <x:c r="F334" s="16" t="str">
        <x:v>https://kozhaclinic.ru/udalenie-novoobrazovanij/udalenie-rodinok/</x:v>
      </x:c>
      <x:c r="G334" s="27" t="n">
        <x:v>1</x:v>
      </x:c>
      <x:c r="H334" s="27" t="n">
        <x:v>2</x:v>
      </x:c>
      <x:c r="I334" s="29" t="n">
        <x:f>IF(AND(ISNUMBER(G334),ISNUMBER(H334)),G334-H334,IF(AND(G334="Не найдено",ISNUMBER(H334)),"Появился",IF(AND(ISNUMBER(G334),H334="Не найдено"),"Не найдено","Нет сравнения")))</x:f>
        <x:v>-1</x:v>
      </x:c>
      <x:c r="J334" s="16" t="str">
        <x:v>https://kozhaclinic.ru/udalenie-novoobrazovanij/udalenie-rodinok/</x:v>
      </x:c>
    </x:row>
    <x:row r="335" ht="40" customHeight="1">
      <x:c r="A335" s="12" t="str">
        <x:v>удаление родинок лазером</x:v>
      </x:c>
      <x:c r="B335" s="12" t="str">
        <x:v>Удаление родинок</x:v>
      </x:c>
      <x:c r="C335" s="26" t="n">
        <x:v>14</x:v>
      </x:c>
      <x:c r="D335" s="26" t="n">
        <x:v>13</x:v>
      </x:c>
      <x:c r="E335" s="28" t="n">
        <x:f>IF(AND(ISNUMBER(C335),ISNUMBER(D335)),C335-D335,IF(AND(C335="Не найдено",ISNUMBER(D335)),"Появился",IF(AND(ISNUMBER(C335),D335="Не найдено"),"Не найдено","Нет сравнения")))</x:f>
        <x:v>1</x:v>
      </x:c>
      <x:c r="F335" s="15" t="str">
        <x:v>https://kozhaclinic.ru/</x:v>
      </x:c>
      <x:c r="G335" s="26" t="n">
        <x:v>5</x:v>
      </x:c>
      <x:c r="H335" s="26" t="n">
        <x:v>9</x:v>
      </x:c>
      <x:c r="I335" s="28" t="n">
        <x:f>IF(AND(ISNUMBER(G335),ISNUMBER(H335)),G335-H335,IF(AND(G335="Не найдено",ISNUMBER(H335)),"Появился",IF(AND(ISNUMBER(G335),H335="Не найдено"),"Не найдено","Нет сравнения")))</x:f>
        <x:v>-4</x:v>
      </x:c>
      <x:c r="J335" s="15" t="str">
        <x:v>https://kozhaclinic.ru/udalenie-novoobrazovanij/udalenie-rodinok/</x:v>
      </x:c>
    </x:row>
    <x:row r="336" ht="40" customHeight="1">
      <x:c r="A336" s="14" t="str">
        <x:v>удаление родинок сургут</x:v>
      </x:c>
      <x:c r="B336" s="14" t="str">
        <x:v>Удаление родинок</x:v>
      </x:c>
      <x:c r="C336" s="27" t="n">
        <x:v>3</x:v>
      </x:c>
      <x:c r="D336" s="27" t="n">
        <x:v>2</x:v>
      </x:c>
      <x:c r="E336" s="29" t="n">
        <x:f>IF(AND(ISNUMBER(C336),ISNUMBER(D336)),C336-D336,IF(AND(C336="Не найдено",ISNUMBER(D336)),"Появился",IF(AND(ISNUMBER(C336),D336="Не найдено"),"Не найдено","Нет сравнения")))</x:f>
        <x:v>1</x:v>
      </x:c>
      <x:c r="F336" s="16" t="str">
        <x:v>https://kozhaclinic.ru/udalenie-novoobrazovanij/udalenie-rodinok/</x:v>
      </x:c>
      <x:c r="G336" s="27" t="n">
        <x:v>3</x:v>
      </x:c>
      <x:c r="H336" s="27" t="n">
        <x:v>3</x:v>
      </x:c>
      <x:c r="I336" s="29" t="n">
        <x:f>IF(AND(ISNUMBER(G336),ISNUMBER(H336)),G336-H336,IF(AND(G336="Не найдено",ISNUMBER(H336)),"Появился",IF(AND(ISNUMBER(G336),H336="Не найдено"),"Не найдено","Нет сравнения")))</x:f>
        <x:v>0</x:v>
      </x:c>
      <x:c r="J336" s="16" t="str">
        <x:v>https://kozhaclinic.ru/udalenie-novoobrazovanij/udalenie-rodinok/</x:v>
      </x:c>
    </x:row>
    <x:row r="337" ht="40" customHeight="1">
      <x:c r="A337" s="12" t="str">
        <x:v>удалить родинки сургут</x:v>
      </x:c>
      <x:c r="B337" s="12" t="str">
        <x:v>Удаление родинок</x:v>
      </x:c>
      <x:c r="C337" s="26" t="n">
        <x:v>3</x:v>
      </x:c>
      <x:c r="D337" s="26" t="n">
        <x:v>2</x:v>
      </x:c>
      <x:c r="E337" s="28" t="n">
        <x:f>IF(AND(ISNUMBER(C337),ISNUMBER(D337)),C337-D337,IF(AND(C337="Не найдено",ISNUMBER(D337)),"Появился",IF(AND(ISNUMBER(C337),D337="Не найдено"),"Не найдено","Нет сравнения")))</x:f>
        <x:v>1</x:v>
      </x:c>
      <x:c r="F337" s="15" t="str">
        <x:v>https://kozhaclinic.ru/udalenie-novoobrazovanij/udalenie-rodinok/</x:v>
      </x:c>
      <x:c r="G337" s="26" t="str">
        <x:v>Не найдено</x:v>
      </x:c>
      <x:c r="H337" s="26" t="n">
        <x:v>3</x:v>
      </x:c>
      <x:c r="I337" s="28" t="str">
        <x:f>IF(AND(ISNUMBER(G337),ISNUMBER(H337)),G337-H337,IF(AND(G337="Не найдено",ISNUMBER(H337)),"Появился",IF(AND(ISNUMBER(G337),H337="Не найдено"),"Не найдено","Нет сравнения")))</x:f>
        <x:v>Появился</x:v>
      </x:c>
      <x:c r="J337" s="15" t="str">
        <x:v>https://kozhaclinic.ru/udalenie-novoobrazovanij/udalenie-rodinok/</x:v>
      </x:c>
    </x:row>
    <x:row r="338" ht="40" customHeight="1">
      <x:c r="A338" s="14" t="str">
        <x:v>радиоволновое удаление родинок сургут</x:v>
      </x:c>
      <x:c r="B338" s="14" t="str">
        <x:v>Удаление родинок</x:v>
      </x:c>
      <x:c r="C338" s="27" t="n">
        <x:v>2</x:v>
      </x:c>
      <x:c r="D338" s="27" t="n">
        <x:v>2</x:v>
      </x:c>
      <x:c r="E338" s="29" t="n">
        <x:f>IF(AND(ISNUMBER(C338),ISNUMBER(D338)),C338-D338,IF(AND(C338="Не найдено",ISNUMBER(D338)),"Появился",IF(AND(ISNUMBER(C338),D338="Не найдено"),"Не найдено","Нет сравнения")))</x:f>
        <x:v>0</x:v>
      </x:c>
      <x:c r="F338" s="16" t="str">
        <x:v>https://kozhaclinic.ru/apparatnaya-kosmetologiya/udalenie-novoobrazovaniy/</x:v>
      </x:c>
      <x:c r="G338" s="27" t="n">
        <x:v>3</x:v>
      </x:c>
      <x:c r="H338" s="27" t="n">
        <x:v>2</x:v>
      </x:c>
      <x:c r="I338" s="29" t="n">
        <x:f>IF(AND(ISNUMBER(G338),ISNUMBER(H338)),G338-H338,IF(AND(G338="Не найдено",ISNUMBER(H338)),"Появился",IF(AND(ISNUMBER(G338),H338="Не найдено"),"Не найдено","Нет сравнения")))</x:f>
        <x:v>1</x:v>
      </x:c>
      <x:c r="J338" s="16" t="str">
        <x:v>https://kozhaclinic.ru/udalenie-novoobrazovanij/udalenie-rodinok/</x:v>
      </x:c>
    </x:row>
    <x:row r="339" ht="40" customHeight="1">
      <x:c r="A339" s="12" t="str">
        <x:v>удаление родинок на лице сургут</x:v>
      </x:c>
      <x:c r="B339" s="12" t="str">
        <x:v>Удаление родинок</x:v>
      </x:c>
      <x:c r="C339" s="26" t="n">
        <x:v>3</x:v>
      </x:c>
      <x:c r="D339" s="26" t="n">
        <x:v>2</x:v>
      </x:c>
      <x:c r="E339" s="28" t="n">
        <x:f>IF(AND(ISNUMBER(C339),ISNUMBER(D339)),C339-D339,IF(AND(C339="Не найдено",ISNUMBER(D339)),"Появился",IF(AND(ISNUMBER(C339),D339="Не найдено"),"Не найдено","Нет сравнения")))</x:f>
        <x:v>1</x:v>
      </x:c>
      <x:c r="F339" s="15" t="str">
        <x:v>https://kozhaclinic.ru/udalenie-novoobrazovanij/udalenie-rodinok/</x:v>
      </x:c>
      <x:c r="G339" s="26" t="n">
        <x:v>3</x:v>
      </x:c>
      <x:c r="H339" s="26" t="n">
        <x:v>3</x:v>
      </x:c>
      <x:c r="I339" s="28" t="n">
        <x:f>IF(AND(ISNUMBER(G339),ISNUMBER(H339)),G339-H339,IF(AND(G339="Не найдено",ISNUMBER(H339)),"Появился",IF(AND(ISNUMBER(G339),H339="Не найдено"),"Не найдено","Нет сравнения")))</x:f>
        <x:v>0</x:v>
      </x:c>
      <x:c r="J339" s="15" t="str">
        <x:v>https://kozhaclinic.ru/udalenie-novoobrazovanij/udalenie-rodinok/</x:v>
      </x:c>
    </x:row>
    <x:row r="340" ht="40" customHeight="1">
      <x:c r="A340" s="14" t="str">
        <x:v>убрать мешки под глазами сургут</x:v>
      </x:c>
      <x:c r="B340" s="14" t="str">
        <x:v>Август 2026</x:v>
      </x:c>
      <x:c r="C340" s="27" t="n">
        <x:v>6</x:v>
      </x:c>
      <x:c r="D340" s="27" t="n">
        <x:v>5</x:v>
      </x:c>
      <x:c r="E340" s="29" t="n">
        <x:f>IF(AND(ISNUMBER(C340),ISNUMBER(D340)),C340-D340,IF(AND(C340="Не найдено",ISNUMBER(D340)),"Появился",IF(AND(ISNUMBER(C340),D340="Не найдено"),"Не найдено","Нет сравнения")))</x:f>
        <x:v>1</x:v>
      </x:c>
      <x:c r="F340" s="16" t="str">
        <x:v>https://kozhaclinic.ru/meshki-i-oteki-pod-glazami/</x:v>
      </x:c>
      <x:c r="G340" s="27" t="n">
        <x:v>6</x:v>
      </x:c>
      <x:c r="H340" s="27" t="n">
        <x:v>6</x:v>
      </x:c>
      <x:c r="I340" s="29" t="n">
        <x:f>IF(AND(ISNUMBER(G340),ISNUMBER(H340)),G340-H340,IF(AND(G340="Не найдено",ISNUMBER(H340)),"Появился",IF(AND(ISNUMBER(G340),H340="Не найдено"),"Не найдено","Нет сравнения")))</x:f>
        <x:v>0</x:v>
      </x:c>
      <x:c r="J340" s="16" t="str">
        <x:v>https://kozhaclinic.ru/ustranenie-temnykh-krugov-pod-glazami/</x:v>
      </x:c>
    </x:row>
    <x:row r="341" ht="40" customHeight="1">
      <x:c r="A341" s="12" t="str">
        <x:v>коррекция мешков под глазами сургут</x:v>
      </x:c>
      <x:c r="B341" s="12" t="str">
        <x:v>Август 2026</x:v>
      </x:c>
      <x:c r="C341" s="26" t="n">
        <x:v>1</x:v>
      </x:c>
      <x:c r="D341" s="26" t="n">
        <x:v>1</x:v>
      </x:c>
      <x:c r="E341" s="28" t="n">
        <x:f>IF(AND(ISNUMBER(C341),ISNUMBER(D341)),C341-D341,IF(AND(C341="Не найдено",ISNUMBER(D341)),"Появился",IF(AND(ISNUMBER(C341),D341="Не найдено"),"Не найдено","Нет сравнения")))</x:f>
        <x:v>0</x:v>
      </x:c>
      <x:c r="F341" s="15" t="str">
        <x:v>https://kozhaclinic.ru/meshki-i-oteki-pod-glazami/</x:v>
      </x:c>
      <x:c r="G341" s="26" t="n">
        <x:v>5</x:v>
      </x:c>
      <x:c r="H341" s="26" t="n">
        <x:v>4</x:v>
      </x:c>
      <x:c r="I341" s="28" t="n">
        <x:f>IF(AND(ISNUMBER(G341),ISNUMBER(H341)),G341-H341,IF(AND(G341="Не найдено",ISNUMBER(H341)),"Появился",IF(AND(ISNUMBER(G341),H341="Не найдено"),"Не найдено","Нет сравнения")))</x:f>
        <x:v>1</x:v>
      </x:c>
      <x:c r="J341" s="15" t="str">
        <x:v>https://kozhaclinic.ru/ustranenie-temnykh-krugov-pod-glazami/</x:v>
      </x:c>
    </x:row>
    <x:row r="342" ht="40" customHeight="1">
      <x:c r="A342" s="14" t="str">
        <x:v>устранение мешков под глазами сургут</x:v>
      </x:c>
      <x:c r="B342" s="14" t="str">
        <x:v>Август 2026</x:v>
      </x:c>
      <x:c r="C342" s="27" t="n">
        <x:v>2</x:v>
      </x:c>
      <x:c r="D342" s="27" t="n">
        <x:v>5</x:v>
      </x:c>
      <x:c r="E342" s="29" t="n">
        <x:f>IF(AND(ISNUMBER(C342),ISNUMBER(D342)),C342-D342,IF(AND(C342="Не найдено",ISNUMBER(D342)),"Появился",IF(AND(ISNUMBER(C342),D342="Не найдено"),"Не найдено","Нет сравнения")))</x:f>
        <x:v>-3</x:v>
      </x:c>
      <x:c r="F342" s="16" t="str">
        <x:v>https://kozhaclinic.ru/meshki-i-oteki-pod-glazami/</x:v>
      </x:c>
      <x:c r="G342" s="27" t="n">
        <x:v>3</x:v>
      </x:c>
      <x:c r="H342" s="27" t="n">
        <x:v>3</x:v>
      </x:c>
      <x:c r="I342" s="29" t="n">
        <x:f>IF(AND(ISNUMBER(G342),ISNUMBER(H342)),G342-H342,IF(AND(G342="Не найдено",ISNUMBER(H342)),"Появился",IF(AND(ISNUMBER(G342),H342="Не найдено"),"Не найдено","Нет сравнения")))</x:f>
        <x:v>0</x:v>
      </x:c>
      <x:c r="J342" s="16" t="str">
        <x:v>https://kozhaclinic.ru/ustranenie-temnykh-krugov-pod-glazami/</x:v>
      </x:c>
    </x:row>
    <x:row r="343" ht="40" customHeight="1">
      <x:c r="A343" s="12" t="str">
        <x:v>убрать отеки под глазами сургут</x:v>
      </x:c>
      <x:c r="B343" s="12" t="str">
        <x:v>Август 2026</x:v>
      </x:c>
      <x:c r="C343" s="26" t="n">
        <x:v>1</x:v>
      </x:c>
      <x:c r="D343" s="26" t="n">
        <x:v>1</x:v>
      </x:c>
      <x:c r="E343" s="28" t="n">
        <x:f>IF(AND(ISNUMBER(C343),ISNUMBER(D343)),C343-D343,IF(AND(C343="Не найдено",ISNUMBER(D343)),"Появился",IF(AND(ISNUMBER(C343),D343="Не найдено"),"Не найдено","Нет сравнения")))</x:f>
        <x:v>0</x:v>
      </x:c>
      <x:c r="F343" s="15" t="str">
        <x:v>https://kozhaclinic.ru/meshki-i-oteki-pod-glazami/</x:v>
      </x:c>
      <x:c r="G343" s="26" t="n">
        <x:v>1</x:v>
      </x:c>
      <x:c r="H343" s="26" t="n">
        <x:v>1</x:v>
      </x:c>
      <x:c r="I343" s="28" t="n">
        <x:f>IF(AND(ISNUMBER(G343),ISNUMBER(H343)),G343-H343,IF(AND(G343="Не найдено",ISNUMBER(H343)),"Появился",IF(AND(ISNUMBER(G343),H343="Не найдено"),"Не найдено","Нет сравнения")))</x:f>
        <x:v>0</x:v>
      </x:c>
      <x:c r="J343" s="15" t="str">
        <x:v>https://kozhaclinic.ru/ustranenie-temnykh-krugov-pod-glazami/</x:v>
      </x:c>
    </x:row>
    <x:row r="344" ht="40" customHeight="1">
      <x:c r="A344" s="14" t="str">
        <x:v>коррекция отеков под глазами сургут</x:v>
      </x:c>
      <x:c r="B344" s="14" t="str">
        <x:v>Август 2026</x:v>
      </x:c>
      <x:c r="C344" s="27" t="n">
        <x:v>1</x:v>
      </x:c>
      <x:c r="D344" s="27" t="n">
        <x:v>1</x:v>
      </x:c>
      <x:c r="E344" s="29" t="n">
        <x:f>IF(AND(ISNUMBER(C344),ISNUMBER(D344)),C344-D344,IF(AND(C344="Не найдено",ISNUMBER(D344)),"Появился",IF(AND(ISNUMBER(C344),D344="Не найдено"),"Не найдено","Нет сравнения")))</x:f>
        <x:v>0</x:v>
      </x:c>
      <x:c r="F344" s="16" t="str">
        <x:v>https://kozhaclinic.ru/meshki-i-oteki-pod-glazami/</x:v>
      </x:c>
      <x:c r="G344" s="27" t="n">
        <x:v>3</x:v>
      </x:c>
      <x:c r="H344" s="27" t="n">
        <x:v>1</x:v>
      </x:c>
      <x:c r="I344" s="29" t="n">
        <x:f>IF(AND(ISNUMBER(G344),ISNUMBER(H344)),G344-H344,IF(AND(G344="Не найдено",ISNUMBER(H344)),"Появился",IF(AND(ISNUMBER(G344),H344="Не найдено"),"Не найдено","Нет сравнения")))</x:f>
        <x:v>2</x:v>
      </x:c>
      <x:c r="J344" s="16" t="str">
        <x:v>https://kozhaclinic.ru/ustranenie-temnykh-krugov-pod-glazami/</x:v>
      </x:c>
    </x:row>
    <x:row r="345" ht="40" customHeight="1">
      <x:c r="A345" s="12" t="str">
        <x:v>косметолог мешки под глазами сургут</x:v>
      </x:c>
      <x:c r="B345" s="12" t="str">
        <x:v>Август 2026</x:v>
      </x:c>
      <x:c r="C345" s="26" t="n">
        <x:v>1</x:v>
      </x:c>
      <x:c r="D345" s="26" t="n">
        <x:v>1</x:v>
      </x:c>
      <x:c r="E345" s="28" t="n">
        <x:f>IF(AND(ISNUMBER(C345),ISNUMBER(D345)),C345-D345,IF(AND(C345="Не найдено",ISNUMBER(D345)),"Появился",IF(AND(ISNUMBER(C345),D345="Не найдено"),"Не найдено","Нет сравнения")))</x:f>
        <x:v>0</x:v>
      </x:c>
      <x:c r="F345" s="15" t="str">
        <x:v>https://kozhaclinic.ru/meshki-i-oteki-pod-glazami/</x:v>
      </x:c>
      <x:c r="G345" s="26" t="n">
        <x:v>4</x:v>
      </x:c>
      <x:c r="H345" s="26" t="n">
        <x:v>2</x:v>
      </x:c>
      <x:c r="I345" s="28" t="n">
        <x:f>IF(AND(ISNUMBER(G345),ISNUMBER(H345)),G345-H345,IF(AND(G345="Не найдено",ISNUMBER(H345)),"Появился",IF(AND(ISNUMBER(G345),H345="Не найдено"),"Не найдено","Нет сравнения")))</x:f>
        <x:v>2</x:v>
      </x:c>
      <x:c r="J345" s="15" t="str">
        <x:v>https://kozhaclinic.ru/ustranenie-temnykh-krugov-pod-glazami/</x:v>
      </x:c>
    </x:row>
    <x:row r="346" ht="40" customHeight="1">
      <x:c r="A346" s="14" t="str">
        <x:v>мезотерапия вокруг глаз сургут</x:v>
      </x:c>
      <x:c r="B346" s="14" t="str">
        <x:v>Август 2026</x:v>
      </x:c>
      <x:c r="C346" s="27" t="n">
        <x:v>4</x:v>
      </x:c>
      <x:c r="D346" s="27" t="str">
        <x:v>Не найдено</x:v>
      </x:c>
      <x:c r="E346" s="29" t="str">
        <x:f>IF(AND(ISNUMBER(C346),ISNUMBER(D346)),C346-D346,IF(AND(C346="Не найдено",ISNUMBER(D346)),"Появился",IF(AND(ISNUMBER(C346),D346="Не найдено"),"Не найдено","Нет сравнения")))</x:f>
        <x:v>Не найдено</x:v>
      </x:c>
      <x:c r="F346" s="14"/>
      <x:c r="G346" s="27" t="n">
        <x:v>1</x:v>
      </x:c>
      <x:c r="H346" s="27" t="str">
        <x:v>Не найдено</x:v>
      </x:c>
      <x:c r="I346" s="29" t="str">
        <x:f>IF(AND(ISNUMBER(G346),ISNUMBER(H346)),G346-H346,IF(AND(G346="Не найдено",ISNUMBER(H346)),"Появился",IF(AND(ISNUMBER(G346),H346="Не найдено"),"Не найдено","Нет сравнения")))</x:f>
        <x:v>Не найдено</x:v>
      </x:c>
      <x:c r="J346" s="14"/>
    </x:row>
    <x:row r="347" ht="40" customHeight="1">
      <x:c r="A347" s="12" t="str">
        <x:v>карбокситерапия век сургут</x:v>
      </x:c>
      <x:c r="B347" s="12" t="str">
        <x:v>Август 2026</x:v>
      </x:c>
      <x:c r="C347" s="26" t="n">
        <x:v>2</x:v>
      </x:c>
      <x:c r="D347" s="26" t="n">
        <x:v>1</x:v>
      </x:c>
      <x:c r="E347" s="28" t="n">
        <x:f>IF(AND(ISNUMBER(C347),ISNUMBER(D347)),C347-D347,IF(AND(C347="Не найдено",ISNUMBER(D347)),"Появился",IF(AND(ISNUMBER(C347),D347="Не найдено"),"Не найдено","Нет сравнения")))</x:f>
        <x:v>1</x:v>
      </x:c>
      <x:c r="F347" s="15" t="str">
        <x:v>https://kozhaclinic.ru/meshki-i-oteki-pod-glazami/</x:v>
      </x:c>
      <x:c r="G347" s="26" t="n">
        <x:v>2</x:v>
      </x:c>
      <x:c r="H347" s="26" t="n">
        <x:v>2</x:v>
      </x:c>
      <x:c r="I347" s="28" t="n">
        <x:f>IF(AND(ISNUMBER(G347),ISNUMBER(H347)),G347-H347,IF(AND(G347="Не найдено",ISNUMBER(H347)),"Появился",IF(AND(ISNUMBER(G347),H347="Не найдено"),"Не найдено","Нет сравнения")))</x:f>
        <x:v>0</x:v>
      </x:c>
      <x:c r="J347" s="15" t="str">
        <x:v>https://kozhaclinic.ru/inekcionnaya-kosmetologiya/omolozhenie-i-pitanie-kozhi/karboksiterapiya-inektsionnaya/</x:v>
      </x:c>
    </x:row>
    <x:row r="348" ht="40" customHeight="1">
      <x:c r="A348" s="14" t="str">
        <x:v>микротоки от отеков под глазами сургут</x:v>
      </x:c>
      <x:c r="B348" s="14" t="str">
        <x:v>Август 2026</x:v>
      </x:c>
      <x:c r="C348" s="27" t="n">
        <x:v>1</x:v>
      </x:c>
      <x:c r="D348" s="27" t="n">
        <x:v>1</x:v>
      </x:c>
      <x:c r="E348" s="29" t="n">
        <x:f>IF(AND(ISNUMBER(C348),ISNUMBER(D348)),C348-D348,IF(AND(C348="Не найдено",ISNUMBER(D348)),"Появился",IF(AND(ISNUMBER(C348),D348="Не найдено"),"Не найдено","Нет сравнения")))</x:f>
        <x:v>0</x:v>
      </x:c>
      <x:c r="F348" s="16" t="str">
        <x:v>https://kozhaclinic.ru/apparatnaya-kosmetologiya/mikrotokovaya-terapiya/</x:v>
      </x:c>
      <x:c r="G348" s="27" t="n">
        <x:v>2</x:v>
      </x:c>
      <x:c r="H348" s="27" t="n">
        <x:v>2</x:v>
      </x:c>
      <x:c r="I348" s="29" t="n">
        <x:f>IF(AND(ISNUMBER(G348),ISNUMBER(H348)),G348-H348,IF(AND(G348="Не найдено",ISNUMBER(H348)),"Появился",IF(AND(ISNUMBER(G348),H348="Не найдено"),"Не найдено","Нет сравнения")))</x:f>
        <x:v>0</x:v>
      </x:c>
      <x:c r="J348" s="16" t="str">
        <x:v>https://kozhaclinic.ru/apparatnaya-kosmetologiya/mikrotokovaya-terapiya/</x:v>
      </x:c>
    </x:row>
    <x:row r="349" ht="40" customHeight="1">
      <x:c r="A349" s="12" t="str">
        <x:v>коррекция растяжек сургут</x:v>
      </x:c>
      <x:c r="B349" s="12" t="str">
        <x:v>Август 2026</x:v>
      </x:c>
      <x:c r="C349" s="26" t="n">
        <x:v>2</x:v>
      </x:c>
      <x:c r="D349" s="26" t="n">
        <x:v>2</x:v>
      </x:c>
      <x:c r="E349" s="28" t="n">
        <x:f>IF(AND(ISNUMBER(C349),ISNUMBER(D349)),C349-D349,IF(AND(C349="Не найдено",ISNUMBER(D349)),"Появился",IF(AND(ISNUMBER(C349),D349="Не найдено"),"Не найдено","Нет сравнения")))</x:f>
        <x:v>0</x:v>
      </x:c>
      <x:c r="F349" s="15" t="str">
        <x:v>https://kozhaclinic.ru/korrektsiya-rastyazhek/</x:v>
      </x:c>
      <x:c r="G349" s="26" t="str">
        <x:v>Не найдено</x:v>
      </x:c>
      <x:c r="H349" s="26" t="n">
        <x:v>8</x:v>
      </x:c>
      <x:c r="I349" s="28" t="str">
        <x:f>IF(AND(ISNUMBER(G349),ISNUMBER(H349)),G349-H349,IF(AND(G349="Не найдено",ISNUMBER(H349)),"Появился",IF(AND(ISNUMBER(G349),H349="Не найдено"),"Не найдено","Нет сравнения")))</x:f>
        <x:v>Появился</x:v>
      </x:c>
      <x:c r="J349" s="15" t="str">
        <x:v>https://kozhaclinic.ru/korrektsiya-rastyazhek/</x:v>
      </x:c>
    </x:row>
    <x:row r="350" ht="40" customHeight="1">
      <x:c r="A350" s="14" t="str">
        <x:v>убрать растяжки сургут</x:v>
      </x:c>
      <x:c r="B350" s="14" t="str">
        <x:v>Август 2026</x:v>
      </x:c>
      <x:c r="C350" s="27" t="n">
        <x:v>4</x:v>
      </x:c>
      <x:c r="D350" s="27" t="n">
        <x:v>5</x:v>
      </x:c>
      <x:c r="E350" s="29" t="n">
        <x:f>IF(AND(ISNUMBER(C350),ISNUMBER(D350)),C350-D350,IF(AND(C350="Не найдено",ISNUMBER(D350)),"Появился",IF(AND(ISNUMBER(C350),D350="Не найдено"),"Не найдено","Нет сравнения")))</x:f>
        <x:v>-1</x:v>
      </x:c>
      <x:c r="F350" s="16" t="str">
        <x:v>https://kozhaclinic.ru/korrektsiya-rastyazhek/</x:v>
      </x:c>
      <x:c r="G350" s="27" t="str">
        <x:v>Не найдено</x:v>
      </x:c>
      <x:c r="H350" s="27" t="str">
        <x:v>Не найдено</x:v>
      </x:c>
      <x:c r="I350" s="29" t="str">
        <x:f>IF(AND(ISNUMBER(G350),ISNUMBER(H350)),G350-H350,IF(AND(G350="Не найдено",ISNUMBER(H350)),"Появился",IF(AND(ISNUMBER(G350),H350="Не найдено"),"Не найдено","Нет сравнения")))</x:f>
        <x:v>Нет сравнения</x:v>
      </x:c>
      <x:c r="J350" s="14"/>
    </x:row>
    <x:row r="351" ht="40" customHeight="1">
      <x:c r="A351" s="12" t="str">
        <x:v>удаление растяжек сургут</x:v>
      </x:c>
      <x:c r="B351" s="12" t="str">
        <x:v>Август 2026</x:v>
      </x:c>
      <x:c r="C351" s="26" t="n">
        <x:v>5</x:v>
      </x:c>
      <x:c r="D351" s="26" t="n">
        <x:v>5</x:v>
      </x:c>
      <x:c r="E351" s="28" t="n">
        <x:f>IF(AND(ISNUMBER(C351),ISNUMBER(D351)),C351-D351,IF(AND(C351="Не найдено",ISNUMBER(D351)),"Появился",IF(AND(ISNUMBER(C351),D351="Не найдено"),"Не найдено","Нет сравнения")))</x:f>
        <x:v>0</x:v>
      </x:c>
      <x:c r="F351" s="15" t="str">
        <x:v>https://kozhaclinic.ru/korrektsiya-rastyazhek/</x:v>
      </x:c>
      <x:c r="G351" s="26" t="str">
        <x:v>Не найдено</x:v>
      </x:c>
      <x:c r="H351" s="26" t="str">
        <x:v>Не найдено</x:v>
      </x:c>
      <x:c r="I351" s="28" t="str">
        <x:f>IF(AND(ISNUMBER(G351),ISNUMBER(H351)),G351-H351,IF(AND(G351="Не найдено",ISNUMBER(H351)),"Появился",IF(AND(ISNUMBER(G351),H351="Не найдено"),"Не найдено","Нет сравнения")))</x:f>
        <x:v>Нет сравнения</x:v>
      </x:c>
      <x:c r="J351" s="12"/>
    </x:row>
    <x:row r="352" ht="40" customHeight="1">
      <x:c r="A352" s="14" t="str">
        <x:v>лечение растяжек сургут</x:v>
      </x:c>
      <x:c r="B352" s="14" t="str">
        <x:v>Август 2026</x:v>
      </x:c>
      <x:c r="C352" s="27" t="n">
        <x:v>3</x:v>
      </x:c>
      <x:c r="D352" s="27" t="n">
        <x:v>2</x:v>
      </x:c>
      <x:c r="E352" s="29" t="n">
        <x:f>IF(AND(ISNUMBER(C352),ISNUMBER(D352)),C352-D352,IF(AND(C352="Не найдено",ISNUMBER(D352)),"Появился",IF(AND(ISNUMBER(C352),D352="Не найдено"),"Не найдено","Нет сравнения")))</x:f>
        <x:v>1</x:v>
      </x:c>
      <x:c r="F352" s="16" t="str">
        <x:v>https://kozhaclinic.ru/korrektsiya-rastyazhek/</x:v>
      </x:c>
      <x:c r="G352" s="27" t="str">
        <x:v>Не найдено</x:v>
      </x:c>
      <x:c r="H352" s="27" t="str">
        <x:v>Не найдено</x:v>
      </x:c>
      <x:c r="I352" s="29" t="str">
        <x:f>IF(AND(ISNUMBER(G352),ISNUMBER(H352)),G352-H352,IF(AND(G352="Не найдено",ISNUMBER(H352)),"Появился",IF(AND(ISNUMBER(G352),H352="Не найдено"),"Не найдено","Нет сравнения")))</x:f>
        <x:v>Нет сравнения</x:v>
      </x:c>
      <x:c r="J352" s="14"/>
    </x:row>
    <x:row r="353" ht="40" customHeight="1">
      <x:c r="A353" s="12" t="str">
        <x:v>коррекция стрий сургут</x:v>
      </x:c>
      <x:c r="B353" s="12" t="str">
        <x:v>Август 2026</x:v>
      </x:c>
      <x:c r="C353" s="26" t="n">
        <x:v>2</x:v>
      </x:c>
      <x:c r="D353" s="26" t="n">
        <x:v>2</x:v>
      </x:c>
      <x:c r="E353" s="28" t="n">
        <x:f>IF(AND(ISNUMBER(C353),ISNUMBER(D353)),C353-D353,IF(AND(C353="Не найдено",ISNUMBER(D353)),"Появился",IF(AND(ISNUMBER(C353),D353="Не найдено"),"Не найдено","Нет сравнения")))</x:f>
        <x:v>0</x:v>
      </x:c>
      <x:c r="F353" s="15" t="str">
        <x:v>https://kozhaclinic.ru/korrektsiya-rastyazhek/</x:v>
      </x:c>
      <x:c r="G353" s="26" t="n">
        <x:v>2</x:v>
      </x:c>
      <x:c r="H353" s="26" t="n">
        <x:v>2</x:v>
      </x:c>
      <x:c r="I353" s="28" t="n">
        <x:f>IF(AND(ISNUMBER(G353),ISNUMBER(H353)),G353-H353,IF(AND(G353="Не найдено",ISNUMBER(H353)),"Появился",IF(AND(ISNUMBER(G353),H353="Не найдено"),"Не найдено","Нет сравнения")))</x:f>
        <x:v>0</x:v>
      </x:c>
      <x:c r="J353" s="15" t="str">
        <x:v>https://kozhaclinic.ru/korrektsiya-rastyazhek/</x:v>
      </x:c>
    </x:row>
    <x:row r="354" ht="40" customHeight="1">
      <x:c r="A354" s="14" t="str">
        <x:v>лечение стрий сургут</x:v>
      </x:c>
      <x:c r="B354" s="14" t="str">
        <x:v>Август 2026</x:v>
      </x:c>
      <x:c r="C354" s="27" t="n">
        <x:v>2</x:v>
      </x:c>
      <x:c r="D354" s="27" t="n">
        <x:v>2</x:v>
      </x:c>
      <x:c r="E354" s="29" t="n">
        <x:f>IF(AND(ISNUMBER(C354),ISNUMBER(D354)),C354-D354,IF(AND(C354="Не найдено",ISNUMBER(D354)),"Появился",IF(AND(ISNUMBER(C354),D354="Не найдено"),"Не найдено","Нет сравнения")))</x:f>
        <x:v>0</x:v>
      </x:c>
      <x:c r="F354" s="16" t="str">
        <x:v>https://kozhaclinic.ru/korrektsiya-rastyazhek/</x:v>
      </x:c>
      <x:c r="G354" s="27" t="n">
        <x:v>9</x:v>
      </x:c>
      <x:c r="H354" s="27" t="n">
        <x:v>7</x:v>
      </x:c>
      <x:c r="I354" s="29" t="n">
        <x:f>IF(AND(ISNUMBER(G354),ISNUMBER(H354)),G354-H354,IF(AND(G354="Не найдено",ISNUMBER(H354)),"Появился",IF(AND(ISNUMBER(G354),H354="Не найдено"),"Не найдено","Нет сравнения")))</x:f>
        <x:v>2</x:v>
      </x:c>
      <x:c r="J354" s="16" t="str">
        <x:v>https://kozhaclinic.ru/korrektsiya-rastyazhek/</x:v>
      </x:c>
    </x:row>
    <x:row r="355" ht="40" customHeight="1">
      <x:c r="A355" s="12" t="str">
        <x:v>убрать стрии сургут</x:v>
      </x:c>
      <x:c r="B355" s="12" t="str">
        <x:v>Август 2026</x:v>
      </x:c>
      <x:c r="C355" s="26" t="n">
        <x:v>3</x:v>
      </x:c>
      <x:c r="D355" s="26" t="n">
        <x:v>2</x:v>
      </x:c>
      <x:c r="E355" s="28" t="n">
        <x:f>IF(AND(ISNUMBER(C355),ISNUMBER(D355)),C355-D355,IF(AND(C355="Не найдено",ISNUMBER(D355)),"Появился",IF(AND(ISNUMBER(C355),D355="Не найдено"),"Не найдено","Нет сравнения")))</x:f>
        <x:v>1</x:v>
      </x:c>
      <x:c r="F355" s="15" t="str">
        <x:v>https://kozhaclinic.ru/korrektsiya-rastyazhek/</x:v>
      </x:c>
      <x:c r="G355" s="26" t="str">
        <x:v>Не найдено</x:v>
      </x:c>
      <x:c r="H355" s="26" t="n">
        <x:v>5</x:v>
      </x:c>
      <x:c r="I355" s="28" t="str">
        <x:f>IF(AND(ISNUMBER(G355),ISNUMBER(H355)),G355-H355,IF(AND(G355="Не найдено",ISNUMBER(H355)),"Появился",IF(AND(ISNUMBER(G355),H355="Не найдено"),"Не найдено","Нет сравнения")))</x:f>
        <x:v>Появился</x:v>
      </x:c>
      <x:c r="J355" s="15" t="str">
        <x:v>https://kozhaclinic.ru/korrektsiya-rastyazhek/</x:v>
      </x:c>
    </x:row>
    <x:row r="356" ht="40" customHeight="1">
      <x:c r="A356" s="14" t="str">
        <x:v>растяжки косметология сургут</x:v>
      </x:c>
      <x:c r="B356" s="14" t="str">
        <x:v>Август 2026</x:v>
      </x:c>
      <x:c r="C356" s="27" t="n">
        <x:v>8</x:v>
      </x:c>
      <x:c r="D356" s="27" t="n">
        <x:v>2</x:v>
      </x:c>
      <x:c r="E356" s="29" t="n">
        <x:f>IF(AND(ISNUMBER(C356),ISNUMBER(D356)),C356-D356,IF(AND(C356="Не найдено",ISNUMBER(D356)),"Появился",IF(AND(ISNUMBER(C356),D356="Не найдено"),"Не найдено","Нет сравнения")))</x:f>
        <x:v>6</x:v>
      </x:c>
      <x:c r="F356" s="16" t="str">
        <x:v>https://kozhaclinic.ru/korrektsiya-rastyazhek/</x:v>
      </x:c>
      <x:c r="G356" s="27" t="str">
        <x:v>Не найдено</x:v>
      </x:c>
      <x:c r="H356" s="27" t="n">
        <x:v>8</x:v>
      </x:c>
      <x:c r="I356" s="29" t="str">
        <x:f>IF(AND(ISNUMBER(G356),ISNUMBER(H356)),G356-H356,IF(AND(G356="Не найдено",ISNUMBER(H356)),"Появился",IF(AND(ISNUMBER(G356),H356="Не найдено"),"Не найдено","Нет сравнения")))</x:f>
        <x:v>Появился</x:v>
      </x:c>
      <x:c r="J356" s="16" t="str">
        <x:v>https://kozhaclinic.ru/korrektsiya-rastyazhek/</x:v>
      </x:c>
    </x:row>
    <x:row r="357" ht="40" customHeight="1">
      <x:c r="A357" s="12" t="str">
        <x:v>удаление растяжек цена сургут</x:v>
      </x:c>
      <x:c r="B357" s="12" t="str">
        <x:v>Август 2026</x:v>
      </x:c>
      <x:c r="C357" s="26" t="n">
        <x:v>12</x:v>
      </x:c>
      <x:c r="D357" s="26" t="n">
        <x:v>12</x:v>
      </x:c>
      <x:c r="E357" s="28" t="n">
        <x:f>IF(AND(ISNUMBER(C357),ISNUMBER(D357)),C357-D357,IF(AND(C357="Не найдено",ISNUMBER(D357)),"Появился",IF(AND(ISNUMBER(C357),D357="Не найдено"),"Не найдено","Нет сравнения")))</x:f>
        <x:v>0</x:v>
      </x:c>
      <x:c r="F357" s="15" t="str">
        <x:v>https://kozhaclinic.ru/</x:v>
      </x:c>
      <x:c r="G357" s="26" t="str">
        <x:v>Не найдено</x:v>
      </x:c>
      <x:c r="H357" s="26" t="str">
        <x:v>Не найдено</x:v>
      </x:c>
      <x:c r="I357" s="28" t="str">
        <x:f>IF(AND(ISNUMBER(G357),ISNUMBER(H357)),G357-H357,IF(AND(G357="Не найдено",ISNUMBER(H357)),"Появился",IF(AND(ISNUMBER(G357),H357="Не найдено"),"Не найдено","Нет сравнения")))</x:f>
        <x:v>Нет сравнения</x:v>
      </x:c>
      <x:c r="J357" s="12"/>
    </x:row>
    <x:row r="358" ht="40" customHeight="1">
      <x:c r="A358" s="14" t="str">
        <x:v>омоложение рук сургут</x:v>
      </x:c>
      <x:c r="B358" s="14" t="str">
        <x:v>Август 2026</x:v>
      </x:c>
      <x:c r="C358" s="27" t="n">
        <x:v>1</x:v>
      </x:c>
      <x:c r="D358" s="27" t="n">
        <x:v>1</x:v>
      </x:c>
      <x:c r="E358" s="29" t="n">
        <x:f>IF(AND(ISNUMBER(C358),ISNUMBER(D358)),C358-D358,IF(AND(C358="Не найдено",ISNUMBER(D358)),"Появился",IF(AND(ISNUMBER(C358),D358="Не найдено"),"Не найдено","Нет сравнения")))</x:f>
        <x:v>0</x:v>
      </x:c>
      <x:c r="F358" s="16" t="str">
        <x:v>https://kozhaclinic.ru/omolozhenie-kozhi-ruk/</x:v>
      </x:c>
      <x:c r="G358" s="27" t="n">
        <x:v>1</x:v>
      </x:c>
      <x:c r="H358" s="27" t="n">
        <x:v>1</x:v>
      </x:c>
      <x:c r="I358" s="29" t="n">
        <x:f>IF(AND(ISNUMBER(G358),ISNUMBER(H358)),G358-H358,IF(AND(G358="Не найдено",ISNUMBER(H358)),"Появился",IF(AND(ISNUMBER(G358),H358="Не найдено"),"Не найдено","Нет сравнения")))</x:f>
        <x:v>0</x:v>
      </x:c>
      <x:c r="J358" s="16" t="str">
        <x:v>https://kozhaclinic.ru/omolozhenie-kozhi-ruk/</x:v>
      </x:c>
    </x:row>
    <x:row r="359" ht="40" customHeight="1">
      <x:c r="A359" s="12" t="str">
        <x:v>омоложение кожи рук сургут</x:v>
      </x:c>
      <x:c r="B359" s="12" t="str">
        <x:v>Август 2026</x:v>
      </x:c>
      <x:c r="C359" s="26" t="n">
        <x:v>1</x:v>
      </x:c>
      <x:c r="D359" s="26" t="n">
        <x:v>1</x:v>
      </x:c>
      <x:c r="E359" s="28" t="n">
        <x:f>IF(AND(ISNUMBER(C359),ISNUMBER(D359)),C359-D359,IF(AND(C359="Не найдено",ISNUMBER(D359)),"Появился",IF(AND(ISNUMBER(C359),D359="Не найдено"),"Не найдено","Нет сравнения")))</x:f>
        <x:v>0</x:v>
      </x:c>
      <x:c r="F359" s="15" t="str">
        <x:v>https://kozhaclinic.ru/omolozhenie-kozhi-ruk/</x:v>
      </x:c>
      <x:c r="G359" s="26" t="n">
        <x:v>1</x:v>
      </x:c>
      <x:c r="H359" s="26" t="n">
        <x:v>1</x:v>
      </x:c>
      <x:c r="I359" s="28" t="n">
        <x:f>IF(AND(ISNUMBER(G359),ISNUMBER(H359)),G359-H359,IF(AND(G359="Не найдено",ISNUMBER(H359)),"Появился",IF(AND(ISNUMBER(G359),H359="Не найдено"),"Не найдено","Нет сравнения")))</x:f>
        <x:v>0</x:v>
      </x:c>
      <x:c r="J359" s="15" t="str">
        <x:v>https://kozhaclinic.ru/</x:v>
      </x:c>
    </x:row>
    <x:row r="360" ht="40" customHeight="1">
      <x:c r="A360" s="14" t="str">
        <x:v>омоложение кистей сургут</x:v>
      </x:c>
      <x:c r="B360" s="14" t="str">
        <x:v>Август 2026</x:v>
      </x:c>
      <x:c r="C360" s="27" t="n">
        <x:v>1</x:v>
      </x:c>
      <x:c r="D360" s="27" t="n">
        <x:v>1</x:v>
      </x:c>
      <x:c r="E360" s="29" t="n">
        <x:f>IF(AND(ISNUMBER(C360),ISNUMBER(D360)),C360-D360,IF(AND(C360="Не найдено",ISNUMBER(D360)),"Появился",IF(AND(ISNUMBER(C360),D360="Не найдено"),"Не найдено","Нет сравнения")))</x:f>
        <x:v>0</x:v>
      </x:c>
      <x:c r="F360" s="16" t="str">
        <x:v>https://kozhaclinic.ru/omolozhenie-kozhi-ruk/</x:v>
      </x:c>
      <x:c r="G360" s="27" t="n">
        <x:v>1</x:v>
      </x:c>
      <x:c r="H360" s="27" t="n">
        <x:v>2</x:v>
      </x:c>
      <x:c r="I360" s="29" t="n">
        <x:f>IF(AND(ISNUMBER(G360),ISNUMBER(H360)),G360-H360,IF(AND(G360="Не найдено",ISNUMBER(H360)),"Появился",IF(AND(ISNUMBER(G360),H360="Не найдено"),"Не найдено","Нет сравнения")))</x:f>
        <x:v>-1</x:v>
      </x:c>
      <x:c r="J360" s="16" t="str">
        <x:v>https://kozhaclinic.ru/omolozhenie-kozhi-ruk/</x:v>
      </x:c>
    </x:row>
    <x:row r="361" ht="40" customHeight="1">
      <x:c r="A361" s="12" t="str">
        <x:v>косметология рук сургут</x:v>
      </x:c>
      <x:c r="B361" s="12" t="str">
        <x:v>Август 2026</x:v>
      </x:c>
      <x:c r="C361" s="26" t="n">
        <x:v>6</x:v>
      </x:c>
      <x:c r="D361" s="26" t="n">
        <x:v>7</x:v>
      </x:c>
      <x:c r="E361" s="28" t="n">
        <x:f>IF(AND(ISNUMBER(C361),ISNUMBER(D361)),C361-D361,IF(AND(C361="Не найдено",ISNUMBER(D361)),"Появился",IF(AND(ISNUMBER(C361),D361="Не найдено"),"Не найдено","Нет сравнения")))</x:f>
        <x:v>-1</x:v>
      </x:c>
      <x:c r="F361" s="15" t="str">
        <x:v>https://kozhaclinic.ru/</x:v>
      </x:c>
      <x:c r="G361" s="26" t="n">
        <x:v>1</x:v>
      </x:c>
      <x:c r="H361" s="26" t="n">
        <x:v>1</x:v>
      </x:c>
      <x:c r="I361" s="28" t="n">
        <x:f>IF(AND(ISNUMBER(G361),ISNUMBER(H361)),G361-H361,IF(AND(G361="Не найдено",ISNUMBER(H361)),"Появился",IF(AND(ISNUMBER(G361),H361="Не найдено"),"Не найдено","Нет сравнения")))</x:f>
        <x:v>0</x:v>
      </x:c>
      <x:c r="J361" s="15" t="str">
        <x:v>https://kozhaclinic.ru/</x:v>
      </x:c>
    </x:row>
    <x:row r="362" ht="40" customHeight="1">
      <x:c r="A362" s="14" t="str">
        <x:v>омоложение рук цена</x:v>
      </x:c>
      <x:c r="B362" s="14" t="str">
        <x:v>Август 2026</x:v>
      </x:c>
      <x:c r="C362" s="27" t="n">
        <x:v>1</x:v>
      </x:c>
      <x:c r="D362" s="27" t="n">
        <x:v>1</x:v>
      </x:c>
      <x:c r="E362" s="29" t="n">
        <x:f>IF(AND(ISNUMBER(C362),ISNUMBER(D362)),C362-D362,IF(AND(C362="Не найдено",ISNUMBER(D362)),"Появился",IF(AND(ISNUMBER(C362),D362="Не найдено"),"Не найдено","Нет сравнения")))</x:f>
        <x:v>0</x:v>
      </x:c>
      <x:c r="F362" s="16" t="str">
        <x:v>https://kozhaclinic.ru/ceny-prajs-list/</x:v>
      </x:c>
      <x:c r="G362" s="27" t="str">
        <x:v>Не найдено</x:v>
      </x:c>
      <x:c r="H362" s="27" t="str">
        <x:v>Не найдено</x:v>
      </x:c>
      <x:c r="I362" s="29" t="str">
        <x:f>IF(AND(ISNUMBER(G362),ISNUMBER(H362)),G362-H362,IF(AND(G362="Не найдено",ISNUMBER(H362)),"Появился",IF(AND(ISNUMBER(G362),H362="Не найдено"),"Не найдено","Нет сравнения")))</x:f>
        <x:v>Нет сравнения</x:v>
      </x:c>
      <x:c r="J362" s="14"/>
    </x:row>
    <x:row r="363" ht="40" customHeight="1">
      <x:c r="A363" s="12" t="str">
        <x:v>биоревитализация рук сургут</x:v>
      </x:c>
      <x:c r="B363" s="12" t="str">
        <x:v>Август 2026</x:v>
      </x:c>
      <x:c r="C363" s="26" t="n">
        <x:v>3</x:v>
      </x:c>
      <x:c r="D363" s="26" t="n">
        <x:v>7</x:v>
      </x:c>
      <x:c r="E363" s="28" t="n">
        <x:f>IF(AND(ISNUMBER(C363),ISNUMBER(D363)),C363-D363,IF(AND(C363="Не найдено",ISNUMBER(D363)),"Появился",IF(AND(ISNUMBER(C363),D363="Не найдено"),"Не найдено","Нет сравнения")))</x:f>
        <x:v>-4</x:v>
      </x:c>
      <x:c r="F363" s="15" t="str">
        <x:v>https://kozhaclinic.ru/inekcionnaya-kosmetologiya/omolozhenie-i-pitanie-kozhi/biorevitalizatsiya/</x:v>
      </x:c>
      <x:c r="G363" s="26" t="n">
        <x:v>3</x:v>
      </x:c>
      <x:c r="H363" s="26" t="n">
        <x:v>6</x:v>
      </x:c>
      <x:c r="I363" s="28" t="n">
        <x:f>IF(AND(ISNUMBER(G363),ISNUMBER(H363)),G363-H363,IF(AND(G363="Не найдено",ISNUMBER(H363)),"Появился",IF(AND(ISNUMBER(G363),H363="Не найдено"),"Не найдено","Нет сравнения")))</x:f>
        <x:v>-3</x:v>
      </x:c>
      <x:c r="J363" s="15" t="str">
        <x:v>https://kozhaclinic.ru/inekcionnaya-kosmetologiya/omolozhenie-i-pitanie-kozhi/biorevitalizatsiya/</x:v>
      </x:c>
    </x:row>
    <x:row r="364" ht="40" customHeight="1">
      <x:c r="A364" s="14" t="str">
        <x:v>биоревитализация кистей рук сургут</x:v>
      </x:c>
      <x:c r="B364" s="14" t="str">
        <x:v>Август 2026</x:v>
      </x:c>
      <x:c r="C364" s="27" t="n">
        <x:v>2</x:v>
      </x:c>
      <x:c r="D364" s="27" t="n">
        <x:v>4</x:v>
      </x:c>
      <x:c r="E364" s="29" t="n">
        <x:f>IF(AND(ISNUMBER(C364),ISNUMBER(D364)),C364-D364,IF(AND(C364="Не найдено",ISNUMBER(D364)),"Появился",IF(AND(ISNUMBER(C364),D364="Не найдено"),"Не найдено","Нет сравнения")))</x:f>
        <x:v>-2</x:v>
      </x:c>
      <x:c r="F364" s="16" t="str">
        <x:v>https://kozhaclinic.ru/ceny-prajs-list/</x:v>
      </x:c>
      <x:c r="G364" s="27" t="n">
        <x:v>3</x:v>
      </x:c>
      <x:c r="H364" s="27" t="n">
        <x:v>4</x:v>
      </x:c>
      <x:c r="I364" s="29" t="n">
        <x:f>IF(AND(ISNUMBER(G364),ISNUMBER(H364)),G364-H364,IF(AND(G364="Не найдено",ISNUMBER(H364)),"Появился",IF(AND(ISNUMBER(G364),H364="Не найдено"),"Не найдено","Нет сравнения")))</x:f>
        <x:v>-1</x:v>
      </x:c>
      <x:c r="J364" s="16" t="str">
        <x:v>https://kozhaclinic.ru/inekcionnaya-kosmetologiya/omolozhenie-i-pitanie-kozhi/biorevitalizatsiya/</x:v>
      </x:c>
    </x:row>
    <x:row r="365" ht="40" customHeight="1">
      <x:c r="A365" s="12" t="str">
        <x:v>фотоомоложение рук сургут</x:v>
      </x:c>
      <x:c r="B365" s="12" t="str">
        <x:v>Август 2026</x:v>
      </x:c>
      <x:c r="C365" s="26" t="n">
        <x:v>2</x:v>
      </x:c>
      <x:c r="D365" s="26" t="n">
        <x:v>1</x:v>
      </x:c>
      <x:c r="E365" s="28" t="n">
        <x:f>IF(AND(ISNUMBER(C365),ISNUMBER(D365)),C365-D365,IF(AND(C365="Не найдено",ISNUMBER(D365)),"Появился",IF(AND(ISNUMBER(C365),D365="Не найдено"),"Не найдено","Нет сравнения")))</x:f>
        <x:v>1</x:v>
      </x:c>
      <x:c r="F365" s="15" t="str">
        <x:v>https://kozhaclinic.ru/omolozhenie-kozhi-ruk/</x:v>
      </x:c>
      <x:c r="G365" s="26" t="n">
        <x:v>2</x:v>
      </x:c>
      <x:c r="H365" s="26" t="n">
        <x:v>1</x:v>
      </x:c>
      <x:c r="I365" s="28" t="n">
        <x:f>IF(AND(ISNUMBER(G365),ISNUMBER(H365)),G365-H365,IF(AND(G365="Не найдено",ISNUMBER(H365)),"Появился",IF(AND(ISNUMBER(G365),H365="Не найдено"),"Не найдено","Нет сравнения")))</x:f>
        <x:v>1</x:v>
      </x:c>
      <x:c r="J365" s="15" t="str">
        <x:v>https://kozhaclinic.ru/apparatnaya-kosmetologiya/fotoomolozhenie-inmode/</x:v>
      </x:c>
    </x:row>
    <x:row r="366" ht="40" customHeight="1">
      <x:c r="A366" s="14" t="str">
        <x:v>фотоомоложение кистей сургут</x:v>
      </x:c>
      <x:c r="B366" s="14" t="str">
        <x:v>Август 2026</x:v>
      </x:c>
      <x:c r="C366" s="27" t="n">
        <x:v>2</x:v>
      </x:c>
      <x:c r="D366" s="27" t="n">
        <x:v>1</x:v>
      </x:c>
      <x:c r="E366" s="29" t="n">
        <x:f>IF(AND(ISNUMBER(C366),ISNUMBER(D366)),C366-D366,IF(AND(C366="Не найдено",ISNUMBER(D366)),"Появился",IF(AND(ISNUMBER(C366),D366="Не найдено"),"Не найдено","Нет сравнения")))</x:f>
        <x:v>1</x:v>
      </x:c>
      <x:c r="F366" s="16" t="str">
        <x:v>https://kozhaclinic.ru/omolozhenie-kozhi-ruk/</x:v>
      </x:c>
      <x:c r="G366" s="27" t="n">
        <x:v>3</x:v>
      </x:c>
      <x:c r="H366" s="27" t="n">
        <x:v>2</x:v>
      </x:c>
      <x:c r="I366" s="29" t="n">
        <x:f>IF(AND(ISNUMBER(G366),ISNUMBER(H366)),G366-H366,IF(AND(G366="Не найдено",ISNUMBER(H366)),"Появился",IF(AND(ISNUMBER(G366),H366="Не найдено"),"Не найдено","Нет сравнения")))</x:f>
        <x:v>1</x:v>
      </x:c>
      <x:c r="J366" s="16" t="str">
        <x:v>https://kozhaclinic.ru/apparatnaya-kosmetologiya/fotoomolozhenie-inmode/</x:v>
      </x:c>
    </x:row>
    <x:row r="367" ht="40" customHeight="1">
      <x:c r="A367" s="12" t="str">
        <x:v>лечение акне сургут</x:v>
      </x:c>
      <x:c r="B367" s="12" t="str">
        <x:v>Август 2026</x:v>
      </x:c>
      <x:c r="C367" s="26" t="n">
        <x:v>2</x:v>
      </x:c>
      <x:c r="D367" s="26" t="n">
        <x:v>2</x:v>
      </x:c>
      <x:c r="E367" s="28" t="n">
        <x:f>IF(AND(ISNUMBER(C367),ISNUMBER(D367)),C367-D367,IF(AND(C367="Не найдено",ISNUMBER(D367)),"Появился",IF(AND(ISNUMBER(C367),D367="Не найдено"),"Не найдено","Нет сравнения")))</x:f>
        <x:v>0</x:v>
      </x:c>
      <x:c r="F367" s="15" t="str">
        <x:v>https://kozhaclinic.ru/lechenie-akne/</x:v>
      </x:c>
      <x:c r="G367" s="26" t="n">
        <x:v>4</x:v>
      </x:c>
      <x:c r="H367" s="26" t="n">
        <x:v>3</x:v>
      </x:c>
      <x:c r="I367" s="28" t="n">
        <x:f>IF(AND(ISNUMBER(G367),ISNUMBER(H367)),G367-H367,IF(AND(G367="Не найдено",ISNUMBER(H367)),"Появился",IF(AND(ISNUMBER(G367),H367="Не найдено"),"Не найдено","Нет сравнения")))</x:f>
        <x:v>1</x:v>
      </x:c>
      <x:c r="J367" s="15" t="str">
        <x:v>https://kozhaclinic.ru/lechenie-akne/</x:v>
      </x:c>
    </x:row>
    <x:row r="368" ht="40" customHeight="1">
      <x:c r="A368" s="14" t="str">
        <x:v>лечение акне в сургуте</x:v>
      </x:c>
      <x:c r="B368" s="14" t="str">
        <x:v>Август 2026</x:v>
      </x:c>
      <x:c r="C368" s="27" t="n">
        <x:v>2</x:v>
      </x:c>
      <x:c r="D368" s="27" t="n">
        <x:v>2</x:v>
      </x:c>
      <x:c r="E368" s="29" t="n">
        <x:f>IF(AND(ISNUMBER(C368),ISNUMBER(D368)),C368-D368,IF(AND(C368="Не найдено",ISNUMBER(D368)),"Появился",IF(AND(ISNUMBER(C368),D368="Не найдено"),"Не найдено","Нет сравнения")))</x:f>
        <x:v>0</x:v>
      </x:c>
      <x:c r="F368" s="16" t="str">
        <x:v>https://kozhaclinic.ru/lechenie-akne/</x:v>
      </x:c>
      <x:c r="G368" s="27" t="n">
        <x:v>4</x:v>
      </x:c>
      <x:c r="H368" s="27" t="n">
        <x:v>3</x:v>
      </x:c>
      <x:c r="I368" s="29" t="n">
        <x:f>IF(AND(ISNUMBER(G368),ISNUMBER(H368)),G368-H368,IF(AND(G368="Не найдено",ISNUMBER(H368)),"Появился",IF(AND(ISNUMBER(G368),H368="Не найдено"),"Не найдено","Нет сравнения")))</x:f>
        <x:v>1</x:v>
      </x:c>
      <x:c r="J368" s="16" t="str">
        <x:v>https://kozhaclinic.ru/lechenie-akne/</x:v>
      </x:c>
    </x:row>
    <x:row r="369" ht="40" customHeight="1">
      <x:c r="A369" s="12" t="str">
        <x:v>акне сургут</x:v>
      </x:c>
      <x:c r="B369" s="12" t="str">
        <x:v>Август 2026</x:v>
      </x:c>
      <x:c r="C369" s="26" t="n">
        <x:v>2</x:v>
      </x:c>
      <x:c r="D369" s="26" t="n">
        <x:v>2</x:v>
      </x:c>
      <x:c r="E369" s="28" t="n">
        <x:f>IF(AND(ISNUMBER(C369),ISNUMBER(D369)),C369-D369,IF(AND(C369="Не найдено",ISNUMBER(D369)),"Появился",IF(AND(ISNUMBER(C369),D369="Не найдено"),"Не найдено","Нет сравнения")))</x:f>
        <x:v>0</x:v>
      </x:c>
      <x:c r="F369" s="15" t="str">
        <x:v>https://kozhaclinic.ru/lechenie-akne/</x:v>
      </x:c>
      <x:c r="G369" s="26" t="n">
        <x:v>3</x:v>
      </x:c>
      <x:c r="H369" s="26" t="n">
        <x:v>4</x:v>
      </x:c>
      <x:c r="I369" s="28" t="n">
        <x:f>IF(AND(ISNUMBER(G369),ISNUMBER(H369)),G369-H369,IF(AND(G369="Не найдено",ISNUMBER(H369)),"Появился",IF(AND(ISNUMBER(G369),H369="Не найдено"),"Не найдено","Нет сравнения")))</x:f>
        <x:v>-1</x:v>
      </x:c>
      <x:c r="J369" s="15" t="str">
        <x:v>https://kozhaclinic.ru/lechenie-akne/</x:v>
      </x:c>
    </x:row>
    <x:row r="370" ht="40" customHeight="1">
      <x:c r="A370" s="14" t="str">
        <x:v>лечение угревой болезни сургут</x:v>
      </x:c>
      <x:c r="B370" s="14" t="str">
        <x:v>Август 2026</x:v>
      </x:c>
      <x:c r="C370" s="27" t="n">
        <x:v>2</x:v>
      </x:c>
      <x:c r="D370" s="27" t="n">
        <x:v>2</x:v>
      </x:c>
      <x:c r="E370" s="29" t="n">
        <x:f>IF(AND(ISNUMBER(C370),ISNUMBER(D370)),C370-D370,IF(AND(C370="Не найдено",ISNUMBER(D370)),"Появился",IF(AND(ISNUMBER(C370),D370="Не найдено"),"Не найдено","Нет сравнения")))</x:f>
        <x:v>0</x:v>
      </x:c>
      <x:c r="F370" s="16" t="str">
        <x:v>https://kozhaclinic.ru/lechenie-akne/</x:v>
      </x:c>
      <x:c r="G370" s="27" t="n">
        <x:v>3</x:v>
      </x:c>
      <x:c r="H370" s="27" t="n">
        <x:v>4</x:v>
      </x:c>
      <x:c r="I370" s="29" t="n">
        <x:f>IF(AND(ISNUMBER(G370),ISNUMBER(H370)),G370-H370,IF(AND(G370="Не найдено",ISNUMBER(H370)),"Появился",IF(AND(ISNUMBER(G370),H370="Не найдено"),"Не найдено","Нет сравнения")))</x:f>
        <x:v>-1</x:v>
      </x:c>
      <x:c r="J370" s="16" t="str">
        <x:v>https://kozhaclinic.ru/lechenie-akne/</x:v>
      </x:c>
    </x:row>
    <x:row r="371" ht="40" customHeight="1">
      <x:c r="A371" s="12" t="str">
        <x:v>лечение угрей сургут</x:v>
      </x:c>
      <x:c r="B371" s="12" t="str">
        <x:v>Август 2026</x:v>
      </x:c>
      <x:c r="C371" s="26" t="n">
        <x:v>2</x:v>
      </x:c>
      <x:c r="D371" s="26" t="n">
        <x:v>2</x:v>
      </x:c>
      <x:c r="E371" s="28" t="n">
        <x:f>IF(AND(ISNUMBER(C371),ISNUMBER(D371)),C371-D371,IF(AND(C371="Не найдено",ISNUMBER(D371)),"Появился",IF(AND(ISNUMBER(C371),D371="Не найдено"),"Не найдено","Нет сравнения")))</x:f>
        <x:v>0</x:v>
      </x:c>
      <x:c r="F371" s="15" t="str">
        <x:v>https://kozhaclinic.ru/lechenie-akne/</x:v>
      </x:c>
      <x:c r="G371" s="26" t="n">
        <x:v>3</x:v>
      </x:c>
      <x:c r="H371" s="26" t="n">
        <x:v>3</x:v>
      </x:c>
      <x:c r="I371" s="28" t="n">
        <x:f>IF(AND(ISNUMBER(G371),ISNUMBER(H371)),G371-H371,IF(AND(G371="Не найдено",ISNUMBER(H371)),"Появился",IF(AND(ISNUMBER(G371),H371="Не найдено"),"Не найдено","Нет сравнения")))</x:f>
        <x:v>0</x:v>
      </x:c>
      <x:c r="J371" s="15" t="str">
        <x:v>https://kozhaclinic.ru/lechenie-akne/</x:v>
      </x:c>
    </x:row>
    <x:row r="372" ht="40" customHeight="1">
      <x:c r="A372" s="14" t="str">
        <x:v>лечение прыщей сургут</x:v>
      </x:c>
      <x:c r="B372" s="14" t="str">
        <x:v>Август 2026</x:v>
      </x:c>
      <x:c r="C372" s="27" t="n">
        <x:v>6</x:v>
      </x:c>
      <x:c r="D372" s="27" t="n">
        <x:v>2</x:v>
      </x:c>
      <x:c r="E372" s="29" t="n">
        <x:f>IF(AND(ISNUMBER(C372),ISNUMBER(D372)),C372-D372,IF(AND(C372="Не найдено",ISNUMBER(D372)),"Появился",IF(AND(ISNUMBER(C372),D372="Не найдено"),"Не найдено","Нет сравнения")))</x:f>
        <x:v>4</x:v>
      </x:c>
      <x:c r="F372" s="16" t="str">
        <x:v>https://kozhaclinic.ru/lechenie-akne/</x:v>
      </x:c>
      <x:c r="G372" s="27" t="n">
        <x:v>4</x:v>
      </x:c>
      <x:c r="H372" s="27" t="n">
        <x:v>3</x:v>
      </x:c>
      <x:c r="I372" s="29" t="n">
        <x:f>IF(AND(ISNUMBER(G372),ISNUMBER(H372)),G372-H372,IF(AND(G372="Не найдено",ISNUMBER(H372)),"Появился",IF(AND(ISNUMBER(G372),H372="Не найдено"),"Не найдено","Нет сравнения")))</x:f>
        <x:v>1</x:v>
      </x:c>
      <x:c r="J372" s="16" t="str">
        <x:v>https://kozhaclinic.ru/lechenie-akne/</x:v>
      </x:c>
    </x:row>
    <x:row r="373" ht="40" customHeight="1">
      <x:c r="A373" s="12" t="str">
        <x:v>дерматолог акне сургут</x:v>
      </x:c>
      <x:c r="B373" s="12" t="str">
        <x:v>Август 2026</x:v>
      </x:c>
      <x:c r="C373" s="26" t="n">
        <x:v>2</x:v>
      </x:c>
      <x:c r="D373" s="26" t="n">
        <x:v>2</x:v>
      </x:c>
      <x:c r="E373" s="28" t="n">
        <x:f>IF(AND(ISNUMBER(C373),ISNUMBER(D373)),C373-D373,IF(AND(C373="Не найдено",ISNUMBER(D373)),"Появился",IF(AND(ISNUMBER(C373),D373="Не найдено"),"Не найдено","Нет сравнения")))</x:f>
        <x:v>0</x:v>
      </x:c>
      <x:c r="F373" s="15" t="str">
        <x:v>https://kozhaclinic.ru/lechenie-akne/</x:v>
      </x:c>
      <x:c r="G373" s="26" t="n">
        <x:v>3</x:v>
      </x:c>
      <x:c r="H373" s="26" t="n">
        <x:v>3</x:v>
      </x:c>
      <x:c r="I373" s="28" t="n">
        <x:f>IF(AND(ISNUMBER(G373),ISNUMBER(H373)),G373-H373,IF(AND(G373="Не найдено",ISNUMBER(H373)),"Появился",IF(AND(ISNUMBER(G373),H373="Не найдено"),"Не найдено","Нет сравнения")))</x:f>
        <x:v>0</x:v>
      </x:c>
      <x:c r="J373" s="15" t="str">
        <x:v>https://kozhaclinic.ru/lechenie-akne/</x:v>
      </x:c>
    </x:row>
    <x:row r="374" ht="40" customHeight="1">
      <x:c r="A374" s="14" t="str">
        <x:v>лечение акне дерматолог сургут</x:v>
      </x:c>
      <x:c r="B374" s="14" t="str">
        <x:v>Август 2026</x:v>
      </x:c>
      <x:c r="C374" s="27" t="n">
        <x:v>4</x:v>
      </x:c>
      <x:c r="D374" s="27" t="n">
        <x:v>2</x:v>
      </x:c>
      <x:c r="E374" s="29" t="n">
        <x:f>IF(AND(ISNUMBER(C374),ISNUMBER(D374)),C374-D374,IF(AND(C374="Не найдено",ISNUMBER(D374)),"Появился",IF(AND(ISNUMBER(C374),D374="Не найдено"),"Не найдено","Нет сравнения")))</x:f>
        <x:v>2</x:v>
      </x:c>
      <x:c r="F374" s="16" t="str">
        <x:v>https://kozhaclinic.ru/lechenie-akne/</x:v>
      </x:c>
      <x:c r="G374" s="27" t="n">
        <x:v>4</x:v>
      </x:c>
      <x:c r="H374" s="27" t="n">
        <x:v>4</x:v>
      </x:c>
      <x:c r="I374" s="29" t="n">
        <x:f>IF(AND(ISNUMBER(G374),ISNUMBER(H374)),G374-H374,IF(AND(G374="Не найдено",ISNUMBER(H374)),"Появился",IF(AND(ISNUMBER(G374),H374="Не найдено"),"Не найдено","Нет сравнения")))</x:f>
        <x:v>0</x:v>
      </x:c>
      <x:c r="J374" s="16" t="str">
        <x:v>https://kozhaclinic.ru/lechenie-akne/</x:v>
      </x:c>
    </x:row>
    <x:row r="375" ht="40" customHeight="1">
      <x:c r="A375" s="12" t="str">
        <x:v>клиника лечения акне сургут</x:v>
      </x:c>
      <x:c r="B375" s="12" t="str">
        <x:v>Август 2026</x:v>
      </x:c>
      <x:c r="C375" s="26" t="n">
        <x:v>2</x:v>
      </x:c>
      <x:c r="D375" s="26" t="n">
        <x:v>2</x:v>
      </x:c>
      <x:c r="E375" s="28" t="n">
        <x:f>IF(AND(ISNUMBER(C375),ISNUMBER(D375)),C375-D375,IF(AND(C375="Не найдено",ISNUMBER(D375)),"Появился",IF(AND(ISNUMBER(C375),D375="Не найдено"),"Не найдено","Нет сравнения")))</x:f>
        <x:v>0</x:v>
      </x:c>
      <x:c r="F375" s="15" t="str">
        <x:v>https://kozhaclinic.ru/lechenie-akne/</x:v>
      </x:c>
      <x:c r="G375" s="26" t="n">
        <x:v>3</x:v>
      </x:c>
      <x:c r="H375" s="26" t="n">
        <x:v>4</x:v>
      </x:c>
      <x:c r="I375" s="28" t="n">
        <x:f>IF(AND(ISNUMBER(G375),ISNUMBER(H375)),G375-H375,IF(AND(G375="Не найдено",ISNUMBER(H375)),"Появился",IF(AND(ISNUMBER(G375),H375="Не найдено"),"Не найдено","Нет сравнения")))</x:f>
        <x:v>-1</x:v>
      </x:c>
      <x:c r="J375" s="15" t="str">
        <x:v>https://kozhaclinic.ru/lechenie-akne/</x:v>
      </x:c>
    </x:row>
    <x:row r="376" ht="40" customHeight="1">
      <x:c r="A376" s="14" t="str">
        <x:v>лечение акне у взрослых сургут</x:v>
      </x:c>
      <x:c r="B376" s="14" t="str">
        <x:v>Август 2026</x:v>
      </x:c>
      <x:c r="C376" s="27" t="n">
        <x:v>2</x:v>
      </x:c>
      <x:c r="D376" s="27" t="n">
        <x:v>2</x:v>
      </x:c>
      <x:c r="E376" s="29" t="n">
        <x:f>IF(AND(ISNUMBER(C376),ISNUMBER(D376)),C376-D376,IF(AND(C376="Не найдено",ISNUMBER(D376)),"Появился",IF(AND(ISNUMBER(C376),D376="Не найдено"),"Не найдено","Нет сравнения")))</x:f>
        <x:v>0</x:v>
      </x:c>
      <x:c r="F376" s="16" t="str">
        <x:v>https://kozhaclinic.ru/lechenie-akne/</x:v>
      </x:c>
      <x:c r="G376" s="27" t="n">
        <x:v>4</x:v>
      </x:c>
      <x:c r="H376" s="27" t="n">
        <x:v>4</x:v>
      </x:c>
      <x:c r="I376" s="29" t="n">
        <x:f>IF(AND(ISNUMBER(G376),ISNUMBER(H376)),G376-H376,IF(AND(G376="Не найдено",ISNUMBER(H376)),"Появился",IF(AND(ISNUMBER(G376),H376="Не найдено"),"Не найдено","Нет сравнения")))</x:f>
        <x:v>0</x:v>
      </x:c>
      <x:c r="J376" s="16" t="str">
        <x:v>https://kozhaclinic.ru/lechenie-akne/</x:v>
      </x:c>
    </x:row>
    <x:row r="377" ht="40" customHeight="1">
      <x:c r="A377" s="12" t="str">
        <x:v>лечение акне у подростков сургут</x:v>
      </x:c>
      <x:c r="B377" s="12" t="str">
        <x:v>Август 2026</x:v>
      </x:c>
      <x:c r="C377" s="26" t="n">
        <x:v>2</x:v>
      </x:c>
      <x:c r="D377" s="26" t="n">
        <x:v>2</x:v>
      </x:c>
      <x:c r="E377" s="28" t="n">
        <x:f>IF(AND(ISNUMBER(C377),ISNUMBER(D377)),C377-D377,IF(AND(C377="Не найдено",ISNUMBER(D377)),"Появился",IF(AND(ISNUMBER(C377),D377="Не найдено"),"Не найдено","Нет сравнения")))</x:f>
        <x:v>0</x:v>
      </x:c>
      <x:c r="F377" s="15" t="str">
        <x:v>https://kozhaclinic.ru/lechenie-akne/</x:v>
      </x:c>
      <x:c r="G377" s="26" t="n">
        <x:v>4</x:v>
      </x:c>
      <x:c r="H377" s="26" t="n">
        <x:v>4</x:v>
      </x:c>
      <x:c r="I377" s="28" t="n">
        <x:f>IF(AND(ISNUMBER(G377),ISNUMBER(H377)),G377-H377,IF(AND(G377="Не найдено",ISNUMBER(H377)),"Появился",IF(AND(ISNUMBER(G377),H377="Не найдено"),"Не найдено","Нет сравнения")))</x:f>
        <x:v>0</x:v>
      </x:c>
      <x:c r="J377" s="15" t="str">
        <x:v>https://kozhaclinic.ru/lechenie-akne/</x:v>
      </x:c>
    </x:row>
    <x:row r="378" ht="40" customHeight="1">
      <x:c r="A378" s="14" t="str">
        <x:v>лечение акне на лице сургут</x:v>
      </x:c>
      <x:c r="B378" s="14" t="str">
        <x:v>Август 2026</x:v>
      </x:c>
      <x:c r="C378" s="27" t="n">
        <x:v>2</x:v>
      </x:c>
      <x:c r="D378" s="27" t="n">
        <x:v>2</x:v>
      </x:c>
      <x:c r="E378" s="29" t="n">
        <x:f>IF(AND(ISNUMBER(C378),ISNUMBER(D378)),C378-D378,IF(AND(C378="Не найдено",ISNUMBER(D378)),"Появился",IF(AND(ISNUMBER(C378),D378="Не найдено"),"Не найдено","Нет сравнения")))</x:f>
        <x:v>0</x:v>
      </x:c>
      <x:c r="F378" s="16" t="str">
        <x:v>https://kozhaclinic.ru/lechenie-akne/</x:v>
      </x:c>
      <x:c r="G378" s="27" t="n">
        <x:v>3</x:v>
      </x:c>
      <x:c r="H378" s="27" t="n">
        <x:v>4</x:v>
      </x:c>
      <x:c r="I378" s="29" t="n">
        <x:f>IF(AND(ISNUMBER(G378),ISNUMBER(H378)),G378-H378,IF(AND(G378="Не найдено",ISNUMBER(H378)),"Появился",IF(AND(ISNUMBER(G378),H378="Не найдено"),"Не найдено","Нет сравнения")))</x:f>
        <x:v>-1</x:v>
      </x:c>
      <x:c r="J378" s="16" t="str">
        <x:v>https://kozhaclinic.ru/lechenie-akne/</x:v>
      </x:c>
    </x:row>
    <x:row r="379" ht="40" customHeight="1">
      <x:c r="A379" s="12" t="str">
        <x:v>лечение акне на спине сургут</x:v>
      </x:c>
      <x:c r="B379" s="12" t="str">
        <x:v>Август 2026</x:v>
      </x:c>
      <x:c r="C379" s="26" t="n">
        <x:v>2</x:v>
      </x:c>
      <x:c r="D379" s="26" t="n">
        <x:v>2</x:v>
      </x:c>
      <x:c r="E379" s="28" t="n">
        <x:f>IF(AND(ISNUMBER(C379),ISNUMBER(D379)),C379-D379,IF(AND(C379="Не найдено",ISNUMBER(D379)),"Появился",IF(AND(ISNUMBER(C379),D379="Не найдено"),"Не найдено","Нет сравнения")))</x:f>
        <x:v>0</x:v>
      </x:c>
      <x:c r="F379" s="15" t="str">
        <x:v>https://kozhaclinic.ru/lechenie-akne/</x:v>
      </x:c>
      <x:c r="G379" s="26" t="str">
        <x:v>Не найдено</x:v>
      </x:c>
      <x:c r="H379" s="26" t="n">
        <x:v>4</x:v>
      </x:c>
      <x:c r="I379" s="28" t="str">
        <x:f>IF(AND(ISNUMBER(G379),ISNUMBER(H379)),G379-H379,IF(AND(G379="Не найдено",ISNUMBER(H379)),"Появился",IF(AND(ISNUMBER(G379),H379="Не найдено"),"Не найдено","Нет сравнения")))</x:f>
        <x:v>Появился</x:v>
      </x:c>
      <x:c r="J379" s="15" t="str">
        <x:v>https://kozhaclinic.ru/uhodovye-procedury/chistki-litsa-i-spiny/chistka-spiny/</x:v>
      </x:c>
    </x:row>
    <x:row r="380" ht="40" customHeight="1">
      <x:c r="A380" s="14" t="str">
        <x:v>лазерная эпиляция спины сургут</x:v>
      </x:c>
      <x:c r="B380" s="14" t="str">
        <x:v>Август 2026</x:v>
      </x:c>
      <x:c r="C380" s="27" t="n">
        <x:v>2</x:v>
      </x:c>
      <x:c r="D380" s="27" t="n">
        <x:v>2</x:v>
      </x:c>
      <x:c r="E380" s="29" t="n">
        <x:f>IF(AND(ISNUMBER(C380),ISNUMBER(D380)),C380-D380,IF(AND(C380="Не найдено",ISNUMBER(D380)),"Появился",IF(AND(ISNUMBER(C380),D380="Не найдено"),"Не найдено","Нет сравнения")))</x:f>
        <x:v>0</x:v>
      </x:c>
      <x:c r="F380" s="16" t="str">
        <x:v>https://kozhaclinic.ru/lazernaya-kosmetologiya/lazernaya-epilyaciya/spiny/</x:v>
      </x:c>
      <x:c r="G380" s="27" t="n">
        <x:v>1</x:v>
      </x:c>
      <x:c r="H380" s="27" t="n">
        <x:v>2</x:v>
      </x:c>
      <x:c r="I380" s="29" t="n">
        <x:f>IF(AND(ISNUMBER(G380),ISNUMBER(H380)),G380-H380,IF(AND(G380="Не найдено",ISNUMBER(H380)),"Появился",IF(AND(ISNUMBER(G380),H380="Не найдено"),"Не найдено","Нет сравнения")))</x:f>
        <x:v>-1</x:v>
      </x:c>
      <x:c r="J380" s="16" t="str">
        <x:v>https://kozhaclinic.ru/lazernaya-kosmetologiya/lazernaya-epilyaciya/</x:v>
      </x:c>
    </x:row>
    <x:row r="381" ht="40" customHeight="1">
      <x:c r="A381" s="12" t="str">
        <x:v>лазерное удаление волос на спине сургут</x:v>
      </x:c>
      <x:c r="B381" s="12" t="str">
        <x:v>Август 2026</x:v>
      </x:c>
      <x:c r="C381" s="26" t="n">
        <x:v>1</x:v>
      </x:c>
      <x:c r="D381" s="26" t="n">
        <x:v>1</x:v>
      </x:c>
      <x:c r="E381" s="28" t="n">
        <x:f>IF(AND(ISNUMBER(C381),ISNUMBER(D381)),C381-D381,IF(AND(C381="Не найдено",ISNUMBER(D381)),"Появился",IF(AND(ISNUMBER(C381),D381="Не найдено"),"Не найдено","Нет сравнения")))</x:f>
        <x:v>0</x:v>
      </x:c>
      <x:c r="F381" s="15" t="str">
        <x:v>https://kozhaclinic.ru/lazernaya-kosmetologiya/lazernaya-epilyaciya/spiny/</x:v>
      </x:c>
      <x:c r="G381" s="26" t="n">
        <x:v>3</x:v>
      </x:c>
      <x:c r="H381" s="26" t="n">
        <x:v>3</x:v>
      </x:c>
      <x:c r="I381" s="28" t="n">
        <x:f>IF(AND(ISNUMBER(G381),ISNUMBER(H381)),G381-H381,IF(AND(G381="Не найдено",ISNUMBER(H381)),"Появился",IF(AND(ISNUMBER(G381),H381="Не найдено"),"Не найдено","Нет сравнения")))</x:f>
        <x:v>0</x:v>
      </x:c>
      <x:c r="J381" s="15" t="str">
        <x:v>https://kozhaclinic.ru/lazernaya-kosmetologiya/lazernaya-epilyaciya/</x:v>
      </x:c>
    </x:row>
    <x:row r="382" ht="40" customHeight="1">
      <x:c r="A382" s="14" t="str">
        <x:v>лазерная эпиляция спины цена</x:v>
      </x:c>
      <x:c r="B382" s="14" t="str">
        <x:v>Август 2026</x:v>
      </x:c>
      <x:c r="C382" s="27" t="n">
        <x:v>4</x:v>
      </x:c>
      <x:c r="D382" s="27" t="str">
        <x:v>Не найдено</x:v>
      </x:c>
      <x:c r="E382" s="29" t="str">
        <x:f>IF(AND(ISNUMBER(C382),ISNUMBER(D382)),C382-D382,IF(AND(C382="Не найдено",ISNUMBER(D382)),"Появился",IF(AND(ISNUMBER(C382),D382="Не найдено"),"Не найдено","Нет сравнения")))</x:f>
        <x:v>Не найдено</x:v>
      </x:c>
      <x:c r="F382" s="14"/>
      <x:c r="G382" s="27" t="n">
        <x:v>1</x:v>
      </x:c>
      <x:c r="H382" s="27" t="n">
        <x:v>2</x:v>
      </x:c>
      <x:c r="I382" s="29" t="n">
        <x:f>IF(AND(ISNUMBER(G382),ISNUMBER(H382)),G382-H382,IF(AND(G382="Не найдено",ISNUMBER(H382)),"Появился",IF(AND(ISNUMBER(G382),H382="Не найдено"),"Не найдено","Нет сравнения")))</x:f>
        <x:v>-1</x:v>
      </x:c>
      <x:c r="J382" s="16" t="str">
        <x:v>https://kozhaclinic.ru/lazernaya-kosmetologiya/lazernaya-epilyaciya/</x:v>
      </x:c>
    </x:row>
    <x:row r="383" ht="40" customHeight="1">
      <x:c r="A383" s="12" t="str">
        <x:v>лазерная эпиляция спины полностью сургут</x:v>
      </x:c>
      <x:c r="B383" s="12" t="str">
        <x:v>Август 2026</x:v>
      </x:c>
      <x:c r="C383" s="26" t="n">
        <x:v>2</x:v>
      </x:c>
      <x:c r="D383" s="26" t="n">
        <x:v>2</x:v>
      </x:c>
      <x:c r="E383" s="28" t="n">
        <x:f>IF(AND(ISNUMBER(C383),ISNUMBER(D383)),C383-D383,IF(AND(C383="Не найдено",ISNUMBER(D383)),"Появился",IF(AND(ISNUMBER(C383),D383="Не найдено"),"Не найдено","Нет сравнения")))</x:f>
        <x:v>0</x:v>
      </x:c>
      <x:c r="F383" s="15" t="str">
        <x:v>https://kozhaclinic.ru/lazernaya-kosmetologiya/lazernaya-epilyaciya/spiny/</x:v>
      </x:c>
      <x:c r="G383" s="26" t="n">
        <x:v>1</x:v>
      </x:c>
      <x:c r="H383" s="26" t="n">
        <x:v>1</x:v>
      </x:c>
      <x:c r="I383" s="28" t="n">
        <x:f>IF(AND(ISNUMBER(G383),ISNUMBER(H383)),G383-H383,IF(AND(G383="Не найдено",ISNUMBER(H383)),"Появился",IF(AND(ISNUMBER(G383),H383="Не найдено"),"Не найдено","Нет сравнения")))</x:f>
        <x:v>0</x:v>
      </x:c>
      <x:c r="J383" s="15" t="str">
        <x:v>https://kozhaclinic.ru/lazernaya-kosmetologiya/lazernaya-epilyaciya/</x:v>
      </x:c>
    </x:row>
    <x:row r="384" ht="40" customHeight="1">
      <x:c r="A384" s="14" t="str">
        <x:v>лазерная эпиляция поясницы сургут</x:v>
      </x:c>
      <x:c r="B384" s="14" t="str">
        <x:v>Август 2026</x:v>
      </x:c>
      <x:c r="C384" s="27" t="n">
        <x:v>3</x:v>
      </x:c>
      <x:c r="D384" s="27" t="n">
        <x:v>14</x:v>
      </x:c>
      <x:c r="E384" s="29" t="n">
        <x:f>IF(AND(ISNUMBER(C384),ISNUMBER(D384)),C384-D384,IF(AND(C384="Не найдено",ISNUMBER(D384)),"Появился",IF(AND(ISNUMBER(C384),D384="Не найдено"),"Не найдено","Нет сравнения")))</x:f>
        <x:v>-11</x:v>
      </x:c>
      <x:c r="F384" s="16" t="str">
        <x:v>https://kozhaclinic.ru/lazernaya-kosmetologiya/lazernaya-epilyaciya/dlya-muzhchin/</x:v>
      </x:c>
      <x:c r="G384" s="27" t="n">
        <x:v>6</x:v>
      </x:c>
      <x:c r="H384" s="27" t="n">
        <x:v>2</x:v>
      </x:c>
      <x:c r="I384" s="29" t="n">
        <x:f>IF(AND(ISNUMBER(G384),ISNUMBER(H384)),G384-H384,IF(AND(G384="Не найдено",ISNUMBER(H384)),"Появился",IF(AND(ISNUMBER(G384),H384="Не найдено"),"Не найдено","Нет сравнения")))</x:f>
        <x:v>4</x:v>
      </x:c>
      <x:c r="J384" s="16" t="str">
        <x:v>https://kozhaclinic.ru/lazernaya-kosmetologiya/lazernaya-epilyaciya/</x:v>
      </x:c>
    </x:row>
    <x:row r="385" ht="40" customHeight="1">
      <x:c r="A385" s="12" t="str">
        <x:v>лазерная эпиляция плеч сургут</x:v>
      </x:c>
      <x:c r="B385" s="12" t="str">
        <x:v>Август 2026</x:v>
      </x:c>
      <x:c r="C385" s="26" t="n">
        <x:v>2</x:v>
      </x:c>
      <x:c r="D385" s="26" t="n">
        <x:v>2</x:v>
      </x:c>
      <x:c r="E385" s="28" t="n">
        <x:f>IF(AND(ISNUMBER(C385),ISNUMBER(D385)),C385-D385,IF(AND(C385="Не найдено",ISNUMBER(D385)),"Появился",IF(AND(ISNUMBER(C385),D385="Не найдено"),"Не найдено","Нет сравнения")))</x:f>
        <x:v>0</x:v>
      </x:c>
      <x:c r="F385" s="15" t="str">
        <x:v>https://kozhaclinic.ru/lazernaya-kosmetologiya/lazernaya-epilyaciya/dlya-muzhchin/</x:v>
      </x:c>
      <x:c r="G385" s="26" t="n">
        <x:v>2</x:v>
      </x:c>
      <x:c r="H385" s="26" t="n">
        <x:v>3</x:v>
      </x:c>
      <x:c r="I385" s="28" t="n">
        <x:f>IF(AND(ISNUMBER(G385),ISNUMBER(H385)),G385-H385,IF(AND(G385="Не найдено",ISNUMBER(H385)),"Появился",IF(AND(ISNUMBER(G385),H385="Не найдено"),"Не найдено","Нет сравнения")))</x:f>
        <x:v>-1</x:v>
      </x:c>
      <x:c r="J385" s="15" t="str">
        <x:v>https://kozhaclinic.ru/lazernaya-kosmetologiya/lazernaya-epilyaciya/</x:v>
      </x:c>
    </x:row>
    <x:row r="386" ht="40" customHeight="1">
      <x:c r="A386" s="14" t="str">
        <x:v>лазерная эпиляция спины мужчинам сургут</x:v>
      </x:c>
      <x:c r="B386" s="14" t="str">
        <x:v>Август 2026</x:v>
      </x:c>
      <x:c r="C386" s="27" t="n">
        <x:v>4</x:v>
      </x:c>
      <x:c r="D386" s="27" t="n">
        <x:v>2</x:v>
      </x:c>
      <x:c r="E386" s="29" t="n">
        <x:f>IF(AND(ISNUMBER(C386),ISNUMBER(D386)),C386-D386,IF(AND(C386="Не найдено",ISNUMBER(D386)),"Появился",IF(AND(ISNUMBER(C386),D386="Не найдено"),"Не найдено","Нет сравнения")))</x:f>
        <x:v>2</x:v>
      </x:c>
      <x:c r="F386" s="16" t="str">
        <x:v>https://kozhaclinic.ru/lazernaya-kosmetologiya/lazernaya-epilyaciya/dlya-muzhchin/</x:v>
      </x:c>
      <x:c r="G386" s="27" t="n">
        <x:v>2</x:v>
      </x:c>
      <x:c r="H386" s="27" t="n">
        <x:v>2</x:v>
      </x:c>
      <x:c r="I386" s="29" t="n">
        <x:f>IF(AND(ISNUMBER(G386),ISNUMBER(H386)),G386-H386,IF(AND(G386="Не найдено",ISNUMBER(H386)),"Появился",IF(AND(ISNUMBER(G386),H386="Не найдено"),"Не найдено","Нет сравнения")))</x:f>
        <x:v>0</x:v>
      </x:c>
      <x:c r="J386" s="16" t="str">
        <x:v>https://kozhaclinic.ru/lazernaya-kosmetologiya/lazernaya-epilyaciya/dlya-muzhchin/</x:v>
      </x:c>
    </x:row>
    <x:row r="387" ht="40" customHeight="1">
      <x:c r="A387" s="12" t="str">
        <x:v>лазерная эпиляция спины для мужчин сургут</x:v>
      </x:c>
      <x:c r="B387" s="12" t="str">
        <x:v>Август 2026</x:v>
      </x:c>
      <x:c r="C387" s="26" t="n">
        <x:v>4</x:v>
      </x:c>
      <x:c r="D387" s="26" t="n">
        <x:v>3</x:v>
      </x:c>
      <x:c r="E387" s="28" t="n">
        <x:f>IF(AND(ISNUMBER(C387),ISNUMBER(D387)),C387-D387,IF(AND(C387="Не найдено",ISNUMBER(D387)),"Появился",IF(AND(ISNUMBER(C387),D387="Не найдено"),"Не найдено","Нет сравнения")))</x:f>
        <x:v>1</x:v>
      </x:c>
      <x:c r="F387" s="15" t="str">
        <x:v>https://kozhaclinic.ru/lazernaya-kosmetologiya/lazernaya-epilyaciya/dlya-muzhchin/</x:v>
      </x:c>
      <x:c r="G387" s="26" t="n">
        <x:v>2</x:v>
      </x:c>
      <x:c r="H387" s="26" t="n">
        <x:v>2</x:v>
      </x:c>
      <x:c r="I387" s="28" t="n">
        <x:f>IF(AND(ISNUMBER(G387),ISNUMBER(H387)),G387-H387,IF(AND(G387="Не найдено",ISNUMBER(H387)),"Появился",IF(AND(ISNUMBER(G387),H387="Не найдено"),"Не найдено","Нет сравнения")))</x:f>
        <x:v>0</x:v>
      </x:c>
      <x:c r="J387" s="15" t="str">
        <x:v>https://kozhaclinic.ru/lazernaya-kosmetologiya/lazernaya-epilyaciya/dlya-muzhchin/</x:v>
      </x:c>
    </x:row>
    <x:row r="388" ht="40" customHeight="1">
      <x:c r="A388" s="14" t="str">
        <x:v>лазерная эпиляция рук сургут</x:v>
      </x:c>
      <x:c r="B388" s="14" t="str">
        <x:v>Август 2026</x:v>
      </x:c>
      <x:c r="C388" s="27" t="n">
        <x:v>1</x:v>
      </x:c>
      <x:c r="D388" s="27" t="n">
        <x:v>8</x:v>
      </x:c>
      <x:c r="E388" s="29" t="n">
        <x:f>IF(AND(ISNUMBER(C388),ISNUMBER(D388)),C388-D388,IF(AND(C388="Не найдено",ISNUMBER(D388)),"Появился",IF(AND(ISNUMBER(C388),D388="Не найдено"),"Не найдено","Нет сравнения")))</x:f>
        <x:v>-7</x:v>
      </x:c>
      <x:c r="F388" s="16" t="str">
        <x:v>https://kozhaclinic.ru/lazernaya-kosmetologiya/lazernaya-epilyaciya/</x:v>
      </x:c>
      <x:c r="G388" s="27" t="n">
        <x:v>1</x:v>
      </x:c>
      <x:c r="H388" s="27" t="n">
        <x:v>2</x:v>
      </x:c>
      <x:c r="I388" s="29" t="n">
        <x:f>IF(AND(ISNUMBER(G388),ISNUMBER(H388)),G388-H388,IF(AND(G388="Не найдено",ISNUMBER(H388)),"Появился",IF(AND(ISNUMBER(G388),H388="Не найдено"),"Не найдено","Нет сравнения")))</x:f>
        <x:v>-1</x:v>
      </x:c>
      <x:c r="J388" s="16" t="str">
        <x:v>https://kozhaclinic.ru/lazernaya-kosmetologiya/lazernaya-epilyaciya/</x:v>
      </x:c>
    </x:row>
    <x:row r="389" ht="40" customHeight="1">
      <x:c r="A389" s="12" t="str">
        <x:v>лазерное удаление волос на руках сургут</x:v>
      </x:c>
      <x:c r="B389" s="12" t="str">
        <x:v>Август 2026</x:v>
      </x:c>
      <x:c r="C389" s="26" t="n">
        <x:v>2</x:v>
      </x:c>
      <x:c r="D389" s="26" t="n">
        <x:v>8</x:v>
      </x:c>
      <x:c r="E389" s="28" t="n">
        <x:f>IF(AND(ISNUMBER(C389),ISNUMBER(D389)),C389-D389,IF(AND(C389="Не найдено",ISNUMBER(D389)),"Появился",IF(AND(ISNUMBER(C389),D389="Не найдено"),"Не найдено","Нет сравнения")))</x:f>
        <x:v>-6</x:v>
      </x:c>
      <x:c r="F389" s="15" t="str">
        <x:v>https://kozhaclinic.ru/lazernaya-kosmetologiya/lazernaya-epilyaciya/</x:v>
      </x:c>
      <x:c r="G389" s="26" t="n">
        <x:v>2</x:v>
      </x:c>
      <x:c r="H389" s="26" t="n">
        <x:v>2</x:v>
      </x:c>
      <x:c r="I389" s="28" t="n">
        <x:f>IF(AND(ISNUMBER(G389),ISNUMBER(H389)),G389-H389,IF(AND(G389="Не найдено",ISNUMBER(H389)),"Появился",IF(AND(ISNUMBER(G389),H389="Не найдено"),"Не найдено","Нет сравнения")))</x:f>
        <x:v>0</x:v>
      </x:c>
      <x:c r="J389" s="15" t="str">
        <x:v>https://kozhaclinic.ru/lazernaya-kosmetologiya/lazernaya-epilyaciya/</x:v>
      </x:c>
    </x:row>
    <x:row r="390" ht="40" customHeight="1">
      <x:c r="A390" s="14" t="str">
        <x:v>лазерная эпиляция рук до локтя сургут</x:v>
      </x:c>
      <x:c r="B390" s="14" t="str">
        <x:v>Август 2026</x:v>
      </x:c>
      <x:c r="C390" s="27" t="n">
        <x:v>3</x:v>
      </x:c>
      <x:c r="D390" s="27" t="n">
        <x:v>3</x:v>
      </x:c>
      <x:c r="E390" s="29" t="n">
        <x:f>IF(AND(ISNUMBER(C390),ISNUMBER(D390)),C390-D390,IF(AND(C390="Не найдено",ISNUMBER(D390)),"Появился",IF(AND(ISNUMBER(C390),D390="Не найдено"),"Не найдено","Нет сравнения")))</x:f>
        <x:v>0</x:v>
      </x:c>
      <x:c r="F390" s="16" t="str">
        <x:v>https://kozhaclinic.ru/lazernaya-kosmetologiya/lazernaya-epilyaciya/ruk/</x:v>
      </x:c>
      <x:c r="G390" s="27" t="n">
        <x:v>5</x:v>
      </x:c>
      <x:c r="H390" s="27" t="n">
        <x:v>6</x:v>
      </x:c>
      <x:c r="I390" s="29" t="n">
        <x:f>IF(AND(ISNUMBER(G390),ISNUMBER(H390)),G390-H390,IF(AND(G390="Не найдено",ISNUMBER(H390)),"Появился",IF(AND(ISNUMBER(G390),H390="Не найдено"),"Не найдено","Нет сравнения")))</x:f>
        <x:v>-1</x:v>
      </x:c>
      <x:c r="J390" s="16" t="str">
        <x:v>https://kozhaclinic.ru/lazernaya-kosmetologiya/lazernaya-epilyaciya/ruk/</x:v>
      </x:c>
    </x:row>
    <x:row r="391" ht="40" customHeight="1">
      <x:c r="A391" s="12" t="str">
        <x:v>лазерная эпиляция предплечий сургут</x:v>
      </x:c>
      <x:c r="B391" s="12" t="str">
        <x:v>Август 2026</x:v>
      </x:c>
      <x:c r="C391" s="26" t="n">
        <x:v>1</x:v>
      </x:c>
      <x:c r="D391" s="26" t="n">
        <x:v>2</x:v>
      </x:c>
      <x:c r="E391" s="28" t="n">
        <x:f>IF(AND(ISNUMBER(C391),ISNUMBER(D391)),C391-D391,IF(AND(C391="Не найдено",ISNUMBER(D391)),"Появился",IF(AND(ISNUMBER(C391),D391="Не найдено"),"Не найдено","Нет сравнения")))</x:f>
        <x:v>-1</x:v>
      </x:c>
      <x:c r="F391" s="15" t="str">
        <x:v>https://kozhaclinic.ru/lazernaya-kosmetologiya/lazernaya-epilyaciya/ruk/</x:v>
      </x:c>
      <x:c r="G391" s="26" t="n">
        <x:v>1</x:v>
      </x:c>
      <x:c r="H391" s="26" t="n">
        <x:v>2</x:v>
      </x:c>
      <x:c r="I391" s="28" t="n">
        <x:f>IF(AND(ISNUMBER(G391),ISNUMBER(H391)),G391-H391,IF(AND(G391="Не найдено",ISNUMBER(H391)),"Появился",IF(AND(ISNUMBER(G391),H391="Не найдено"),"Не найдено","Нет сравнения")))</x:f>
        <x:v>-1</x:v>
      </x:c>
      <x:c r="J391" s="15" t="str">
        <x:v>https://kozhaclinic.ru/lazernaya-kosmetologiya/lazernaya-epilyaciya/</x:v>
      </x:c>
    </x:row>
    <x:row r="392" ht="40" customHeight="1">
      <x:c r="A392" s="14" t="str">
        <x:v>лазерная эпиляция кистей рук сургут</x:v>
      </x:c>
      <x:c r="B392" s="14" t="str">
        <x:v>Август 2026</x:v>
      </x:c>
      <x:c r="C392" s="27" t="n">
        <x:v>2</x:v>
      </x:c>
      <x:c r="D392" s="27" t="n">
        <x:v>2</x:v>
      </x:c>
      <x:c r="E392" s="29" t="n">
        <x:f>IF(AND(ISNUMBER(C392),ISNUMBER(D392)),C392-D392,IF(AND(C392="Не найдено",ISNUMBER(D392)),"Появился",IF(AND(ISNUMBER(C392),D392="Не найдено"),"Не найдено","Нет сравнения")))</x:f>
        <x:v>0</x:v>
      </x:c>
      <x:c r="F392" s="16" t="str">
        <x:v>https://kozhaclinic.ru/lazernaya-kosmetologiya/lazernaya-epilyaciya/ruk/</x:v>
      </x:c>
      <x:c r="G392" s="27" t="n">
        <x:v>3</x:v>
      </x:c>
      <x:c r="H392" s="27" t="n">
        <x:v>4</x:v>
      </x:c>
      <x:c r="I392" s="29" t="n">
        <x:f>IF(AND(ISNUMBER(G392),ISNUMBER(H392)),G392-H392,IF(AND(G392="Не найдено",ISNUMBER(H392)),"Появился",IF(AND(ISNUMBER(G392),H392="Не найдено"),"Не найдено","Нет сравнения")))</x:f>
        <x:v>-1</x:v>
      </x:c>
      <x:c r="J392" s="16" t="str">
        <x:v>https://kozhaclinic.ru/lazernaya-kosmetologiya/lazernaya-epilyaciya/</x:v>
      </x:c>
    </x:row>
    <x:row r="393" ht="40" customHeight="1">
      <x:c r="A393" s="12" t="str">
        <x:v>ботулинотерапия full face сургут</x:v>
      </x:c>
      <x:c r="B393" s="12" t="str">
        <x:v>Сентябрь 2026</x:v>
      </x:c>
      <x:c r="C393" s="26" t="n">
        <x:v>1</x:v>
      </x:c>
      <x:c r="D393" s="26" t="n">
        <x:v>1</x:v>
      </x:c>
      <x:c r="E393" s="28" t="n">
        <x:f>IF(AND(ISNUMBER(C393),ISNUMBER(D393)),C393-D393,IF(AND(C393="Не найдено",ISNUMBER(D393)),"Появился",IF(AND(ISNUMBER(C393),D393="Не найдено"),"Не найдено","Нет сравнения")))</x:f>
        <x:v>0</x:v>
      </x:c>
      <x:c r="F393" s="15" t="str">
        <x:v>https://kozhaclinic.ru/inekcionnaya-kosmetologiya/botulinoterapiya/full-face/</x:v>
      </x:c>
      <x:c r="G393" s="26" t="n">
        <x:v>2</x:v>
      </x:c>
      <x:c r="H393" s="26" t="n">
        <x:v>2</x:v>
      </x:c>
      <x:c r="I393" s="28" t="n">
        <x:f>IF(AND(ISNUMBER(G393),ISNUMBER(H393)),G393-H393,IF(AND(G393="Не найдено",ISNUMBER(H393)),"Появился",IF(AND(ISNUMBER(G393),H393="Не найдено"),"Не найдено","Нет сравнения")))</x:f>
        <x:v>0</x:v>
      </x:c>
      <x:c r="J393" s="15" t="str">
        <x:v>https://kozhaclinic.ru/inekcionnaya-kosmetologiya/botulinoterapiya/</x:v>
      </x:c>
    </x:row>
    <x:row r="394" ht="40" customHeight="1">
      <x:c r="A394" s="14" t="str">
        <x:v>ботулинотерапия фулл фейс сургут</x:v>
      </x:c>
      <x:c r="B394" s="14" t="str">
        <x:v>Сентябрь 2026</x:v>
      </x:c>
      <x:c r="C394" s="27" t="n">
        <x:v>3</x:v>
      </x:c>
      <x:c r="D394" s="27" t="n">
        <x:v>1</x:v>
      </x:c>
      <x:c r="E394" s="29" t="n">
        <x:f>IF(AND(ISNUMBER(C394),ISNUMBER(D394)),C394-D394,IF(AND(C394="Не найдено",ISNUMBER(D394)),"Появился",IF(AND(ISNUMBER(C394),D394="Не найдено"),"Не найдено","Нет сравнения")))</x:f>
        <x:v>2</x:v>
      </x:c>
      <x:c r="F394" s="16" t="str">
        <x:v>https://kozhaclinic.ru/inekcionnaya-kosmetologiya/botulinoterapiya/full-face/</x:v>
      </x:c>
      <x:c r="G394" s="27" t="n">
        <x:v>2</x:v>
      </x:c>
      <x:c r="H394" s="27" t="n">
        <x:v>2</x:v>
      </x:c>
      <x:c r="I394" s="29" t="n">
        <x:f>IF(AND(ISNUMBER(G394),ISNUMBER(H394)),G394-H394,IF(AND(G394="Не найдено",ISNUMBER(H394)),"Появился",IF(AND(ISNUMBER(G394),H394="Не найдено"),"Не найдено","Нет сравнения")))</x:f>
        <x:v>0</x:v>
      </x:c>
      <x:c r="J394" s="16" t="str">
        <x:v>https://kozhaclinic.ru/inekcionnaya-kosmetologiya/botulinoterapiya/</x:v>
      </x:c>
    </x:row>
    <x:row r="395" ht="40" customHeight="1">
      <x:c r="A395" s="12" t="str">
        <x:v>ботокс full face сургут</x:v>
      </x:c>
      <x:c r="B395" s="12" t="str">
        <x:v>Сентябрь 2026</x:v>
      </x:c>
      <x:c r="C395" s="26" t="n">
        <x:v>3</x:v>
      </x:c>
      <x:c r="D395" s="26" t="n">
        <x:v>1</x:v>
      </x:c>
      <x:c r="E395" s="28" t="n">
        <x:f>IF(AND(ISNUMBER(C395),ISNUMBER(D395)),C395-D395,IF(AND(C395="Не найдено",ISNUMBER(D395)),"Появился",IF(AND(ISNUMBER(C395),D395="Не найдено"),"Не найдено","Нет сравнения")))</x:f>
        <x:v>2</x:v>
      </x:c>
      <x:c r="F395" s="15" t="str">
        <x:v>https://kozhaclinic.ru/inekcionnaya-kosmetologiya/botulinoterapiya/full-face/</x:v>
      </x:c>
      <x:c r="G395" s="26" t="n">
        <x:v>1</x:v>
      </x:c>
      <x:c r="H395" s="26" t="n">
        <x:v>2</x:v>
      </x:c>
      <x:c r="I395" s="28" t="n">
        <x:f>IF(AND(ISNUMBER(G395),ISNUMBER(H395)),G395-H395,IF(AND(G395="Не найдено",ISNUMBER(H395)),"Появился",IF(AND(ISNUMBER(G395),H395="Не найдено"),"Не найдено","Нет сравнения")))</x:f>
        <x:v>-1</x:v>
      </x:c>
      <x:c r="J395" s="15" t="str">
        <x:v>https://kozhaclinic.ru/inekcionnaya-kosmetologiya/botulinoterapiya/</x:v>
      </x:c>
    </x:row>
    <x:row r="396" ht="40" customHeight="1">
      <x:c r="A396" s="14" t="str">
        <x:v>ботокс фулл фейс сургут</x:v>
      </x:c>
      <x:c r="B396" s="14" t="str">
        <x:v>Сентябрь 2026</x:v>
      </x:c>
      <x:c r="C396" s="27" t="n">
        <x:v>5</x:v>
      </x:c>
      <x:c r="D396" s="27" t="n">
        <x:v>1</x:v>
      </x:c>
      <x:c r="E396" s="29" t="n">
        <x:f>IF(AND(ISNUMBER(C396),ISNUMBER(D396)),C396-D396,IF(AND(C396="Не найдено",ISNUMBER(D396)),"Появился",IF(AND(ISNUMBER(C396),D396="Не найдено"),"Не найдено","Нет сравнения")))</x:f>
        <x:v>4</x:v>
      </x:c>
      <x:c r="F396" s="16" t="str">
        <x:v>https://kozhaclinic.ru/inekcionnaya-kosmetologiya/botulinoterapiya/full-face/</x:v>
      </x:c>
      <x:c r="G396" s="27" t="n">
        <x:v>2</x:v>
      </x:c>
      <x:c r="H396" s="27" t="n">
        <x:v>2</x:v>
      </x:c>
      <x:c r="I396" s="29" t="n">
        <x:f>IF(AND(ISNUMBER(G396),ISNUMBER(H396)),G396-H396,IF(AND(G396="Не найдено",ISNUMBER(H396)),"Появился",IF(AND(ISNUMBER(G396),H396="Не найдено"),"Не найдено","Нет сравнения")))</x:f>
        <x:v>0</x:v>
      </x:c>
      <x:c r="J396" s="16" t="str">
        <x:v>https://kozhaclinic.ru/inekcionnaya-kosmetologiya/botulinoterapiya/</x:v>
      </x:c>
    </x:row>
    <x:row r="397" ht="40" customHeight="1">
      <x:c r="A397" s="12" t="str">
        <x:v>ботулинотерапия всего лица сургут</x:v>
      </x:c>
      <x:c r="B397" s="12" t="str">
        <x:v>Сентябрь 2026</x:v>
      </x:c>
      <x:c r="C397" s="26" t="n">
        <x:v>2</x:v>
      </x:c>
      <x:c r="D397" s="26" t="n">
        <x:v>2</x:v>
      </x:c>
      <x:c r="E397" s="28" t="n">
        <x:f>IF(AND(ISNUMBER(C397),ISNUMBER(D397)),C397-D397,IF(AND(C397="Не найдено",ISNUMBER(D397)),"Появился",IF(AND(ISNUMBER(C397),D397="Не найдено"),"Не найдено","Нет сравнения")))</x:f>
        <x:v>0</x:v>
      </x:c>
      <x:c r="F397" s="15" t="str">
        <x:v>https://kozhaclinic.ru/inekcionnaya-kosmetologiya/botulinoterapiya/full-face/</x:v>
      </x:c>
      <x:c r="G397" s="26" t="n">
        <x:v>2</x:v>
      </x:c>
      <x:c r="H397" s="26" t="n">
        <x:v>2</x:v>
      </x:c>
      <x:c r="I397" s="28" t="n">
        <x:f>IF(AND(ISNUMBER(G397),ISNUMBER(H397)),G397-H397,IF(AND(G397="Не найдено",ISNUMBER(H397)),"Появился",IF(AND(ISNUMBER(G397),H397="Не найдено"),"Не найдено","Нет сравнения")))</x:f>
        <x:v>0</x:v>
      </x:c>
      <x:c r="J397" s="15" t="str">
        <x:v>https://kozhaclinic.ru/inekcionnaya-kosmetologiya/botulinoterapiya/</x:v>
      </x:c>
    </x:row>
    <x:row r="398" ht="40" customHeight="1">
      <x:c r="A398" s="14" t="str">
        <x:v>ботокс всего лица сургут</x:v>
      </x:c>
      <x:c r="B398" s="14" t="str">
        <x:v>Сентябрь 2026</x:v>
      </x:c>
      <x:c r="C398" s="27" t="n">
        <x:v>6</x:v>
      </x:c>
      <x:c r="D398" s="27" t="n">
        <x:v>1</x:v>
      </x:c>
      <x:c r="E398" s="29" t="n">
        <x:f>IF(AND(ISNUMBER(C398),ISNUMBER(D398)),C398-D398,IF(AND(C398="Не найдено",ISNUMBER(D398)),"Появился",IF(AND(ISNUMBER(C398),D398="Не найдено"),"Не найдено","Нет сравнения")))</x:f>
        <x:v>5</x:v>
      </x:c>
      <x:c r="F398" s="16" t="str">
        <x:v>https://kozhaclinic.ru/inekcionnaya-kosmetologiya/botulinoterapiya/full-face/</x:v>
      </x:c>
      <x:c r="G398" s="27" t="n">
        <x:v>1</x:v>
      </x:c>
      <x:c r="H398" s="27" t="n">
        <x:v>1</x:v>
      </x:c>
      <x:c r="I398" s="29" t="n">
        <x:f>IF(AND(ISNUMBER(G398),ISNUMBER(H398)),G398-H398,IF(AND(G398="Не найдено",ISNUMBER(H398)),"Появился",IF(AND(ISNUMBER(G398),H398="Не найдено"),"Не найдено","Нет сравнения")))</x:f>
        <x:v>0</x:v>
      </x:c>
      <x:c r="J398" s="16" t="str">
        <x:v>https://kozhaclinic.ru/inekcionnaya-kosmetologiya/botulinoterapiya/</x:v>
      </x:c>
    </x:row>
    <x:row r="399" ht="40" customHeight="1">
      <x:c r="A399" s="12" t="str">
        <x:v>full face ботокс</x:v>
      </x:c>
      <x:c r="B399" s="12" t="str">
        <x:v>Сентябрь 2026</x:v>
      </x:c>
      <x:c r="C399" s="26" t="str">
        <x:v>Не найдено</x:v>
      </x:c>
      <x:c r="D399" s="26" t="n">
        <x:v>2</x:v>
      </x:c>
      <x:c r="E399" s="28" t="str">
        <x:f>IF(AND(ISNUMBER(C399),ISNUMBER(D399)),C399-D399,IF(AND(C399="Не найдено",ISNUMBER(D399)),"Появился",IF(AND(ISNUMBER(C399),D399="Не найдено"),"Не найдено","Нет сравнения")))</x:f>
        <x:v>Появился</x:v>
      </x:c>
      <x:c r="F399" s="15" t="str">
        <x:v>https://kozhaclinic.ru/inekcionnaya-kosmetologiya/botulinoterapiya/full-face/</x:v>
      </x:c>
      <x:c r="G399" s="26" t="str">
        <x:v>Не найдено</x:v>
      </x:c>
      <x:c r="H399" s="26" t="str">
        <x:v>Не найдено</x:v>
      </x:c>
      <x:c r="I399" s="28" t="str">
        <x:f>IF(AND(ISNUMBER(G399),ISNUMBER(H399)),G399-H399,IF(AND(G399="Не найдено",ISNUMBER(H399)),"Появился",IF(AND(ISNUMBER(G399),H399="Не найдено"),"Не найдено","Нет сравнения")))</x:f>
        <x:v>Нет сравнения</x:v>
      </x:c>
      <x:c r="J399" s="12"/>
    </x:row>
    <x:row r="400" ht="40" customHeight="1">
      <x:c r="A400" s="14" t="str">
        <x:v>коррекция десневой улыбки сургут</x:v>
      </x:c>
      <x:c r="B400" s="14" t="str">
        <x:v>Сентябрь 2026</x:v>
      </x:c>
      <x:c r="C400" s="27" t="str">
        <x:v>Не найдено</x:v>
      </x:c>
      <x:c r="D400" s="27" t="n">
        <x:v>1</x:v>
      </x:c>
      <x:c r="E400" s="29" t="str">
        <x:f>IF(AND(ISNUMBER(C400),ISNUMBER(D400)),C400-D400,IF(AND(C400="Не найдено",ISNUMBER(D400)),"Появился",IF(AND(ISNUMBER(C400),D400="Не найдено"),"Не найдено","Нет сравнения")))</x:f>
        <x:v>Появился</x:v>
      </x:c>
      <x:c r="F400" s="16" t="str">
        <x:v>https://kozhaclinic.ru/inekcionnaya-kosmetologiya/botulinoterapiya/korrektsiya-desnevoy-ulybki/</x:v>
      </x:c>
      <x:c r="G400" s="27" t="n">
        <x:v>1</x:v>
      </x:c>
      <x:c r="H400" s="27" t="n">
        <x:v>1</x:v>
      </x:c>
      <x:c r="I400" s="29" t="n">
        <x:f>IF(AND(ISNUMBER(G400),ISNUMBER(H400)),G400-H400,IF(AND(G400="Не найдено",ISNUMBER(H400)),"Появился",IF(AND(ISNUMBER(G400),H400="Не найдено"),"Не найдено","Нет сравнения")))</x:f>
        <x:v>0</x:v>
      </x:c>
      <x:c r="J400" s="16" t="str">
        <x:v>https://kozhaclinic.ru/inekcionnaya-kosmetologiya/botulinoterapiya/korrektsiya-desnevoy-ulybki/</x:v>
      </x:c>
    </x:row>
    <x:row r="401" ht="40" customHeight="1">
      <x:c r="A401" s="12" t="str">
        <x:v>коррекция гингивальной улыбки сургут</x:v>
      </x:c>
      <x:c r="B401" s="12" t="str">
        <x:v>Сентябрь 2026</x:v>
      </x:c>
      <x:c r="C401" s="26" t="n">
        <x:v>1</x:v>
      </x:c>
      <x:c r="D401" s="26" t="n">
        <x:v>1</x:v>
      </x:c>
      <x:c r="E401" s="28" t="n">
        <x:f>IF(AND(ISNUMBER(C401),ISNUMBER(D401)),C401-D401,IF(AND(C401="Не найдено",ISNUMBER(D401)),"Появился",IF(AND(ISNUMBER(C401),D401="Не найдено"),"Не найдено","Нет сравнения")))</x:f>
        <x:v>0</x:v>
      </x:c>
      <x:c r="F401" s="15" t="str">
        <x:v>https://kozhaclinic.ru/inekcionnaya-kosmetologiya/botulinoterapiya/korrektsiya-desnevoy-ulybki/</x:v>
      </x:c>
      <x:c r="G401" s="26" t="n">
        <x:v>1</x:v>
      </x:c>
      <x:c r="H401" s="26" t="n">
        <x:v>1</x:v>
      </x:c>
      <x:c r="I401" s="28" t="n">
        <x:f>IF(AND(ISNUMBER(G401),ISNUMBER(H401)),G401-H401,IF(AND(G401="Не найдено",ISNUMBER(H401)),"Появился",IF(AND(ISNUMBER(G401),H401="Не найдено"),"Не найдено","Нет сравнения")))</x:f>
        <x:v>0</x:v>
      </x:c>
      <x:c r="J401" s="15" t="str">
        <x:v>https://kozhaclinic.ru/inekcionnaya-kosmetologiya/botulinoterapiya/korrektsiya-desnevoy-ulybki/</x:v>
      </x:c>
    </x:row>
    <x:row r="402" ht="40" customHeight="1">
      <x:c r="A402" s="14" t="str">
        <x:v>ботокс при десневой улыбке</x:v>
      </x:c>
      <x:c r="B402" s="14" t="str">
        <x:v>Сентябрь 2026</x:v>
      </x:c>
      <x:c r="C402" s="27" t="str">
        <x:v>Не найдено</x:v>
      </x:c>
      <x:c r="D402" s="27" t="n">
        <x:v>3</x:v>
      </x:c>
      <x:c r="E402" s="29" t="str">
        <x:f>IF(AND(ISNUMBER(C402),ISNUMBER(D402)),C402-D402,IF(AND(C402="Не найдено",ISNUMBER(D402)),"Появился",IF(AND(ISNUMBER(C402),D402="Не найдено"),"Не найдено","Нет сравнения")))</x:f>
        <x:v>Появился</x:v>
      </x:c>
      <x:c r="F402" s="16" t="str">
        <x:v>https://kozhaclinic.ru/inekcionnaya-kosmetologiya/botulinoterapiya/korrektsiya-desnevoy-ulybki/</x:v>
      </x:c>
      <x:c r="G402" s="27" t="n">
        <x:v>7</x:v>
      </x:c>
      <x:c r="H402" s="27" t="str">
        <x:v>Не найдено</x:v>
      </x:c>
      <x:c r="I402" s="29" t="str">
        <x:f>IF(AND(ISNUMBER(G402),ISNUMBER(H402)),G402-H402,IF(AND(G402="Не найдено",ISNUMBER(H402)),"Появился",IF(AND(ISNUMBER(G402),H402="Не найдено"),"Не найдено","Нет сравнения")))</x:f>
        <x:v>Не найдено</x:v>
      </x:c>
      <x:c r="J402" s="14"/>
    </x:row>
    <x:row r="403" ht="40" customHeight="1">
      <x:c r="A403" s="12" t="str">
        <x:v>исправление десневой улыбки сургут</x:v>
      </x:c>
      <x:c r="B403" s="12" t="str">
        <x:v>Сентябрь 2026</x:v>
      </x:c>
      <x:c r="C403" s="26" t="str">
        <x:v>Не найдено</x:v>
      </x:c>
      <x:c r="D403" s="26" t="n">
        <x:v>1</x:v>
      </x:c>
      <x:c r="E403" s="28" t="str">
        <x:f>IF(AND(ISNUMBER(C403),ISNUMBER(D403)),C403-D403,IF(AND(C403="Не найдено",ISNUMBER(D403)),"Появился",IF(AND(ISNUMBER(C403),D403="Не найдено"),"Не найдено","Нет сравнения")))</x:f>
        <x:v>Появился</x:v>
      </x:c>
      <x:c r="F403" s="15" t="str">
        <x:v>https://kozhaclinic.ru/inekcionnaya-kosmetologiya/botulinoterapiya/korrektsiya-desnevoy-ulybki/</x:v>
      </x:c>
      <x:c r="G403" s="26" t="n">
        <x:v>1</x:v>
      </x:c>
      <x:c r="H403" s="26" t="str">
        <x:v>Не найдено</x:v>
      </x:c>
      <x:c r="I403" s="28" t="str">
        <x:f>IF(AND(ISNUMBER(G403),ISNUMBER(H403)),G403-H403,IF(AND(G403="Не найдено",ISNUMBER(H403)),"Появился",IF(AND(ISNUMBER(G403),H403="Не найдено"),"Не найдено","Нет сравнения")))</x:f>
        <x:v>Не найдено</x:v>
      </x:c>
      <x:c r="J403" s="12"/>
    </x:row>
    <x:row r="404" ht="40" customHeight="1">
      <x:c r="A404" s="14" t="str">
        <x:v>лазерная эпиляция всего тела сургут</x:v>
      </x:c>
      <x:c r="B404" s="14" t="str">
        <x:v>Сентябрь 2026</x:v>
      </x:c>
      <x:c r="C404" s="27" t="n">
        <x:v>13</x:v>
      </x:c>
      <x:c r="D404" s="27" t="n">
        <x:v>4</x:v>
      </x:c>
      <x:c r="E404" s="29" t="n">
        <x:f>IF(AND(ISNUMBER(C404),ISNUMBER(D404)),C404-D404,IF(AND(C404="Не найдено",ISNUMBER(D404)),"Появился",IF(AND(ISNUMBER(C404),D404="Не найдено"),"Не найдено","Нет сравнения")))</x:f>
        <x:v>9</x:v>
      </x:c>
      <x:c r="F404" s="16" t="str">
        <x:v>https://kozhaclinic.ru/lazernaya-kosmetologiya/lazernaya-epilyaciya/</x:v>
      </x:c>
      <x:c r="G404" s="27" t="n">
        <x:v>3</x:v>
      </x:c>
      <x:c r="H404" s="27" t="n">
        <x:v>3</x:v>
      </x:c>
      <x:c r="I404" s="29" t="n">
        <x:f>IF(AND(ISNUMBER(G404),ISNUMBER(H404)),G404-H404,IF(AND(G404="Не найдено",ISNUMBER(H404)),"Появился",IF(AND(ISNUMBER(G404),H404="Не найдено"),"Не найдено","Нет сравнения")))</x:f>
        <x:v>0</x:v>
      </x:c>
      <x:c r="J404" s="16" t="str">
        <x:v>https://kozhaclinic.ru/lazernaya-kosmetologiya/lazernaya-epilyaciya/</x:v>
      </x:c>
    </x:row>
    <x:row r="405" ht="40" customHeight="1">
      <x:c r="A405" s="12" t="str">
        <x:v>эпиляция всего тела сургут</x:v>
      </x:c>
      <x:c r="B405" s="12" t="str">
        <x:v>Сентябрь 2026</x:v>
      </x:c>
      <x:c r="C405" s="26" t="n">
        <x:v>17</x:v>
      </x:c>
      <x:c r="D405" s="26" t="str">
        <x:v>Не найдено</x:v>
      </x:c>
      <x:c r="E405" s="28" t="str">
        <x:f>IF(AND(ISNUMBER(C405),ISNUMBER(D405)),C405-D405,IF(AND(C405="Не найдено",ISNUMBER(D405)),"Появился",IF(AND(ISNUMBER(C405),D405="Не найдено"),"Не найдено","Нет сравнения")))</x:f>
        <x:v>Не найдено</x:v>
      </x:c>
      <x:c r="F405" s="12"/>
      <x:c r="G405" s="26" t="n">
        <x:v>3</x:v>
      </x:c>
      <x:c r="H405" s="26" t="n">
        <x:v>3</x:v>
      </x:c>
      <x:c r="I405" s="28" t="n">
        <x:f>IF(AND(ISNUMBER(G405),ISNUMBER(H405)),G405-H405,IF(AND(G405="Не найдено",ISNUMBER(H405)),"Появился",IF(AND(ISNUMBER(G405),H405="Не найдено"),"Не найдено","Нет сравнения")))</x:f>
        <x:v>0</x:v>
      </x:c>
      <x:c r="J405" s="15" t="str">
        <x:v>https://kozhaclinic.ru/lazernaya-kosmetologiya/lazernaya-epilyaciya/vsego-tela/</x:v>
      </x:c>
    </x:row>
    <x:row r="406" ht="40" customHeight="1">
      <x:c r="A406" s="14" t="str">
        <x:v>удаление гемангиомы сургут</x:v>
      </x:c>
      <x:c r="B406" s="14" t="str">
        <x:v>Сентябрь 2026</x:v>
      </x:c>
      <x:c r="C406" s="27" t="n">
        <x:v>11</x:v>
      </x:c>
      <x:c r="D406" s="27" t="n">
        <x:v>5</x:v>
      </x:c>
      <x:c r="E406" s="29" t="n">
        <x:f>IF(AND(ISNUMBER(C406),ISNUMBER(D406)),C406-D406,IF(AND(C406="Не найдено",ISNUMBER(D406)),"Появился",IF(AND(ISNUMBER(C406),D406="Не найдено"),"Не найдено","Нет сравнения")))</x:f>
        <x:v>6</x:v>
      </x:c>
      <x:c r="F406" s="16" t="str">
        <x:v>https://kozhaclinic.ru/udalenie-novoobrazovanij/udalenie-gemangiomy/</x:v>
      </x:c>
      <x:c r="G406" s="27" t="n">
        <x:v>3</x:v>
      </x:c>
      <x:c r="H406" s="27" t="n">
        <x:v>3</x:v>
      </x:c>
      <x:c r="I406" s="29" t="n">
        <x:f>IF(AND(ISNUMBER(G406),ISNUMBER(H406)),G406-H406,IF(AND(G406="Не найдено",ISNUMBER(H406)),"Появился",IF(AND(ISNUMBER(G406),H406="Не найдено"),"Не найдено","Нет сравнения")))</x:f>
        <x:v>0</x:v>
      </x:c>
      <x:c r="J406" s="16" t="str">
        <x:v>https://kozhaclinic.ru/udalenie-novoobrazovanij/udalenie-gemangiomy/</x:v>
      </x:c>
    </x:row>
    <x:row r="407" ht="40" customHeight="1">
      <x:c r="A407" s="12" t="str">
        <x:v>удалить гемангиому сургут</x:v>
      </x:c>
      <x:c r="B407" s="12" t="str">
        <x:v>Сентябрь 2026</x:v>
      </x:c>
      <x:c r="C407" s="26" t="n">
        <x:v>14</x:v>
      </x:c>
      <x:c r="D407" s="26" t="n">
        <x:v>2</x:v>
      </x:c>
      <x:c r="E407" s="28" t="n">
        <x:f>IF(AND(ISNUMBER(C407),ISNUMBER(D407)),C407-D407,IF(AND(C407="Не найдено",ISNUMBER(D407)),"Появился",IF(AND(ISNUMBER(C407),D407="Не найдено"),"Не найдено","Нет сравнения")))</x:f>
        <x:v>12</x:v>
      </x:c>
      <x:c r="F407" s="15" t="str">
        <x:v>https://kozhaclinic.ru/udalenie-novoobrazovanij/udalenie-gemangiomy/</x:v>
      </x:c>
      <x:c r="G407" s="26" t="n">
        <x:v>3</x:v>
      </x:c>
      <x:c r="H407" s="26" t="n">
        <x:v>4</x:v>
      </x:c>
      <x:c r="I407" s="28" t="n">
        <x:f>IF(AND(ISNUMBER(G407),ISNUMBER(H407)),G407-H407,IF(AND(G407="Не найдено",ISNUMBER(H407)),"Появился",IF(AND(ISNUMBER(G407),H407="Не найдено"),"Не найдено","Нет сравнения")))</x:f>
        <x:v>-1</x:v>
      </x:c>
      <x:c r="J407" s="15" t="str">
        <x:v>https://kozhaclinic.ru/udalenie-novoobrazovanij/udalenie-gemangiomy/</x:v>
      </x:c>
    </x:row>
    <x:row r="408" ht="40" customHeight="1">
      <x:c r="A408" s="14" t="str">
        <x:v>удаление гемангиом сургут</x:v>
      </x:c>
      <x:c r="B408" s="14" t="str">
        <x:v>Сентябрь 2026</x:v>
      </x:c>
      <x:c r="C408" s="27" t="n">
        <x:v>18</x:v>
      </x:c>
      <x:c r="D408" s="27" t="n">
        <x:v>2</x:v>
      </x:c>
      <x:c r="E408" s="29" t="n">
        <x:f>IF(AND(ISNUMBER(C408),ISNUMBER(D408)),C408-D408,IF(AND(C408="Не найдено",ISNUMBER(D408)),"Появился",IF(AND(ISNUMBER(C408),D408="Не найдено"),"Не найдено","Нет сравнения")))</x:f>
        <x:v>16</x:v>
      </x:c>
      <x:c r="F408" s="16" t="str">
        <x:v>https://kozhaclinic.ru/udalenie-novoobrazovanij/udalenie-gemangiomy/</x:v>
      </x:c>
      <x:c r="G408" s="27" t="n">
        <x:v>2</x:v>
      </x:c>
      <x:c r="H408" s="27" t="n">
        <x:v>4</x:v>
      </x:c>
      <x:c r="I408" s="29" t="n">
        <x:f>IF(AND(ISNUMBER(G408),ISNUMBER(H408)),G408-H408,IF(AND(G408="Не найдено",ISNUMBER(H408)),"Появился",IF(AND(ISNUMBER(G408),H408="Не найдено"),"Не найдено","Нет сравнения")))</x:f>
        <x:v>-2</x:v>
      </x:c>
      <x:c r="J408" s="16" t="str">
        <x:v>https://kozhaclinic.ru/udalenie-novoobrazovanij/udalenie-gemangiomy/</x:v>
      </x:c>
    </x:row>
    <x:row r="409" ht="40" customHeight="1">
      <x:c r="A409" s="12" t="str">
        <x:v>удаление контагиозного моллюска сургут</x:v>
      </x:c>
      <x:c r="B409" s="12" t="str">
        <x:v>Сентябрь 2026</x:v>
      </x:c>
      <x:c r="C409" s="26" t="str">
        <x:v>Не найдено</x:v>
      </x:c>
      <x:c r="D409" s="26" t="n">
        <x:v>3</x:v>
      </x:c>
      <x:c r="E409" s="28" t="str">
        <x:f>IF(AND(ISNUMBER(C409),ISNUMBER(D409)),C409-D409,IF(AND(C409="Не найдено",ISNUMBER(D409)),"Появился",IF(AND(ISNUMBER(C409),D409="Не найдено"),"Не найдено","Нет сравнения")))</x:f>
        <x:v>Появился</x:v>
      </x:c>
      <x:c r="F409" s="15" t="str">
        <x:v>https://kozhaclinic.ru/udalenie-novoobrazovanij/udalenie-kontagioznogo-mollyuska/</x:v>
      </x:c>
      <x:c r="G409" s="26" t="n">
        <x:v>2</x:v>
      </x:c>
      <x:c r="H409" s="26" t="n">
        <x:v>2</x:v>
      </x:c>
      <x:c r="I409" s="28" t="n">
        <x:f>IF(AND(ISNUMBER(G409),ISNUMBER(H409)),G409-H409,IF(AND(G409="Не найдено",ISNUMBER(H409)),"Появился",IF(AND(ISNUMBER(G409),H409="Не найдено"),"Не найдено","Нет сравнения")))</x:f>
        <x:v>0</x:v>
      </x:c>
      <x:c r="J409" s="15" t="str">
        <x:v>https://kozhaclinic.ru/udalenie-novoobrazovanij/udalenie-kontagioznogo-mollyuska/</x:v>
      </x:c>
    </x:row>
    <x:row r="410" ht="40" customHeight="1">
      <x:c r="A410" s="14" t="str">
        <x:v>удалить контагиозный моллюск сургут</x:v>
      </x:c>
      <x:c r="B410" s="14" t="str">
        <x:v>Сентябрь 2026</x:v>
      </x:c>
      <x:c r="C410" s="27" t="str">
        <x:v>Не найдено</x:v>
      </x:c>
      <x:c r="D410" s="27" t="n">
        <x:v>3</x:v>
      </x:c>
      <x:c r="E410" s="29" t="str">
        <x:f>IF(AND(ISNUMBER(C410),ISNUMBER(D410)),C410-D410,IF(AND(C410="Не найдено",ISNUMBER(D410)),"Появился",IF(AND(ISNUMBER(C410),D410="Не найдено"),"Не найдено","Нет сравнения")))</x:f>
        <x:v>Появился</x:v>
      </x:c>
      <x:c r="F410" s="16" t="str">
        <x:v>https://kozhaclinic.ru/udalenie-novoobrazovanij/udalenie-kontagioznogo-mollyuska/</x:v>
      </x:c>
      <x:c r="G410" s="27" t="n">
        <x:v>3</x:v>
      </x:c>
      <x:c r="H410" s="27" t="n">
        <x:v>2</x:v>
      </x:c>
      <x:c r="I410" s="29" t="n">
        <x:f>IF(AND(ISNUMBER(G410),ISNUMBER(H410)),G410-H410,IF(AND(G410="Не найдено",ISNUMBER(H410)),"Появился",IF(AND(ISNUMBER(G410),H410="Не найдено"),"Не найдено","Нет сравнения")))</x:f>
        <x:v>1</x:v>
      </x:c>
      <x:c r="J410" s="16" t="str">
        <x:v>https://kozhaclinic.ru/udalenie-novoobrazovanij/udalenie-kontagioznogo-mollyuska/</x:v>
      </x:c>
    </x:row>
    <x:row r="411" ht="40" customHeight="1">
      <x:c r="A411" s="12" t="str">
        <x:v>лечение контагиозного моллюска сургут</x:v>
      </x:c>
      <x:c r="B411" s="12" t="str">
        <x:v>Сентябрь 2026</x:v>
      </x:c>
      <x:c r="C411" s="26" t="str">
        <x:v>Не найдено</x:v>
      </x:c>
      <x:c r="D411" s="26" t="n">
        <x:v>3</x:v>
      </x:c>
      <x:c r="E411" s="28" t="str">
        <x:f>IF(AND(ISNUMBER(C411),ISNUMBER(D411)),C411-D411,IF(AND(C411="Не найдено",ISNUMBER(D411)),"Появился",IF(AND(ISNUMBER(C411),D411="Не найдено"),"Не найдено","Нет сравнения")))</x:f>
        <x:v>Появился</x:v>
      </x:c>
      <x:c r="F411" s="15" t="str">
        <x:v>https://kozhaclinic.ru/udalenie-novoobrazovanij/udalenie-kontagioznogo-mollyuska/</x:v>
      </x:c>
      <x:c r="G411" s="26" t="str">
        <x:v>Не найдено</x:v>
      </x:c>
      <x:c r="H411" s="26" t="n">
        <x:v>3</x:v>
      </x:c>
      <x:c r="I411" s="28" t="str">
        <x:f>IF(AND(ISNUMBER(G411),ISNUMBER(H411)),G411-H411,IF(AND(G411="Не найдено",ISNUMBER(H411)),"Появился",IF(AND(ISNUMBER(G411),H411="Не найдено"),"Не найдено","Нет сравнения")))</x:f>
        <x:v>Появился</x:v>
      </x:c>
      <x:c r="J411" s="15" t="str">
        <x:v>https://kozhaclinic.ru/udalenie-novoobrazovanij/udalenie-kontagioznogo-mollyuska/</x:v>
      </x:c>
    </x:row>
    <x:row r="412" ht="40" customHeight="1">
      <x:c r="A412" s="14" t="str">
        <x:v>удаление фибромы сургут</x:v>
      </x:c>
      <x:c r="B412" s="14" t="str">
        <x:v>Сентябрь 2026</x:v>
      </x:c>
      <x:c r="C412" s="27" t="n">
        <x:v>8</x:v>
      </x:c>
      <x:c r="D412" s="27" t="n">
        <x:v>2</x:v>
      </x:c>
      <x:c r="E412" s="29" t="n">
        <x:f>IF(AND(ISNUMBER(C412),ISNUMBER(D412)),C412-D412,IF(AND(C412="Не найдено",ISNUMBER(D412)),"Появился",IF(AND(ISNUMBER(C412),D412="Не найдено"),"Не найдено","Нет сравнения")))</x:f>
        <x:v>6</x:v>
      </x:c>
      <x:c r="F412" s="16" t="str">
        <x:v>https://kozhaclinic.ru/udalenie-novoobrazovanij/udalenie-fibrom/</x:v>
      </x:c>
      <x:c r="G412" s="27" t="n">
        <x:v>5</x:v>
      </x:c>
      <x:c r="H412" s="27" t="n">
        <x:v>5</x:v>
      </x:c>
      <x:c r="I412" s="29" t="n">
        <x:f>IF(AND(ISNUMBER(G412),ISNUMBER(H412)),G412-H412,IF(AND(G412="Не найдено",ISNUMBER(H412)),"Появился",IF(AND(ISNUMBER(G412),H412="Не найдено"),"Не найдено","Нет сравнения")))</x:f>
        <x:v>0</x:v>
      </x:c>
      <x:c r="J412" s="16" t="str">
        <x:v>https://kozhaclinic.ru/udalenie-novoobrazovanij/udalenie-fibrom/</x:v>
      </x:c>
    </x:row>
    <x:row r="413" ht="40" customHeight="1">
      <x:c r="A413" s="12" t="str">
        <x:v>удаление фибром сургут</x:v>
      </x:c>
      <x:c r="B413" s="12" t="str">
        <x:v>Сентябрь 2026</x:v>
      </x:c>
      <x:c r="C413" s="26" t="n">
        <x:v>9</x:v>
      </x:c>
      <x:c r="D413" s="26" t="n">
        <x:v>2</x:v>
      </x:c>
      <x:c r="E413" s="28" t="n">
        <x:f>IF(AND(ISNUMBER(C413),ISNUMBER(D413)),C413-D413,IF(AND(C413="Не найдено",ISNUMBER(D413)),"Появился",IF(AND(ISNUMBER(C413),D413="Не найдено"),"Не найдено","Нет сравнения")))</x:f>
        <x:v>7</x:v>
      </x:c>
      <x:c r="F413" s="15" t="str">
        <x:v>https://kozhaclinic.ru/udalenie-novoobrazovanij/udalenie-fibrom/</x:v>
      </x:c>
      <x:c r="G413" s="26" t="n">
        <x:v>3</x:v>
      </x:c>
      <x:c r="H413" s="26" t="n">
        <x:v>3</x:v>
      </x:c>
      <x:c r="I413" s="28" t="n">
        <x:f>IF(AND(ISNUMBER(G413),ISNUMBER(H413)),G413-H413,IF(AND(G413="Не найдено",ISNUMBER(H413)),"Появился",IF(AND(ISNUMBER(G413),H413="Не найдено"),"Не найдено","Нет сравнения")))</x:f>
        <x:v>0</x:v>
      </x:c>
      <x:c r="J413" s="15" t="str">
        <x:v>https://kozhaclinic.ru/udalenie-novoobrazovanij/udalenie-fibrom/</x:v>
      </x:c>
    </x:row>
    <x:row r="414" ht="40" customHeight="1">
      <x:c r="A414" s="14" t="str">
        <x:v>удалить фиброму сургут</x:v>
      </x:c>
      <x:c r="B414" s="14" t="str">
        <x:v>Сентябрь 2026</x:v>
      </x:c>
      <x:c r="C414" s="27" t="n">
        <x:v>8</x:v>
      </x:c>
      <x:c r="D414" s="27" t="n">
        <x:v>3</x:v>
      </x:c>
      <x:c r="E414" s="29" t="n">
        <x:f>IF(AND(ISNUMBER(C414),ISNUMBER(D414)),C414-D414,IF(AND(C414="Не найдено",ISNUMBER(D414)),"Появился",IF(AND(ISNUMBER(C414),D414="Не найдено"),"Не найдено","Нет сравнения")))</x:f>
        <x:v>5</x:v>
      </x:c>
      <x:c r="F414" s="16" t="str">
        <x:v>https://kozhaclinic.ru/udalenie-novoobrazovanij/udalenie-fibrom/</x:v>
      </x:c>
      <x:c r="G414" s="27" t="n">
        <x:v>3</x:v>
      </x:c>
      <x:c r="H414" s="27" t="n">
        <x:v>3</x:v>
      </x:c>
      <x:c r="I414" s="29" t="n">
        <x:f>IF(AND(ISNUMBER(G414),ISNUMBER(H414)),G414-H414,IF(AND(G414="Не найдено",ISNUMBER(H414)),"Появился",IF(AND(ISNUMBER(G414),H414="Не найдено"),"Не найдено","Нет сравнения")))</x:f>
        <x:v>0</x:v>
      </x:c>
      <x:c r="J414" s="16" t="str">
        <x:v>https://kozhaclinic.ru/udalenie-novoobrazovanij/udalenie-fibrom/</x:v>
      </x:c>
    </x:row>
    <x:row r="415" ht="40" customHeight="1">
      <x:c r="A415" s="12" t="str">
        <x:v>удаление кожных фибром</x:v>
      </x:c>
      <x:c r="B415" s="12" t="str">
        <x:v>Сентябрь 2026</x:v>
      </x:c>
      <x:c r="C415" s="26" t="n">
        <x:v>30</x:v>
      </x:c>
      <x:c r="D415" s="26" t="n">
        <x:v>7</x:v>
      </x:c>
      <x:c r="E415" s="28" t="n">
        <x:f>IF(AND(ISNUMBER(C415),ISNUMBER(D415)),C415-D415,IF(AND(C415="Не найдено",ISNUMBER(D415)),"Появился",IF(AND(ISNUMBER(C415),D415="Не найдено"),"Не найдено","Нет сравнения")))</x:f>
        <x:v>23</x:v>
      </x:c>
      <x:c r="F415" s="15" t="str">
        <x:v>https://kozhaclinic.ru/udalenie-novoobrazovanij/</x:v>
      </x:c>
      <x:c r="G415" s="26" t="str">
        <x:v>Не найдено</x:v>
      </x:c>
      <x:c r="H415" s="26" t="str">
        <x:v>Не найдено</x:v>
      </x:c>
      <x:c r="I415" s="28" t="str">
        <x:f>IF(AND(ISNUMBER(G415),ISNUMBER(H415)),G415-H415,IF(AND(G415="Не найдено",ISNUMBER(H415)),"Появился",IF(AND(ISNUMBER(G415),H415="Не найдено"),"Не найдено","Нет сравнения")))</x:f>
        <x:v>Нет сравнения</x:v>
      </x:c>
      <x:c r="J415" s="12"/>
    </x:row>
    <x:row r="416" ht="40" customHeight="1">
      <x:c r="A416" s="14" t="str">
        <x:v>удаление мягкой фибромы</x:v>
      </x:c>
      <x:c r="B416" s="14" t="str">
        <x:v>Сентябрь 2026</x:v>
      </x:c>
      <x:c r="C416" s="27" t="n">
        <x:v>17</x:v>
      </x:c>
      <x:c r="D416" s="27" t="n">
        <x:v>2</x:v>
      </x:c>
      <x:c r="E416" s="29" t="n">
        <x:f>IF(AND(ISNUMBER(C416),ISNUMBER(D416)),C416-D416,IF(AND(C416="Не найдено",ISNUMBER(D416)),"Появился",IF(AND(ISNUMBER(C416),D416="Не найдено"),"Не найдено","Нет сравнения")))</x:f>
        <x:v>15</x:v>
      </x:c>
      <x:c r="F416" s="16" t="str">
        <x:v>https://kozhaclinic.ru/udalenie-novoobrazovanij/udalenie-fibrom/</x:v>
      </x:c>
      <x:c r="G416" s="27" t="str">
        <x:v>Не найдено</x:v>
      </x:c>
      <x:c r="H416" s="27" t="str">
        <x:v>Не найдено</x:v>
      </x:c>
      <x:c r="I416" s="29" t="str">
        <x:f>IF(AND(ISNUMBER(G416),ISNUMBER(H416)),G416-H416,IF(AND(G416="Не найдено",ISNUMBER(H416)),"Появился",IF(AND(ISNUMBER(G416),H416="Не найдено"),"Не найдено","Нет сравнения")))</x:f>
        <x:v>Нет сравнения</x:v>
      </x:c>
      <x:c r="J416" s="14"/>
    </x:row>
  </x:sheetData>
  <x:pageMargins left="0.7" right="0.7" top="0.75" bottom="0.75" header="0.3" footer="0.3"/>
  <x:tableParts count="1">
    <x:tablePart xmlns:r="http://schemas.openxmlformats.org/officeDocument/2006/relationships" r:id="R5c7a5a927dd44b7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0" hidden="0" customWidth="1"/>
    <x:col min="2" max="2" width="51.25" hidden="0" customWidth="1"/>
    <x:col min="3" max="3" width="12.5" hidden="0" customWidth="1"/>
    <x:col min="4" max="4" width="13.75" hidden="0" customWidth="1"/>
    <x:col min="5" max="5" width="13.75" hidden="0" customWidth="1"/>
    <x:col min="6" max="6" width="1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Запросы Google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996 раскрытых запросов из 18 отдельных выгрузок страниц. Период: 17.09–14.10.2026. Все страны и устройства.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4" t="str">
        <x:v>Запросы могут быть скрыты Google. Пустой список запросов не означает отсутствие показов страницы.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8" customHeight="1">
      <x:c r="A6" s="10" t="str">
        <x:v>Страница</x:v>
      </x:c>
      <x:c r="B6" s="10" t="str">
        <x:v>Запрос</x:v>
      </x:c>
      <x:c r="C6" s="10" t="str">
        <x:v>Клики</x:v>
      </x:c>
      <x:c r="D6" s="10" t="str">
        <x:v>Показы</x:v>
      </x:c>
      <x:c r="E6" s="10" t="str">
        <x:v>CTR</x:v>
      </x:c>
      <x:c r="F6" s="10" t="str">
        <x:v>Средняя позиция</x:v>
      </x:c>
    </x:row>
    <x:row r="7" ht="42" customHeight="1">
      <x:c r="A7" s="12" t="str">
        <x:v>https://kozhaclinic.ru/inekcionnaya-kosmetologiya/kollagenoterapiya/kollagenoterapiya-vokrug-glaz/</x:v>
      </x:c>
      <x:c r="B7" s="12" t="str">
        <x:v>коллаген под глаза</x:v>
      </x:c>
      <x:c r="C7" s="30" t="n">
        <x:v>2</x:v>
      </x:c>
      <x:c r="D7" s="30" t="n">
        <x:v>140</x:v>
      </x:c>
      <x:c r="E7" s="32" t="n">
        <x:f>IF(D7&gt;0,C7/D7,"")</x:f>
        <x:v>0.014285714285714285</x:v>
      </x:c>
      <x:c r="F7" s="34" t="n">
        <x:v>5.75</x:v>
      </x:c>
    </x:row>
    <x:row r="8" ht="42" customHeight="1">
      <x:c r="A8" s="14" t="str">
        <x:v>https://kozhaclinic.ru/inekcionnaya-kosmetologiya/kollagenoterapiya/kollagenoterapiya-vokrug-glaz/</x:v>
      </x:c>
      <x:c r="B8" s="14" t="str">
        <x:v>коллаген для глаз</x:v>
      </x:c>
      <x:c r="C8" s="31" t="n">
        <x:v>1</x:v>
      </x:c>
      <x:c r="D8" s="31" t="n">
        <x:v>38</x:v>
      </x:c>
      <x:c r="E8" s="33" t="n">
        <x:f>IF(D8&gt;0,C8/D8,"")</x:f>
        <x:v>0.02631578947368421</x:v>
      </x:c>
      <x:c r="F8" s="35" t="n">
        <x:v>8.11</x:v>
      </x:c>
    </x:row>
    <x:row r="9" ht="42" customHeight="1">
      <x:c r="A9" s="12" t="str">
        <x:v>https://kozhaclinic.ru/inekcionnaya-kosmetologiya/kollagenoterapiya/kollagenoterapiya-vokrug-glaz/</x:v>
      </x:c>
      <x:c r="B9" s="12" t="str">
        <x:v>коллост микро вокруг глаз</x:v>
      </x:c>
      <x:c r="C9" s="30" t="n">
        <x:v>1</x:v>
      </x:c>
      <x:c r="D9" s="30" t="n">
        <x:v>27</x:v>
      </x:c>
      <x:c r="E9" s="32" t="n">
        <x:f>IF(D9&gt;0,C9/D9,"")</x:f>
        <x:v>0.037037037037037035</x:v>
      </x:c>
      <x:c r="F9" s="34" t="n">
        <x:v>9.48</x:v>
      </x:c>
    </x:row>
    <x:row r="10" ht="42" customHeight="1">
      <x:c r="A10" s="14" t="str">
        <x:v>https://kozhaclinic.ru/inekcionnaya-kosmetologiya/kollagenoterapiya/kollagenoterapiya-vokrug-glaz/</x:v>
      </x:c>
      <x:c r="B10" s="14" t="str">
        <x:v>коллаген для глаз инъекции</x:v>
      </x:c>
      <x:c r="C10" s="31" t="n">
        <x:v>1</x:v>
      </x:c>
      <x:c r="D10" s="31" t="n">
        <x:v>13</x:v>
      </x:c>
      <x:c r="E10" s="33" t="n">
        <x:f>IF(D10&gt;0,C10/D10,"")</x:f>
        <x:v>0.07692307692307693</x:v>
      </x:c>
      <x:c r="F10" s="35" t="n">
        <x:v>4.92</x:v>
      </x:c>
    </x:row>
    <x:row r="11" ht="42" customHeight="1">
      <x:c r="A11" s="12" t="str">
        <x:v>https://kozhaclinic.ru/inekcionnaya-kosmetologiya/kollagenoterapiya/kollagenoterapiya-vokrug-glaz/</x:v>
      </x:c>
      <x:c r="B11" s="12" t="str">
        <x:v>коллагеностимуляция под глаза</x:v>
      </x:c>
      <x:c r="C11" s="30" t="n">
        <x:v>1</x:v>
      </x:c>
      <x:c r="D11" s="30" t="n">
        <x:v>12</x:v>
      </x:c>
      <x:c r="E11" s="32" t="n">
        <x:f>IF(D11&gt;0,C11/D11,"")</x:f>
        <x:v>0.08333333333333333</x:v>
      </x:c>
      <x:c r="F11" s="34" t="n">
        <x:v>6.08</x:v>
      </x:c>
    </x:row>
    <x:row r="12" ht="42" customHeight="1">
      <x:c r="A12" s="14" t="str">
        <x:v>https://kozhaclinic.ru/inekcionnaya-kosmetologiya/kollagenoterapiya/kollagenoterapiya-vokrug-glaz/</x:v>
      </x:c>
      <x:c r="B12" s="14" t="str">
        <x:v>можно ли колоть коллаген под глаза</x:v>
      </x:c>
      <x:c r="C12" s="31" t="n">
        <x:v>1</x:v>
      </x:c>
      <x:c r="D12" s="31" t="n">
        <x:v>11</x:v>
      </x:c>
      <x:c r="E12" s="33" t="n">
        <x:f>IF(D12&gt;0,C12/D12,"")</x:f>
        <x:v>0.09090909090909091</x:v>
      </x:c>
      <x:c r="F12" s="35" t="n">
        <x:v>4.82</x:v>
      </x:c>
    </x:row>
    <x:row r="13" ht="42" customHeight="1">
      <x:c r="A13" s="12" t="str">
        <x:v>https://kozhaclinic.ru/inekcionnaya-kosmetologiya/kollagenoterapiya/kollagenoterapiya-vokrug-glaz/</x:v>
      </x:c>
      <x:c r="B13" s="12" t="str">
        <x:v>колост цена</x:v>
      </x:c>
      <x:c r="C13" s="30" t="n">
        <x:v>1</x:v>
      </x:c>
      <x:c r="D13" s="30" t="n">
        <x:v>1</x:v>
      </x:c>
      <x:c r="E13" s="32" t="n">
        <x:f>IF(D13&gt;0,C13/D13,"")</x:f>
        <x:v>1</x:v>
      </x:c>
      <x:c r="F13" s="34" t="n">
        <x:v>3</x:v>
      </x:c>
    </x:row>
    <x:row r="14" ht="42" customHeight="1">
      <x:c r="A14" s="14" t="str">
        <x:v>https://kozhaclinic.ru/inekcionnaya-kosmetologiya/kollagenoterapiya/kollagenoterapiya-vokrug-glaz/</x:v>
      </x:c>
      <x:c r="B14" s="14" t="str">
        <x:v>коллаген инъекции под глазами</x:v>
      </x:c>
      <x:c r="C14" s="31" t="n">
        <x:v>0</x:v>
      </x:c>
      <x:c r="D14" s="31" t="n">
        <x:v>542</x:v>
      </x:c>
      <x:c r="E14" s="33" t="n">
        <x:f>IF(D14&gt;0,C14/D14,"")</x:f>
        <x:v>0</x:v>
      </x:c>
      <x:c r="F14" s="35" t="n">
        <x:v>4.51</x:v>
      </x:c>
    </x:row>
    <x:row r="15" ht="42" customHeight="1">
      <x:c r="A15" s="12" t="str">
        <x:v>https://kozhaclinic.ru/inekcionnaya-kosmetologiya/kollagenoterapiya/kollagenoterapiya-vokrug-glaz/</x:v>
      </x:c>
      <x:c r="B15" s="12" t="str">
        <x:v>инъекции коллагена веки</x:v>
      </x:c>
      <x:c r="C15" s="30" t="n">
        <x:v>0</x:v>
      </x:c>
      <x:c r="D15" s="30" t="n">
        <x:v>488</x:v>
      </x:c>
      <x:c r="E15" s="32" t="n">
        <x:f>IF(D15&gt;0,C15/D15,"")</x:f>
        <x:v>0</x:v>
      </x:c>
      <x:c r="F15" s="34" t="n">
        <x:v>5.8</x:v>
      </x:c>
    </x:row>
    <x:row r="16" ht="42" customHeight="1">
      <x:c r="A16" s="14" t="str">
        <x:v>https://kozhaclinic.ru/inekcionnaya-kosmetologiya/kollagenoterapiya/kollagenoterapiya-vokrug-glaz/</x:v>
      </x:c>
      <x:c r="B16" s="14" t="str">
        <x:v>коллост микро под глаза</x:v>
      </x:c>
      <x:c r="C16" s="31" t="n">
        <x:v>0</x:v>
      </x:c>
      <x:c r="D16" s="31" t="n">
        <x:v>141</x:v>
      </x:c>
      <x:c r="E16" s="33" t="n">
        <x:f>IF(D16&gt;0,C16/D16,"")</x:f>
        <x:v>0</x:v>
      </x:c>
      <x:c r="F16" s="35" t="n">
        <x:v>9.05</x:v>
      </x:c>
    </x:row>
    <x:row r="17" ht="42" customHeight="1">
      <x:c r="A17" s="12" t="str">
        <x:v>https://kozhaclinic.ru/inekcionnaya-kosmetologiya/kollagenoterapiya/kollagenoterapiya-vokrug-glaz/</x:v>
      </x:c>
      <x:c r="B17" s="12" t="str">
        <x:v>коллост под глаза</x:v>
      </x:c>
      <x:c r="C17" s="30" t="n">
        <x:v>0</x:v>
      </x:c>
      <x:c r="D17" s="30" t="n">
        <x:v>131</x:v>
      </x:c>
      <x:c r="E17" s="32" t="n">
        <x:f>IF(D17&gt;0,C17/D17,"")</x:f>
        <x:v>0</x:v>
      </x:c>
      <x:c r="F17" s="34" t="n">
        <x:v>9.12</x:v>
      </x:c>
    </x:row>
    <x:row r="18" ht="42" customHeight="1">
      <x:c r="A18" s="14" t="str">
        <x:v>https://kozhaclinic.ru/inekcionnaya-kosmetologiya/kollagenoterapiya/kollagenoterapiya-vokrug-glaz/</x:v>
      </x:c>
      <x:c r="B18" s="14" t="str">
        <x:v>коллагенотерапия под глаза</x:v>
      </x:c>
      <x:c r="C18" s="31" t="n">
        <x:v>0</x:v>
      </x:c>
      <x:c r="D18" s="31" t="n">
        <x:v>77</x:v>
      </x:c>
      <x:c r="E18" s="33" t="n">
        <x:f>IF(D18&gt;0,C18/D18,"")</x:f>
        <x:v>0</x:v>
      </x:c>
      <x:c r="F18" s="35" t="n">
        <x:v>6.69</x:v>
      </x:c>
    </x:row>
    <x:row r="19" ht="42" customHeight="1">
      <x:c r="A19" s="12" t="str">
        <x:v>https://kozhaclinic.ru/inekcionnaya-kosmetologiya/kollagenoterapiya/kollagenoterapiya-vokrug-glaz/</x:v>
      </x:c>
      <x:c r="B19" s="12" t="str">
        <x:v>коллагенотерапия вокруг глаз</x:v>
      </x:c>
      <x:c r="C19" s="30" t="n">
        <x:v>0</x:v>
      </x:c>
      <x:c r="D19" s="30" t="n">
        <x:v>75</x:v>
      </x:c>
      <x:c r="E19" s="32" t="n">
        <x:f>IF(D19&gt;0,C19/D19,"")</x:f>
        <x:v>0</x:v>
      </x:c>
      <x:c r="F19" s="34" t="n">
        <x:v>6.05</x:v>
      </x:c>
    </x:row>
    <x:row r="20" ht="42" customHeight="1">
      <x:c r="A20" s="14" t="str">
        <x:v>https://kozhaclinic.ru/inekcionnaya-kosmetologiya/kollagenoterapiya/kollagenoterapiya-vokrug-glaz/</x:v>
      </x:c>
      <x:c r="B20" s="14" t="str">
        <x:v>коллагенотерапия век</x:v>
      </x:c>
      <x:c r="C20" s="31" t="n">
        <x:v>0</x:v>
      </x:c>
      <x:c r="D20" s="31" t="n">
        <x:v>66</x:v>
      </x:c>
      <x:c r="E20" s="33" t="n">
        <x:f>IF(D20&gt;0,C20/D20,"")</x:f>
        <x:v>0</x:v>
      </x:c>
      <x:c r="F20" s="35" t="n">
        <x:v>5.7</x:v>
      </x:c>
    </x:row>
    <x:row r="21" ht="42" customHeight="1">
      <x:c r="A21" s="12" t="str">
        <x:v>https://kozhaclinic.ru/inekcionnaya-kosmetologiya/kollagenoterapiya/kollagenoterapiya-vokrug-glaz/</x:v>
      </x:c>
      <x:c r="B21" s="12" t="str">
        <x:v>коллагенотерапия глаз</x:v>
      </x:c>
      <x:c r="C21" s="30" t="n">
        <x:v>0</x:v>
      </x:c>
      <x:c r="D21" s="30" t="n">
        <x:v>53</x:v>
      </x:c>
      <x:c r="E21" s="32" t="n">
        <x:f>IF(D21&gt;0,C21/D21,"")</x:f>
        <x:v>0</x:v>
      </x:c>
      <x:c r="F21" s="34" t="n">
        <x:v>6.19</x:v>
      </x:c>
    </x:row>
    <x:row r="22" ht="42" customHeight="1">
      <x:c r="A22" s="14" t="str">
        <x:v>https://kozhaclinic.ru/inekcionnaya-kosmetologiya/kollagenoterapiya/kollagenoterapiya-vokrug-glaz/</x:v>
      </x:c>
      <x:c r="B22" s="14" t="str">
        <x:v>инъекции коллагена под глаза</x:v>
      </x:c>
      <x:c r="C22" s="31" t="n">
        <x:v>0</x:v>
      </x:c>
      <x:c r="D22" s="31" t="n">
        <x:v>45</x:v>
      </x:c>
      <x:c r="E22" s="33" t="n">
        <x:f>IF(D22&gt;0,C22/D22,"")</x:f>
        <x:v>0</x:v>
      </x:c>
      <x:c r="F22" s="35" t="n">
        <x:v>8.2</x:v>
      </x:c>
    </x:row>
    <x:row r="23" ht="42" customHeight="1">
      <x:c r="A23" s="12" t="str">
        <x:v>https://kozhaclinic.ru/inekcionnaya-kosmetologiya/kollagenoterapiya/kollagenoterapiya-vokrug-glaz/</x:v>
      </x:c>
      <x:c r="B23" s="12" t="str">
        <x:v>коллаген под глаза инъекции</x:v>
      </x:c>
      <x:c r="C23" s="30" t="n">
        <x:v>0</x:v>
      </x:c>
      <x:c r="D23" s="30" t="n">
        <x:v>39</x:v>
      </x:c>
      <x:c r="E23" s="32" t="n">
        <x:f>IF(D23&gt;0,C23/D23,"")</x:f>
        <x:v>0</x:v>
      </x:c>
      <x:c r="F23" s="34" t="n">
        <x:v>7.92</x:v>
      </x:c>
    </x:row>
    <x:row r="24" ht="42" customHeight="1">
      <x:c r="A24" s="14" t="str">
        <x:v>https://kozhaclinic.ru/inekcionnaya-kosmetologiya/kollagenoterapiya/kollagenoterapiya-vokrug-glaz/</x:v>
      </x:c>
      <x:c r="B24" s="14" t="str">
        <x:v>коллост для глаз</x:v>
      </x:c>
      <x:c r="C24" s="31" t="n">
        <x:v>0</x:v>
      </x:c>
      <x:c r="D24" s="31" t="n">
        <x:v>38</x:v>
      </x:c>
      <x:c r="E24" s="33" t="n">
        <x:f>IF(D24&gt;0,C24/D24,"")</x:f>
        <x:v>0</x:v>
      </x:c>
      <x:c r="F24" s="35" t="n">
        <x:v>8.08</x:v>
      </x:c>
    </x:row>
    <x:row r="25" ht="42" customHeight="1">
      <x:c r="A25" s="12" t="str">
        <x:v>https://kozhaclinic.ru/inekcionnaya-kosmetologiya/kollagenoterapiya/kollagenoterapiya-vokrug-glaz/</x:v>
      </x:c>
      <x:c r="B25" s="12" t="str">
        <x:v>коллаген под глаза уколы</x:v>
      </x:c>
      <x:c r="C25" s="30" t="n">
        <x:v>0</x:v>
      </x:c>
      <x:c r="D25" s="30" t="n">
        <x:v>33</x:v>
      </x:c>
      <x:c r="E25" s="32" t="n">
        <x:f>IF(D25&gt;0,C25/D25,"")</x:f>
        <x:v>0</x:v>
      </x:c>
      <x:c r="F25" s="34" t="n">
        <x:v>9.03</x:v>
      </x:c>
    </x:row>
    <x:row r="26" ht="42" customHeight="1">
      <x:c r="A26" s="14" t="str">
        <x:v>https://kozhaclinic.ru/inekcionnaya-kosmetologiya/kollagenoterapiya/kollagenoterapiya-vokrug-glaz/</x:v>
      </x:c>
      <x:c r="B26" s="14" t="str">
        <x:v>инъекции коллагена под глазами</x:v>
      </x:c>
      <x:c r="C26" s="31" t="n">
        <x:v>0</x:v>
      </x:c>
      <x:c r="D26" s="31" t="n">
        <x:v>30</x:v>
      </x:c>
      <x:c r="E26" s="33" t="n">
        <x:f>IF(D26&gt;0,C26/D26,"")</x:f>
        <x:v>0</x:v>
      </x:c>
      <x:c r="F26" s="35" t="n">
        <x:v>8.23</x:v>
      </x:c>
    </x:row>
    <x:row r="27" ht="42" customHeight="1">
      <x:c r="A27" s="12" t="str">
        <x:v>https://kozhaclinic.ru/inekcionnaya-kosmetologiya/kollagenoterapiya/kollagenoterapiya-vokrug-glaz/</x:v>
      </x:c>
      <x:c r="B27" s="12" t="str">
        <x:v>коллост 7 под глаза</x:v>
      </x:c>
      <x:c r="C27" s="30" t="n">
        <x:v>0</x:v>
      </x:c>
      <x:c r="D27" s="30" t="n">
        <x:v>30</x:v>
      </x:c>
      <x:c r="E27" s="32" t="n">
        <x:f>IF(D27&gt;0,C27/D27,"")</x:f>
        <x:v>0</x:v>
      </x:c>
      <x:c r="F27" s="34" t="n">
        <x:v>8.27</x:v>
      </x:c>
    </x:row>
    <x:row r="28" ht="42" customHeight="1">
      <x:c r="A28" s="14" t="str">
        <x:v>https://kozhaclinic.ru/inekcionnaya-kosmetologiya/kollagenoterapiya/kollagenoterapiya-vokrug-glaz/</x:v>
      </x:c>
      <x:c r="B28" s="14" t="str">
        <x:v>коллаген вокруг глаз</x:v>
      </x:c>
      <x:c r="C28" s="31" t="n">
        <x:v>0</x:v>
      </x:c>
      <x:c r="D28" s="31" t="n">
        <x:v>28</x:v>
      </x:c>
      <x:c r="E28" s="33" t="n">
        <x:f>IF(D28&gt;0,C28/D28,"")</x:f>
        <x:v>0</x:v>
      </x:c>
      <x:c r="F28" s="35" t="n">
        <x:v>7.04</x:v>
      </x:c>
    </x:row>
    <x:row r="29" ht="42" customHeight="1">
      <x:c r="A29" s="12" t="str">
        <x:v>https://kozhaclinic.ru/inekcionnaya-kosmetologiya/kollagenoterapiya/kollagenoterapiya-vokrug-glaz/</x:v>
      </x:c>
      <x:c r="B29" s="12" t="str">
        <x:v>коллагенотерапия под глазами</x:v>
      </x:c>
      <x:c r="C29" s="30" t="n">
        <x:v>0</x:v>
      </x:c>
      <x:c r="D29" s="30" t="n">
        <x:v>28</x:v>
      </x:c>
      <x:c r="E29" s="32" t="n">
        <x:f>IF(D29&gt;0,C29/D29,"")</x:f>
        <x:v>0</x:v>
      </x:c>
      <x:c r="F29" s="34" t="n">
        <x:v>8.14</x:v>
      </x:c>
    </x:row>
    <x:row r="30" ht="42" customHeight="1">
      <x:c r="A30" s="14" t="str">
        <x:v>https://kozhaclinic.ru/inekcionnaya-kosmetologiya/kollagenoterapiya/kollagenoterapiya-vokrug-glaz/</x:v>
      </x:c>
      <x:c r="B30" s="14" t="str">
        <x:v>collost под глаза</x:v>
      </x:c>
      <x:c r="C30" s="31" t="n">
        <x:v>0</x:v>
      </x:c>
      <x:c r="D30" s="31" t="n">
        <x:v>27</x:v>
      </x:c>
      <x:c r="E30" s="33" t="n">
        <x:f>IF(D30&gt;0,C30/D30,"")</x:f>
        <x:v>0</x:v>
      </x:c>
      <x:c r="F30" s="35" t="n">
        <x:v>8.44</x:v>
      </x:c>
    </x:row>
    <x:row r="31" ht="42" customHeight="1">
      <x:c r="A31" s="12" t="str">
        <x:v>https://kozhaclinic.ru/inekcionnaya-kosmetologiya/kollagenoterapiya/kollagenoterapiya-vokrug-glaz/</x:v>
      </x:c>
      <x:c r="B31" s="12" t="str">
        <x:v>инъекция коллагена под глазами</x:v>
      </x:c>
      <x:c r="C31" s="30" t="n">
        <x:v>0</x:v>
      </x:c>
      <x:c r="D31" s="30" t="n">
        <x:v>23</x:v>
      </x:c>
      <x:c r="E31" s="32" t="n">
        <x:f>IF(D31&gt;0,C31/D31,"")</x:f>
        <x:v>0</x:v>
      </x:c>
      <x:c r="F31" s="34" t="n">
        <x:v>7.74</x:v>
      </x:c>
    </x:row>
    <x:row r="32" ht="42" customHeight="1">
      <x:c r="A32" s="14" t="str">
        <x:v>https://kozhaclinic.ru/inekcionnaya-kosmetologiya/kollagenoterapiya/kollagenoterapiya-vokrug-glaz/</x:v>
      </x:c>
      <x:c r="B32" s="14" t="str">
        <x:v>коллост вокруг глаз</x:v>
      </x:c>
      <x:c r="C32" s="31" t="n">
        <x:v>0</x:v>
      </x:c>
      <x:c r="D32" s="31" t="n">
        <x:v>22</x:v>
      </x:c>
      <x:c r="E32" s="33" t="n">
        <x:f>IF(D32&gt;0,C32/D32,"")</x:f>
        <x:v>0</x:v>
      </x:c>
      <x:c r="F32" s="35" t="n">
        <x:v>7.59</x:v>
      </x:c>
    </x:row>
    <x:row r="33" ht="42" customHeight="1">
      <x:c r="A33" s="12" t="str">
        <x:v>https://kozhaclinic.ru/inekcionnaya-kosmetologiya/kollagenoterapiya/kollagenoterapiya-vokrug-glaz/</x:v>
      </x:c>
      <x:c r="B33" s="12" t="str">
        <x:v>инъекции коллагена в веко</x:v>
      </x:c>
      <x:c r="C33" s="30" t="n">
        <x:v>0</x:v>
      </x:c>
      <x:c r="D33" s="30" t="n">
        <x:v>21</x:v>
      </x:c>
      <x:c r="E33" s="32" t="n">
        <x:f>IF(D33&gt;0,C33/D33,"")</x:f>
        <x:v>0</x:v>
      </x:c>
      <x:c r="F33" s="34" t="n">
        <x:v>7.48</x:v>
      </x:c>
    </x:row>
    <x:row r="34" ht="42" customHeight="1">
      <x:c r="A34" s="14" t="str">
        <x:v>https://kozhaclinic.ru/inekcionnaya-kosmetologiya/kollagenoterapiya/kollagenoterapiya-vokrug-glaz/</x:v>
      </x:c>
      <x:c r="B34" s="14" t="str">
        <x:v>уколы коллагена под глаза</x:v>
      </x:c>
      <x:c r="C34" s="31" t="n">
        <x:v>0</x:v>
      </x:c>
      <x:c r="D34" s="31" t="n">
        <x:v>19</x:v>
      </x:c>
      <x:c r="E34" s="33" t="n">
        <x:f>IF(D34&gt;0,C34/D34,"")</x:f>
        <x:v>0</x:v>
      </x:c>
      <x:c r="F34" s="35" t="n">
        <x:v>8.63</x:v>
      </x:c>
    </x:row>
    <x:row r="35" ht="42" customHeight="1">
      <x:c r="A35" s="12" t="str">
        <x:v>https://kozhaclinic.ru/inekcionnaya-kosmetologiya/kollagenoterapiya/kollagenoterapiya-vokrug-glaz/</x:v>
      </x:c>
      <x:c r="B35" s="12" t="str">
        <x:v>колост под глаза</x:v>
      </x:c>
      <x:c r="C35" s="30" t="n">
        <x:v>0</x:v>
      </x:c>
      <x:c r="D35" s="30" t="n">
        <x:v>18</x:v>
      </x:c>
      <x:c r="E35" s="32" t="n">
        <x:f>IF(D35&gt;0,C35/D35,"")</x:f>
        <x:v>0</x:v>
      </x:c>
      <x:c r="F35" s="34" t="n">
        <x:v>9.83</x:v>
      </x:c>
    </x:row>
    <x:row r="36" ht="42" customHeight="1">
      <x:c r="A36" s="14" t="str">
        <x:v>https://kozhaclinic.ru/inekcionnaya-kosmetologiya/kollagenoterapiya/kollagenoterapiya-vokrug-glaz/</x:v>
      </x:c>
      <x:c r="B36" s="14" t="str">
        <x:v>коллаген вокруг глаз уколы</x:v>
      </x:c>
      <x:c r="C36" s="31" t="n">
        <x:v>0</x:v>
      </x:c>
      <x:c r="D36" s="31" t="n">
        <x:v>16</x:v>
      </x:c>
      <x:c r="E36" s="33" t="n">
        <x:f>IF(D36&gt;0,C36/D36,"")</x:f>
        <x:v>0</x:v>
      </x:c>
      <x:c r="F36" s="35" t="n">
        <x:v>5.56</x:v>
      </x:c>
    </x:row>
    <x:row r="37" ht="42" customHeight="1">
      <x:c r="A37" s="12" t="str">
        <x:v>https://kozhaclinic.ru/inekcionnaya-kosmetologiya/kollagenoterapiya/kollagenoterapiya-vokrug-glaz/</x:v>
      </x:c>
      <x:c r="B37" s="12" t="str">
        <x:v>антикоагулянты когда отменить перед коллагенотерапией</x:v>
      </x:c>
      <x:c r="C37" s="30" t="n">
        <x:v>0</x:v>
      </x:c>
      <x:c r="D37" s="30" t="n">
        <x:v>16</x:v>
      </x:c>
      <x:c r="E37" s="32" t="n">
        <x:f>IF(D37&gt;0,C37/D37,"")</x:f>
        <x:v>0</x:v>
      </x:c>
      <x:c r="F37" s="34" t="n">
        <x:v>10.94</x:v>
      </x:c>
    </x:row>
    <x:row r="38" ht="42" customHeight="1">
      <x:c r="A38" s="14" t="str">
        <x:v>https://kozhaclinic.ru/inekcionnaya-kosmetologiya/kollagenoterapiya/kollagenoterapiya-vokrug-glaz/</x:v>
      </x:c>
      <x:c r="B38" s="14" t="str">
        <x:v>коллаген для кожи вокруг глаз</x:v>
      </x:c>
      <x:c r="C38" s="31" t="n">
        <x:v>0</x:v>
      </x:c>
      <x:c r="D38" s="31" t="n">
        <x:v>15</x:v>
      </x:c>
      <x:c r="E38" s="33" t="n">
        <x:f>IF(D38&gt;0,C38/D38,"")</x:f>
        <x:v>0</x:v>
      </x:c>
      <x:c r="F38" s="35" t="n">
        <x:v>6</x:v>
      </x:c>
    </x:row>
    <x:row r="39" ht="42" customHeight="1">
      <x:c r="A39" s="12" t="str">
        <x:v>https://kozhaclinic.ru/inekcionnaya-kosmetologiya/kollagenoterapiya/kollagenoterapiya-vokrug-glaz/</x:v>
      </x:c>
      <x:c r="B39" s="12" t="str">
        <x:v>инъекции коллаген под глаза</x:v>
      </x:c>
      <x:c r="C39" s="30" t="n">
        <x:v>0</x:v>
      </x:c>
      <x:c r="D39" s="30" t="n">
        <x:v>15</x:v>
      </x:c>
      <x:c r="E39" s="32" t="n">
        <x:f>IF(D39&gt;0,C39/D39,"")</x:f>
        <x:v>0</x:v>
      </x:c>
      <x:c r="F39" s="34" t="n">
        <x:v>7.53</x:v>
      </x:c>
    </x:row>
    <x:row r="40" ht="42" customHeight="1">
      <x:c r="A40" s="14" t="str">
        <x:v>https://kozhaclinic.ru/inekcionnaya-kosmetologiya/kollagenoterapiya/kollagenoterapiya-vokrug-glaz/</x:v>
      </x:c>
      <x:c r="B40" s="14" t="str">
        <x:v>коллаген вокруг глаз инъекции</x:v>
      </x:c>
      <x:c r="C40" s="31" t="n">
        <x:v>0</x:v>
      </x:c>
      <x:c r="D40" s="31" t="n">
        <x:v>13</x:v>
      </x:c>
      <x:c r="E40" s="33" t="n">
        <x:f>IF(D40&gt;0,C40/D40,"")</x:f>
        <x:v>0</x:v>
      </x:c>
      <x:c r="F40" s="35" t="n">
        <x:v>6.31</x:v>
      </x:c>
    </x:row>
    <x:row r="41" ht="42" customHeight="1">
      <x:c r="A41" s="12" t="str">
        <x:v>https://kozhaclinic.ru/inekcionnaya-kosmetologiya/kollagenoterapiya/kollagenoterapiya-vokrug-glaz/</x:v>
      </x:c>
      <x:c r="B41" s="12" t="str">
        <x:v>колаген под глаза</x:v>
      </x:c>
      <x:c r="C41" s="30" t="n">
        <x:v>0</x:v>
      </x:c>
      <x:c r="D41" s="30" t="n">
        <x:v>12</x:v>
      </x:c>
      <x:c r="E41" s="32" t="n">
        <x:f>IF(D41&gt;0,C41/D41,"")</x:f>
        <x:v>0</x:v>
      </x:c>
      <x:c r="F41" s="34" t="n">
        <x:v>6.33</x:v>
      </x:c>
    </x:row>
    <x:row r="42" ht="42" customHeight="1">
      <x:c r="A42" s="14" t="str">
        <x:v>https://kozhaclinic.ru/inekcionnaya-kosmetologiya/kollagenoterapiya/kollagenoterapiya-vokrug-glaz/</x:v>
      </x:c>
      <x:c r="B42" s="14" t="str">
        <x:v>коллаген под глаза уколы цена</x:v>
      </x:c>
      <x:c r="C42" s="31" t="n">
        <x:v>0</x:v>
      </x:c>
      <x:c r="D42" s="31" t="n">
        <x:v>12</x:v>
      </x:c>
      <x:c r="E42" s="33" t="n">
        <x:f>IF(D42&gt;0,C42/D42,"")</x:f>
        <x:v>0</x:v>
      </x:c>
      <x:c r="F42" s="35" t="n">
        <x:v>7.25</x:v>
      </x:c>
    </x:row>
    <x:row r="43" ht="42" customHeight="1">
      <x:c r="A43" s="12" t="str">
        <x:v>https://kozhaclinic.ru/inekcionnaya-kosmetologiya/kollagenoterapiya/kollagenoterapiya-vokrug-glaz/</x:v>
      </x:c>
      <x:c r="B43" s="12" t="str">
        <x:v>коллагенотерапия вокруг глаз отзывы</x:v>
      </x:c>
      <x:c r="C43" s="30" t="n">
        <x:v>0</x:v>
      </x:c>
      <x:c r="D43" s="30" t="n">
        <x:v>11</x:v>
      </x:c>
      <x:c r="E43" s="32" t="n">
        <x:f>IF(D43&gt;0,C43/D43,"")</x:f>
        <x:v>0</x:v>
      </x:c>
      <x:c r="F43" s="34" t="n">
        <x:v>10.64</x:v>
      </x:c>
    </x:row>
    <x:row r="44" ht="42" customHeight="1">
      <x:c r="A44" s="14" t="str">
        <x:v>https://kozhaclinic.ru/inekcionnaya-kosmetologiya/kollagenoterapiya/kollagenoterapiya-vokrug-glaz/</x:v>
      </x:c>
      <x:c r="B44" s="14" t="str">
        <x:v>коллагенотерапия глаза</x:v>
      </x:c>
      <x:c r="C44" s="31" t="n">
        <x:v>0</x:v>
      </x:c>
      <x:c r="D44" s="31" t="n">
        <x:v>10</x:v>
      </x:c>
      <x:c r="E44" s="33" t="n">
        <x:f>IF(D44&gt;0,C44/D44,"")</x:f>
        <x:v>0</x:v>
      </x:c>
      <x:c r="F44" s="35" t="n">
        <x:v>9.1</x:v>
      </x:c>
    </x:row>
    <x:row r="45" ht="42" customHeight="1">
      <x:c r="A45" s="12" t="str">
        <x:v>https://kozhaclinic.ru/inekcionnaya-kosmetologiya/kollagenoterapiya/kollagenoterapiya-vokrug-glaz/</x:v>
      </x:c>
      <x:c r="B45" s="12" t="str">
        <x:v>коллагеностимуляция вокруг глаз</x:v>
      </x:c>
      <x:c r="C45" s="30" t="n">
        <x:v>0</x:v>
      </x:c>
      <x:c r="D45" s="30" t="n">
        <x:v>9</x:v>
      </x:c>
      <x:c r="E45" s="32" t="n">
        <x:f>IF(D45&gt;0,C45/D45,"")</x:f>
        <x:v>0</x:v>
      </x:c>
      <x:c r="F45" s="34" t="n">
        <x:v>3.56</x:v>
      </x:c>
    </x:row>
    <x:row r="46" ht="42" customHeight="1">
      <x:c r="A46" s="14" t="str">
        <x:v>https://kozhaclinic.ru/inekcionnaya-kosmetologiya/kollagenoterapiya/kollagenoterapiya-vokrug-glaz/</x:v>
      </x:c>
      <x:c r="B46" s="14" t="str">
        <x:v>collost micro под глаза</x:v>
      </x:c>
      <x:c r="C46" s="31" t="n">
        <x:v>0</x:v>
      </x:c>
      <x:c r="D46" s="31" t="n">
        <x:v>9</x:v>
      </x:c>
      <x:c r="E46" s="33" t="n">
        <x:f>IF(D46&gt;0,C46/D46,"")</x:f>
        <x:v>0</x:v>
      </x:c>
      <x:c r="F46" s="35" t="n">
        <x:v>10.78</x:v>
      </x:c>
    </x:row>
    <x:row r="47" ht="42" customHeight="1">
      <x:c r="A47" s="12" t="str">
        <x:v>https://kozhaclinic.ru/inekcionnaya-kosmetologiya/kollagenoterapiya/kollagenoterapiya-vokrug-glaz/</x:v>
      </x:c>
      <x:c r="B47" s="12" t="str">
        <x:v>коллагенотерапия от темных кругов</x:v>
      </x:c>
      <x:c r="C47" s="30" t="n">
        <x:v>0</x:v>
      </x:c>
      <x:c r="D47" s="30" t="n">
        <x:v>7</x:v>
      </x:c>
      <x:c r="E47" s="32" t="n">
        <x:f>IF(D47&gt;0,C47/D47,"")</x:f>
        <x:v>0</x:v>
      </x:c>
      <x:c r="F47" s="34" t="n">
        <x:v>5.43</x:v>
      </x:c>
    </x:row>
    <x:row r="48" ht="42" customHeight="1">
      <x:c r="A48" s="14" t="str">
        <x:v>https://kozhaclinic.ru/inekcionnaya-kosmetologiya/kollagenoterapiya/kollagenoterapiya-vokrug-glaz/</x:v>
      </x:c>
      <x:c r="B48" s="14" t="str">
        <x:v>коллост отзывы</x:v>
      </x:c>
      <x:c r="C48" s="31" t="n">
        <x:v>0</x:v>
      </x:c>
      <x:c r="D48" s="31" t="n">
        <x:v>6</x:v>
      </x:c>
      <x:c r="E48" s="33" t="n">
        <x:f>IF(D48&gt;0,C48/D48,"")</x:f>
        <x:v>0</x:v>
      </x:c>
      <x:c r="F48" s="35" t="n">
        <x:v>2</x:v>
      </x:c>
    </x:row>
    <x:row r="49" ht="42" customHeight="1">
      <x:c r="A49" s="12" t="str">
        <x:v>https://kozhaclinic.ru/inekcionnaya-kosmetologiya/kollagenoterapiya/kollagenoterapiya-vokrug-glaz/</x:v>
      </x:c>
      <x:c r="B49" s="12" t="str">
        <x:v>коллост это</x:v>
      </x:c>
      <x:c r="C49" s="30" t="n">
        <x:v>0</x:v>
      </x:c>
      <x:c r="D49" s="30" t="n">
        <x:v>6</x:v>
      </x:c>
      <x:c r="E49" s="32" t="n">
        <x:f>IF(D49&gt;0,C49/D49,"")</x:f>
        <x:v>0</x:v>
      </x:c>
      <x:c r="F49" s="34" t="n">
        <x:v>2.5</x:v>
      </x:c>
    </x:row>
    <x:row r="50" ht="42" customHeight="1">
      <x:c r="A50" s="14" t="str">
        <x:v>https://kozhaclinic.ru/inekcionnaya-kosmetologiya/kollagenoterapiya/kollagenoterapiya-vokrug-glaz/</x:v>
      </x:c>
      <x:c r="B50" s="14" t="str">
        <x:v>гель под глаза уколы</x:v>
      </x:c>
      <x:c r="C50" s="31" t="n">
        <x:v>0</x:v>
      </x:c>
      <x:c r="D50" s="31" t="n">
        <x:v>6</x:v>
      </x:c>
      <x:c r="E50" s="33" t="n">
        <x:f>IF(D50&gt;0,C50/D50,"")</x:f>
        <x:v>0</x:v>
      </x:c>
      <x:c r="F50" s="35" t="n">
        <x:v>21.33</x:v>
      </x:c>
    </x:row>
    <x:row r="51" ht="42" customHeight="1">
      <x:c r="A51" s="12" t="str">
        <x:v>https://kozhaclinic.ru/inekcionnaya-kosmetologiya/kollagenoterapiya/kollagenoterapiya-vokrug-glaz/</x:v>
      </x:c>
      <x:c r="B51" s="12" t="str">
        <x:v>коллаген под глаза крем</x:v>
      </x:c>
      <x:c r="C51" s="30" t="n">
        <x:v>0</x:v>
      </x:c>
      <x:c r="D51" s="30" t="n">
        <x:v>6</x:v>
      </x:c>
      <x:c r="E51" s="32" t="n">
        <x:f>IF(D51&gt;0,C51/D51,"")</x:f>
        <x:v>0</x:v>
      </x:c>
      <x:c r="F51" s="34" t="n">
        <x:v>31</x:v>
      </x:c>
    </x:row>
    <x:row r="52" ht="42" customHeight="1">
      <x:c r="A52" s="14" t="str">
        <x:v>https://kozhaclinic.ru/inekcionnaya-kosmetologiya/kollagenoterapiya/kollagenoterapiya-vokrug-glaz/</x:v>
      </x:c>
      <x:c r="B52" s="14" t="str">
        <x:v>уколы коллагена вокруг глаз</x:v>
      </x:c>
      <x:c r="C52" s="31" t="n">
        <x:v>0</x:v>
      </x:c>
      <x:c r="D52" s="31" t="n">
        <x:v>5</x:v>
      </x:c>
      <x:c r="E52" s="33" t="n">
        <x:f>IF(D52&gt;0,C52/D52,"")</x:f>
        <x:v>0</x:v>
      </x:c>
      <x:c r="F52" s="35" t="n">
        <x:v>5.2</x:v>
      </x:c>
    </x:row>
    <x:row r="53" ht="42" customHeight="1">
      <x:c r="A53" s="12" t="str">
        <x:v>https://kozhaclinic.ru/inekcionnaya-kosmetologiya/kollagenoterapiya/kollagenoterapiya-vokrug-glaz/</x:v>
      </x:c>
      <x:c r="B53" s="12" t="str">
        <x:v>коллост под глаза фото до и после</x:v>
      </x:c>
      <x:c r="C53" s="30" t="n">
        <x:v>0</x:v>
      </x:c>
      <x:c r="D53" s="30" t="n">
        <x:v>4</x:v>
      </x:c>
      <x:c r="E53" s="32" t="n">
        <x:f>IF(D53&gt;0,C53/D53,"")</x:f>
        <x:v>0</x:v>
      </x:c>
      <x:c r="F53" s="34" t="n">
        <x:v>2</x:v>
      </x:c>
    </x:row>
    <x:row r="54" ht="42" customHeight="1">
      <x:c r="A54" s="14" t="str">
        <x:v>https://kozhaclinic.ru/inekcionnaya-kosmetologiya/kollagenoterapiya/kollagenoterapiya-vokrug-glaz/</x:v>
      </x:c>
      <x:c r="B54" s="14" t="str">
        <x:v>коллост</x:v>
      </x:c>
      <x:c r="C54" s="31" t="n">
        <x:v>0</x:v>
      </x:c>
      <x:c r="D54" s="31" t="n">
        <x:v>4</x:v>
      </x:c>
      <x:c r="E54" s="33" t="n">
        <x:f>IF(D54&gt;0,C54/D54,"")</x:f>
        <x:v>0</x:v>
      </x:c>
      <x:c r="F54" s="35" t="n">
        <x:v>3</x:v>
      </x:c>
    </x:row>
    <x:row r="55" ht="42" customHeight="1">
      <x:c r="A55" s="12" t="str">
        <x:v>https://kozhaclinic.ru/inekcionnaya-kosmetologiya/kollagenoterapiya/kollagenoterapiya-vokrug-glaz/</x:v>
      </x:c>
      <x:c r="B55" s="12" t="str">
        <x:v>коллост микро</x:v>
      </x:c>
      <x:c r="C55" s="30" t="n">
        <x:v>0</x:v>
      </x:c>
      <x:c r="D55" s="30" t="n">
        <x:v>4</x:v>
      </x:c>
      <x:c r="E55" s="32" t="n">
        <x:f>IF(D55&gt;0,C55/D55,"")</x:f>
        <x:v>0</x:v>
      </x:c>
      <x:c r="F55" s="34" t="n">
        <x:v>3</x:v>
      </x:c>
    </x:row>
    <x:row r="56" ht="42" customHeight="1">
      <x:c r="A56" s="14" t="str">
        <x:v>https://kozhaclinic.ru/inekcionnaya-kosmetologiya/kollagenoterapiya/kollagenoterapiya-vokrug-glaz/</x:v>
      </x:c>
      <x:c r="B56" s="14" t="str">
        <x:v>коллаген под глаза до и после</x:v>
      </x:c>
      <x:c r="C56" s="31" t="n">
        <x:v>0</x:v>
      </x:c>
      <x:c r="D56" s="31" t="n">
        <x:v>4</x:v>
      </x:c>
      <x:c r="E56" s="33" t="n">
        <x:f>IF(D56&gt;0,C56/D56,"")</x:f>
        <x:v>0</x:v>
      </x:c>
      <x:c r="F56" s="35" t="n">
        <x:v>8.5</x:v>
      </x:c>
    </x:row>
    <x:row r="57" ht="42" customHeight="1">
      <x:c r="A57" s="12" t="str">
        <x:v>https://kozhaclinic.ru/inekcionnaya-kosmetologiya/kollagenoterapiya/kollagenoterapiya-vokrug-glaz/</x:v>
      </x:c>
      <x:c r="B57" s="12" t="str">
        <x:v>коллагенотерапия лица сургут</x:v>
      </x:c>
      <x:c r="C57" s="30" t="n">
        <x:v>0</x:v>
      </x:c>
      <x:c r="D57" s="30" t="n">
        <x:v>4</x:v>
      </x:c>
      <x:c r="E57" s="32" t="n">
        <x:f>IF(D57&gt;0,C57/D57,"")</x:f>
        <x:v>0</x:v>
      </x:c>
      <x:c r="F57" s="34" t="n">
        <x:v>21.5</x:v>
      </x:c>
    </x:row>
    <x:row r="58" ht="42" customHeight="1">
      <x:c r="A58" s="14" t="str">
        <x:v>https://kozhaclinic.ru/inekcionnaya-kosmetologiya/kollagenoterapiya/kollagenoterapiya-vokrug-glaz/</x:v>
      </x:c>
      <x:c r="B58" s="14" t="str">
        <x:v>коллост 7</x:v>
      </x:c>
      <x:c r="C58" s="31" t="n">
        <x:v>0</x:v>
      </x:c>
      <x:c r="D58" s="31" t="n">
        <x:v>3</x:v>
      </x:c>
      <x:c r="E58" s="33" t="n">
        <x:f>IF(D58&gt;0,C58/D58,"")</x:f>
        <x:v>0</x:v>
      </x:c>
      <x:c r="F58" s="35" t="n">
        <x:v>3</x:v>
      </x:c>
    </x:row>
    <x:row r="59" ht="42" customHeight="1">
      <x:c r="A59" s="12" t="str">
        <x:v>https://kozhaclinic.ru/inekcionnaya-kosmetologiya/kollagenoterapiya/kollagenoterapiya-vokrug-glaz/</x:v>
      </x:c>
      <x:c r="B59" s="12" t="str">
        <x:v>коллост цена</x:v>
      </x:c>
      <x:c r="C59" s="30" t="n">
        <x:v>0</x:v>
      </x:c>
      <x:c r="D59" s="30" t="n">
        <x:v>3</x:v>
      </x:c>
      <x:c r="E59" s="32" t="n">
        <x:f>IF(D59&gt;0,C59/D59,"")</x:f>
        <x:v>0</x:v>
      </x:c>
      <x:c r="F59" s="34" t="n">
        <x:v>3</x:v>
      </x:c>
    </x:row>
    <x:row r="60" ht="42" customHeight="1">
      <x:c r="A60" s="14" t="str">
        <x:v>https://kozhaclinic.ru/inekcionnaya-kosmetologiya/kollagenoterapiya/kollagenoterapiya-vokrug-glaz/</x:v>
      </x:c>
      <x:c r="B60" s="14" t="str">
        <x:v>коллагенотерапия вокруг глаз сургут</x:v>
      </x:c>
      <x:c r="C60" s="31" t="n">
        <x:v>0</x:v>
      </x:c>
      <x:c r="D60" s="31" t="n">
        <x:v>3</x:v>
      </x:c>
      <x:c r="E60" s="33" t="n">
        <x:f>IF(D60&gt;0,C60/D60,"")</x:f>
        <x:v>0</x:v>
      </x:c>
      <x:c r="F60" s="35" t="n">
        <x:v>3.33</x:v>
      </x:c>
    </x:row>
    <x:row r="61" ht="42" customHeight="1">
      <x:c r="A61" s="12" t="str">
        <x:v>https://kozhaclinic.ru/inekcionnaya-kosmetologiya/kollagenoterapiya/kollagenoterapiya-vokrug-glaz/</x:v>
      </x:c>
      <x:c r="B61" s="12" t="str">
        <x:v>вокруг глаз коллост до и после</x:v>
      </x:c>
      <x:c r="C61" s="30" t="n">
        <x:v>0</x:v>
      </x:c>
      <x:c r="D61" s="30" t="n">
        <x:v>3</x:v>
      </x:c>
      <x:c r="E61" s="32" t="n">
        <x:f>IF(D61&gt;0,C61/D61,"")</x:f>
        <x:v>0</x:v>
      </x:c>
      <x:c r="F61" s="34" t="n">
        <x:v>4</x:v>
      </x:c>
    </x:row>
    <x:row r="62" ht="42" customHeight="1">
      <x:c r="A62" s="14" t="str">
        <x:v>https://kozhaclinic.ru/inekcionnaya-kosmetologiya/kollagenoterapiya/kollagenoterapiya-vokrug-glaz/</x:v>
      </x:c>
      <x:c r="B62" s="14" t="str">
        <x:v>коллагенотерапия вокруг глаз цена</x:v>
      </x:c>
      <x:c r="C62" s="31" t="n">
        <x:v>0</x:v>
      </x:c>
      <x:c r="D62" s="31" t="n">
        <x:v>3</x:v>
      </x:c>
      <x:c r="E62" s="33" t="n">
        <x:f>IF(D62&gt;0,C62/D62,"")</x:f>
        <x:v>0</x:v>
      </x:c>
      <x:c r="F62" s="35" t="n">
        <x:v>10</x:v>
      </x:c>
    </x:row>
    <x:row r="63" ht="42" customHeight="1">
      <x:c r="A63" s="12" t="str">
        <x:v>https://kozhaclinic.ru/inekcionnaya-kosmetologiya/kollagenoterapiya/kollagenoterapiya-vokrug-glaz/</x:v>
      </x:c>
      <x:c r="B63" s="12" t="str">
        <x:v>коллагенотерапия кожи сургут</x:v>
      </x:c>
      <x:c r="C63" s="30" t="n">
        <x:v>0</x:v>
      </x:c>
      <x:c r="D63" s="30" t="n">
        <x:v>3</x:v>
      </x:c>
      <x:c r="E63" s="32" t="n">
        <x:f>IF(D63&gt;0,C63/D63,"")</x:f>
        <x:v>0</x:v>
      </x:c>
      <x:c r="F63" s="34" t="n">
        <x:v>15</x:v>
      </x:c>
    </x:row>
    <x:row r="64" ht="42" customHeight="1">
      <x:c r="A64" s="14" t="str">
        <x:v>https://kozhaclinic.ru/inekcionnaya-kosmetologiya/kollagenoterapiya/kollagenoterapiya-vokrug-glaz/</x:v>
      </x:c>
      <x:c r="B64" s="14" t="str">
        <x:v>коллагенотерапия сургут</x:v>
      </x:c>
      <x:c r="C64" s="31" t="n">
        <x:v>0</x:v>
      </x:c>
      <x:c r="D64" s="31" t="n">
        <x:v>3</x:v>
      </x:c>
      <x:c r="E64" s="33" t="n">
        <x:f>IF(D64&gt;0,C64/D64,"")</x:f>
        <x:v>0</x:v>
      </x:c>
      <x:c r="F64" s="35" t="n">
        <x:v>15.33</x:v>
      </x:c>
    </x:row>
    <x:row r="65" ht="42" customHeight="1">
      <x:c r="A65" s="12" t="str">
        <x:v>https://kozhaclinic.ru/inekcionnaya-kosmetologiya/kollagenoterapiya/kollagenoterapiya-vokrug-glaz/</x:v>
      </x:c>
      <x:c r="B65" s="12" t="str">
        <x:v>коллост 7 вокруг глаз</x:v>
      </x:c>
      <x:c r="C65" s="30" t="n">
        <x:v>0</x:v>
      </x:c>
      <x:c r="D65" s="30" t="n">
        <x:v>3</x:v>
      </x:c>
      <x:c r="E65" s="32" t="n">
        <x:f>IF(D65&gt;0,C65/D65,"")</x:f>
        <x:v>0</x:v>
      </x:c>
      <x:c r="F65" s="34" t="n">
        <x:v>16.67</x:v>
      </x:c>
    </x:row>
    <x:row r="66" ht="42" customHeight="1">
      <x:c r="A66" s="14" t="str">
        <x:v>https://kozhaclinic.ru/inekcionnaya-kosmetologiya/kollagenoterapiya/kollagenoterapiya-vokrug-glaz/</x:v>
      </x:c>
      <x:c r="B66" s="14" t="str">
        <x:v>коллаген коллост микро отзывы</x:v>
      </x:c>
      <x:c r="C66" s="31" t="n">
        <x:v>0</x:v>
      </x:c>
      <x:c r="D66" s="31" t="n">
        <x:v>2</x:v>
      </x:c>
      <x:c r="E66" s="33" t="n">
        <x:f>IF(D66&gt;0,C66/D66,"")</x:f>
        <x:v>0</x:v>
      </x:c>
      <x:c r="F66" s="35" t="n">
        <x:v>2</x:v>
      </x:c>
    </x:row>
    <x:row r="67" ht="42" customHeight="1">
      <x:c r="A67" s="12" t="str">
        <x:v>https://kozhaclinic.ru/inekcionnaya-kosmetologiya/kollagenoterapiya/kollagenoterapiya-vokrug-glaz/</x:v>
      </x:c>
      <x:c r="B67" s="12" t="str">
        <x:v>коллаген коллост отзывы</x:v>
      </x:c>
      <x:c r="C67" s="30" t="n">
        <x:v>0</x:v>
      </x:c>
      <x:c r="D67" s="30" t="n">
        <x:v>2</x:v>
      </x:c>
      <x:c r="E67" s="32" t="n">
        <x:f>IF(D67&gt;0,C67/D67,"")</x:f>
        <x:v>0</x:v>
      </x:c>
      <x:c r="F67" s="34" t="n">
        <x:v>2</x:v>
      </x:c>
    </x:row>
    <x:row r="68" ht="42" customHeight="1">
      <x:c r="A68" s="14" t="str">
        <x:v>https://kozhaclinic.ru/inekcionnaya-kosmetologiya/kollagenoterapiya/kollagenoterapiya-vokrug-glaz/</x:v>
      </x:c>
      <x:c r="B68" s="14" t="str">
        <x:v>колост отзывы</x:v>
      </x:c>
      <x:c r="C68" s="31" t="n">
        <x:v>0</x:v>
      </x:c>
      <x:c r="D68" s="31" t="n">
        <x:v>2</x:v>
      </x:c>
      <x:c r="E68" s="33" t="n">
        <x:f>IF(D68&gt;0,C68/D68,"")</x:f>
        <x:v>0</x:v>
      </x:c>
      <x:c r="F68" s="35" t="n">
        <x:v>2</x:v>
      </x:c>
    </x:row>
    <x:row r="69" ht="42" customHeight="1">
      <x:c r="A69" s="12" t="str">
        <x:v>https://kozhaclinic.ru/inekcionnaya-kosmetologiya/kollagenoterapiya/kollagenoterapiya-vokrug-glaz/</x:v>
      </x:c>
      <x:c r="B69" s="12" t="str">
        <x:v>колоста</x:v>
      </x:c>
      <x:c r="C69" s="30" t="n">
        <x:v>0</x:v>
      </x:c>
      <x:c r="D69" s="30" t="n">
        <x:v>2</x:v>
      </x:c>
      <x:c r="E69" s="32" t="n">
        <x:f>IF(D69&gt;0,C69/D69,"")</x:f>
        <x:v>0</x:v>
      </x:c>
      <x:c r="F69" s="34" t="n">
        <x:v>2</x:v>
      </x:c>
    </x:row>
    <x:row r="70" ht="42" customHeight="1">
      <x:c r="A70" s="14" t="str">
        <x:v>https://kozhaclinic.ru/inekcionnaya-kosmetologiya/kollagenoterapiya/kollagenoterapiya-vokrug-glaz/</x:v>
      </x:c>
      <x:c r="B70" s="14" t="str">
        <x:v>коллост гель</x:v>
      </x:c>
      <x:c r="C70" s="31" t="n">
        <x:v>0</x:v>
      </x:c>
      <x:c r="D70" s="31" t="n">
        <x:v>2</x:v>
      </x:c>
      <x:c r="E70" s="33" t="n">
        <x:f>IF(D70&gt;0,C70/D70,"")</x:f>
        <x:v>0</x:v>
      </x:c>
      <x:c r="F70" s="35" t="n">
        <x:v>3</x:v>
      </x:c>
    </x:row>
    <x:row r="71" ht="42" customHeight="1">
      <x:c r="A71" s="12" t="str">
        <x:v>https://kozhaclinic.ru/inekcionnaya-kosmetologiya/kollagenoterapiya/kollagenoterapiya-vokrug-glaz/</x:v>
      </x:c>
      <x:c r="B71" s="12" t="str">
        <x:v>коллост инъекции</x:v>
      </x:c>
      <x:c r="C71" s="30" t="n">
        <x:v>0</x:v>
      </x:c>
      <x:c r="D71" s="30" t="n">
        <x:v>2</x:v>
      </x:c>
      <x:c r="E71" s="32" t="n">
        <x:f>IF(D71&gt;0,C71/D71,"")</x:f>
        <x:v>0</x:v>
      </x:c>
      <x:c r="F71" s="34" t="n">
        <x:v>3</x:v>
      </x:c>
    </x:row>
    <x:row r="72" ht="42" customHeight="1">
      <x:c r="A72" s="14" t="str">
        <x:v>https://kozhaclinic.ru/inekcionnaya-kosmetologiya/kollagenoterapiya/kollagenoterapiya-vokrug-glaz/</x:v>
      </x:c>
      <x:c r="B72" s="14" t="str">
        <x:v>коллост микро цена</x:v>
      </x:c>
      <x:c r="C72" s="31" t="n">
        <x:v>0</x:v>
      </x:c>
      <x:c r="D72" s="31" t="n">
        <x:v>2</x:v>
      </x:c>
      <x:c r="E72" s="33" t="n">
        <x:f>IF(D72&gt;0,C72/D72,"")</x:f>
        <x:v>0</x:v>
      </x:c>
      <x:c r="F72" s="35" t="n">
        <x:v>3</x:v>
      </x:c>
    </x:row>
    <x:row r="73" ht="42" customHeight="1">
      <x:c r="A73" s="12" t="str">
        <x:v>https://kozhaclinic.ru/inekcionnaya-kosmetologiya/kollagenoterapiya/kollagenoterapiya-vokrug-glaz/</x:v>
      </x:c>
      <x:c r="B73" s="12" t="str">
        <x:v>коллост уколы для лица</x:v>
      </x:c>
      <x:c r="C73" s="30" t="n">
        <x:v>0</x:v>
      </x:c>
      <x:c r="D73" s="30" t="n">
        <x:v>2</x:v>
      </x:c>
      <x:c r="E73" s="32" t="n">
        <x:f>IF(D73&gt;0,C73/D73,"")</x:f>
        <x:v>0</x:v>
      </x:c>
      <x:c r="F73" s="34" t="n">
        <x:v>3</x:v>
      </x:c>
    </x:row>
    <x:row r="74" ht="42" customHeight="1">
      <x:c r="A74" s="14" t="str">
        <x:v>https://kozhaclinic.ru/inekcionnaya-kosmetologiya/kollagenoterapiya/kollagenoterapiya-vokrug-glaz/</x:v>
      </x:c>
      <x:c r="B74" s="14" t="str">
        <x:v>микроколлост</x:v>
      </x:c>
      <x:c r="C74" s="31" t="n">
        <x:v>0</x:v>
      </x:c>
      <x:c r="D74" s="31" t="n">
        <x:v>2</x:v>
      </x:c>
      <x:c r="E74" s="33" t="n">
        <x:f>IF(D74&gt;0,C74/D74,"")</x:f>
        <x:v>0</x:v>
      </x:c>
      <x:c r="F74" s="35" t="n">
        <x:v>3</x:v>
      </x:c>
    </x:row>
    <x:row r="75" ht="42" customHeight="1">
      <x:c r="A75" s="12" t="str">
        <x:v>https://kozhaclinic.ru/inekcionnaya-kosmetologiya/kollagenoterapiya/kollagenoterapiya-vokrug-glaz/</x:v>
      </x:c>
      <x:c r="B75" s="12" t="str">
        <x:v>микроколост отзывы</x:v>
      </x:c>
      <x:c r="C75" s="30" t="n">
        <x:v>0</x:v>
      </x:c>
      <x:c r="D75" s="30" t="n">
        <x:v>2</x:v>
      </x:c>
      <x:c r="E75" s="32" t="n">
        <x:f>IF(D75&gt;0,C75/D75,"")</x:f>
        <x:v>0</x:v>
      </x:c>
      <x:c r="F75" s="34" t="n">
        <x:v>3</x:v>
      </x:c>
    </x:row>
    <x:row r="76" ht="42" customHeight="1">
      <x:c r="A76" s="14" t="str">
        <x:v>https://kozhaclinic.ru/inekcionnaya-kosmetologiya/kollagenoterapiya/kollagenoterapiya-vokrug-glaz/</x:v>
      </x:c>
      <x:c r="B76" s="14" t="str">
        <x:v>препарат коллост цена</x:v>
      </x:c>
      <x:c r="C76" s="31" t="n">
        <x:v>0</x:v>
      </x:c>
      <x:c r="D76" s="31" t="n">
        <x:v>2</x:v>
      </x:c>
      <x:c r="E76" s="33" t="n">
        <x:f>IF(D76&gt;0,C76/D76,"")</x:f>
        <x:v>0</x:v>
      </x:c>
      <x:c r="F76" s="35" t="n">
        <x:v>3</x:v>
      </x:c>
    </x:row>
    <x:row r="77" ht="42" customHeight="1">
      <x:c r="A77" s="12" t="str">
        <x:v>https://kozhaclinic.ru/inekcionnaya-kosmetologiya/kollagenoterapiya/kollagenoterapiya-vokrug-glaz/</x:v>
      </x:c>
      <x:c r="B77" s="12" t="str">
        <x:v>коллаген для кожи вокруг глаз инъекции</x:v>
      </x:c>
      <x:c r="C77" s="30" t="n">
        <x:v>0</x:v>
      </x:c>
      <x:c r="D77" s="30" t="n">
        <x:v>2</x:v>
      </x:c>
      <x:c r="E77" s="32" t="n">
        <x:f>IF(D77&gt;0,C77/D77,"")</x:f>
        <x:v>0</x:v>
      </x:c>
      <x:c r="F77" s="34" t="n">
        <x:v>5</x:v>
      </x:c>
    </x:row>
    <x:row r="78" ht="42" customHeight="1">
      <x:c r="A78" s="14" t="str">
        <x:v>https://kozhaclinic.ru/inekcionnaya-kosmetologiya/kollagenoterapiya/kollagenoterapiya-vokrug-glaz/</x:v>
      </x:c>
      <x:c r="B78" s="14" t="str">
        <x:v>коллагенотерапия лица и шеи сургут</x:v>
      </x:c>
      <x:c r="C78" s="31" t="n">
        <x:v>0</x:v>
      </x:c>
      <x:c r="D78" s="31" t="n">
        <x:v>2</x:v>
      </x:c>
      <x:c r="E78" s="33" t="n">
        <x:f>IF(D78&gt;0,C78/D78,"")</x:f>
        <x:v>0</x:v>
      </x:c>
      <x:c r="F78" s="35" t="n">
        <x:v>11</x:v>
      </x:c>
    </x:row>
    <x:row r="79" ht="42" customHeight="1">
      <x:c r="A79" s="12" t="str">
        <x:v>https://kozhaclinic.ru/inekcionnaya-kosmetologiya/kollagenoterapiya/kollagenoterapiya-vokrug-glaz/</x:v>
      </x:c>
      <x:c r="B79" s="12" t="str">
        <x:v>микроколост под глаза</x:v>
      </x:c>
      <x:c r="C79" s="30" t="n">
        <x:v>0</x:v>
      </x:c>
      <x:c r="D79" s="30" t="n">
        <x:v>2</x:v>
      </x:c>
      <x:c r="E79" s="32" t="n">
        <x:f>IF(D79&gt;0,C79/D79,"")</x:f>
        <x:v>0</x:v>
      </x:c>
      <x:c r="F79" s="34" t="n">
        <x:v>11</x:v>
      </x:c>
    </x:row>
    <x:row r="80" ht="42" customHeight="1">
      <x:c r="A80" s="14" t="str">
        <x:v>https://kozhaclinic.ru/inekcionnaya-kosmetologiya/kollagenoterapiya/kollagenoterapiya-vokrug-glaz/</x:v>
      </x:c>
      <x:c r="B80" s="14" t="str">
        <x:v>как долго держится эффект</x:v>
      </x:c>
      <x:c r="C80" s="31" t="n">
        <x:v>0</x:v>
      </x:c>
      <x:c r="D80" s="31" t="n">
        <x:v>1</x:v>
      </x:c>
      <x:c r="E80" s="33" t="n">
        <x:f>IF(D80&gt;0,C80/D80,"")</x:f>
        <x:v>0</x:v>
      </x:c>
      <x:c r="F80" s="35" t="n">
        <x:v>1</x:v>
      </x:c>
    </x:row>
    <x:row r="81" ht="42" customHeight="1">
      <x:c r="A81" s="12" t="str">
        <x:v>https://kozhaclinic.ru/inekcionnaya-kosmetologiya/kollagenoterapiya/kollagenoterapiya-vokrug-glaz/</x:v>
      </x:c>
      <x:c r="B81" s="12" t="str">
        <x:v>collost отзывы</x:v>
      </x:c>
      <x:c r="C81" s="30" t="n">
        <x:v>0</x:v>
      </x:c>
      <x:c r="D81" s="30" t="n">
        <x:v>1</x:v>
      </x:c>
      <x:c r="E81" s="32" t="n">
        <x:f>IF(D81&gt;0,C81/D81,"")</x:f>
        <x:v>0</x:v>
      </x:c>
      <x:c r="F81" s="34" t="n">
        <x:v>2</x:v>
      </x:c>
    </x:row>
    <x:row r="82" ht="42" customHeight="1">
      <x:c r="A82" s="14" t="str">
        <x:v>https://kozhaclinic.ru/inekcionnaya-kosmetologiya/kollagenoterapiya/kollagenoterapiya-vokrug-glaz/</x:v>
      </x:c>
      <x:c r="B82" s="14" t="str">
        <x:v>colost</x:v>
      </x:c>
      <x:c r="C82" s="31" t="n">
        <x:v>0</x:v>
      </x:c>
      <x:c r="D82" s="31" t="n">
        <x:v>1</x:v>
      </x:c>
      <x:c r="E82" s="33" t="n">
        <x:f>IF(D82&gt;0,C82/D82,"")</x:f>
        <x:v>0</x:v>
      </x:c>
      <x:c r="F82" s="35" t="n">
        <x:v>2</x:v>
      </x:c>
    </x:row>
    <x:row r="83" ht="42" customHeight="1">
      <x:c r="A83" s="12" t="str">
        <x:v>https://kozhaclinic.ru/inekcionnaya-kosmetologiya/kollagenoterapiya/kollagenoterapiya-vokrug-glaz/</x:v>
      </x:c>
      <x:c r="B83" s="12" t="str">
        <x:v>глаза</x:v>
      </x:c>
      <x:c r="C83" s="30" t="n">
        <x:v>0</x:v>
      </x:c>
      <x:c r="D83" s="30" t="n">
        <x:v>1</x:v>
      </x:c>
      <x:c r="E83" s="32" t="n">
        <x:f>IF(D83&gt;0,C83/D83,"")</x:f>
        <x:v>0</x:v>
      </x:c>
      <x:c r="F83" s="34" t="n">
        <x:v>2</x:v>
      </x:c>
    </x:row>
    <x:row r="84" ht="42" customHeight="1">
      <x:c r="A84" s="14" t="str">
        <x:v>https://kozhaclinic.ru/inekcionnaya-kosmetologiya/kollagenoterapiya/kollagenoterapiya-vokrug-glaz/</x:v>
      </x:c>
      <x:c r="B84" s="14" t="str">
        <x:v>инъекции коллост</x:v>
      </x:c>
      <x:c r="C84" s="31" t="n">
        <x:v>0</x:v>
      </x:c>
      <x:c r="D84" s="31" t="n">
        <x:v>1</x:v>
      </x:c>
      <x:c r="E84" s="33" t="n">
        <x:f>IF(D84&gt;0,C84/D84,"")</x:f>
        <x:v>0</x:v>
      </x:c>
      <x:c r="F84" s="35" t="n">
        <x:v>2</x:v>
      </x:c>
    </x:row>
    <x:row r="85" ht="42" customHeight="1">
      <x:c r="A85" s="12" t="str">
        <x:v>https://kozhaclinic.ru/inekcionnaya-kosmetologiya/kollagenoterapiya/kollagenoterapiya-vokrug-glaz/</x:v>
      </x:c>
      <x:c r="B85" s="12" t="str">
        <x:v>коллост 15 %</x:v>
      </x:c>
      <x:c r="C85" s="30" t="n">
        <x:v>0</x:v>
      </x:c>
      <x:c r="D85" s="30" t="n">
        <x:v>1</x:v>
      </x:c>
      <x:c r="E85" s="32" t="n">
        <x:f>IF(D85&gt;0,C85/D85,"")</x:f>
        <x:v>0</x:v>
      </x:c>
      <x:c r="F85" s="34" t="n">
        <x:v>2</x:v>
      </x:c>
    </x:row>
    <x:row r="86" ht="42" customHeight="1">
      <x:c r="A86" s="14" t="str">
        <x:v>https://kozhaclinic.ru/inekcionnaya-kosmetologiya/kollagenoterapiya/kollagenoterapiya-vokrug-glaz/</x:v>
      </x:c>
      <x:c r="B86" s="14" t="str">
        <x:v>коллост 15%</x:v>
      </x:c>
      <x:c r="C86" s="31" t="n">
        <x:v>0</x:v>
      </x:c>
      <x:c r="D86" s="31" t="n">
        <x:v>1</x:v>
      </x:c>
      <x:c r="E86" s="33" t="n">
        <x:f>IF(D86&gt;0,C86/D86,"")</x:f>
        <x:v>0</x:v>
      </x:c>
      <x:c r="F86" s="35" t="n">
        <x:v>2</x:v>
      </x:c>
    </x:row>
    <x:row r="87" ht="42" customHeight="1">
      <x:c r="A87" s="12" t="str">
        <x:v>https://kozhaclinic.ru/inekcionnaya-kosmetologiya/kollagenoterapiya/kollagenoterapiya-vokrug-glaz/</x:v>
      </x:c>
      <x:c r="B87" s="12" t="str">
        <x:v>коллост 7 фото до и после</x:v>
      </x:c>
      <x:c r="C87" s="30" t="n">
        <x:v>0</x:v>
      </x:c>
      <x:c r="D87" s="30" t="n">
        <x:v>1</x:v>
      </x:c>
      <x:c r="E87" s="32" t="n">
        <x:f>IF(D87&gt;0,C87/D87,"")</x:f>
        <x:v>0</x:v>
      </x:c>
      <x:c r="F87" s="34" t="n">
        <x:v>2</x:v>
      </x:c>
    </x:row>
    <x:row r="88" ht="42" customHeight="1">
      <x:c r="A88" s="14" t="str">
        <x:v>https://kozhaclinic.ru/inekcionnaya-kosmetologiya/kollagenoterapiya/kollagenoterapiya-vokrug-glaz/</x:v>
      </x:c>
      <x:c r="B88" s="14" t="str">
        <x:v>коллост до и после</x:v>
      </x:c>
      <x:c r="C88" s="31" t="n">
        <x:v>0</x:v>
      </x:c>
      <x:c r="D88" s="31" t="n">
        <x:v>1</x:v>
      </x:c>
      <x:c r="E88" s="33" t="n">
        <x:f>IF(D88&gt;0,C88/D88,"")</x:f>
        <x:v>0</x:v>
      </x:c>
      <x:c r="F88" s="35" t="n">
        <x:v>2</x:v>
      </x:c>
    </x:row>
    <x:row r="89" ht="42" customHeight="1">
      <x:c r="A89" s="12" t="str">
        <x:v>https://kozhaclinic.ru/inekcionnaya-kosmetologiya/kollagenoterapiya/kollagenoterapiya-vokrug-glaz/</x:v>
      </x:c>
      <x:c r="B89" s="12" t="str">
        <x:v>коллост микро до и после</x:v>
      </x:c>
      <x:c r="C89" s="30" t="n">
        <x:v>0</x:v>
      </x:c>
      <x:c r="D89" s="30" t="n">
        <x:v>1</x:v>
      </x:c>
      <x:c r="E89" s="32" t="n">
        <x:f>IF(D89&gt;0,C89/D89,"")</x:f>
        <x:v>0</x:v>
      </x:c>
      <x:c r="F89" s="34" t="n">
        <x:v>2</x:v>
      </x:c>
    </x:row>
    <x:row r="90" ht="42" customHeight="1">
      <x:c r="A90" s="14" t="str">
        <x:v>https://kozhaclinic.ru/inekcionnaya-kosmetologiya/kollagenoterapiya/kollagenoterapiya-vokrug-glaz/</x:v>
      </x:c>
      <x:c r="B90" s="14" t="str">
        <x:v>коллост микро до после</x:v>
      </x:c>
      <x:c r="C90" s="31" t="n">
        <x:v>0</x:v>
      </x:c>
      <x:c r="D90" s="31" t="n">
        <x:v>1</x:v>
      </x:c>
      <x:c r="E90" s="33" t="n">
        <x:f>IF(D90&gt;0,C90/D90,"")</x:f>
        <x:v>0</x:v>
      </x:c>
      <x:c r="F90" s="35" t="n">
        <x:v>2</x:v>
      </x:c>
    </x:row>
    <x:row r="91" ht="42" customHeight="1">
      <x:c r="A91" s="12" t="str">
        <x:v>https://kozhaclinic.ru/inekcionnaya-kosmetologiya/kollagenoterapiya/kollagenoterapiya-vokrug-glaz/</x:v>
      </x:c>
      <x:c r="B91" s="12" t="str">
        <x:v>коллост отзывы фото</x:v>
      </x:c>
      <x:c r="C91" s="30" t="n">
        <x:v>0</x:v>
      </x:c>
      <x:c r="D91" s="30" t="n">
        <x:v>1</x:v>
      </x:c>
      <x:c r="E91" s="32" t="n">
        <x:f>IF(D91&gt;0,C91/D91,"")</x:f>
        <x:v>0</x:v>
      </x:c>
      <x:c r="F91" s="34" t="n">
        <x:v>2</x:v>
      </x:c>
    </x:row>
    <x:row r="92" ht="42" customHeight="1">
      <x:c r="A92" s="14" t="str">
        <x:v>https://kozhaclinic.ru/inekcionnaya-kosmetologiya/kollagenoterapiya/kollagenoterapiya-vokrug-glaz/</x:v>
      </x:c>
      <x:c r="B92" s="14" t="str">
        <x:v>коллост фото до и после</x:v>
      </x:c>
      <x:c r="C92" s="31" t="n">
        <x:v>0</x:v>
      </x:c>
      <x:c r="D92" s="31" t="n">
        <x:v>1</x:v>
      </x:c>
      <x:c r="E92" s="33" t="n">
        <x:f>IF(D92&gt;0,C92/D92,"")</x:f>
        <x:v>0</x:v>
      </x:c>
      <x:c r="F92" s="35" t="n">
        <x:v>2</x:v>
      </x:c>
    </x:row>
    <x:row r="93" ht="42" customHeight="1">
      <x:c r="A93" s="12" t="str">
        <x:v>https://kozhaclinic.ru/inekcionnaya-kosmetologiya/kollagenoterapiya/kollagenoterapiya-vokrug-glaz/</x:v>
      </x:c>
      <x:c r="B93" s="12" t="str">
        <x:v>процедура коллост отзывы</x:v>
      </x:c>
      <x:c r="C93" s="30" t="n">
        <x:v>0</x:v>
      </x:c>
      <x:c r="D93" s="30" t="n">
        <x:v>1</x:v>
      </x:c>
      <x:c r="E93" s="32" t="n">
        <x:f>IF(D93&gt;0,C93/D93,"")</x:f>
        <x:v>0</x:v>
      </x:c>
      <x:c r="F93" s="34" t="n">
        <x:v>2</x:v>
      </x:c>
    </x:row>
    <x:row r="94" ht="42" customHeight="1">
      <x:c r="A94" s="14" t="str">
        <x:v>https://kozhaclinic.ru/inekcionnaya-kosmetologiya/kollagenoterapiya/kollagenoterapiya-vokrug-glaz/</x:v>
      </x:c>
      <x:c r="B94" s="14" t="str">
        <x:v>collost 7</x:v>
      </x:c>
      <x:c r="C94" s="31" t="n">
        <x:v>0</x:v>
      </x:c>
      <x:c r="D94" s="31" t="n">
        <x:v>1</x:v>
      </x:c>
      <x:c r="E94" s="33" t="n">
        <x:f>IF(D94&gt;0,C94/D94,"")</x:f>
        <x:v>0</x:v>
      </x:c>
      <x:c r="F94" s="35" t="n">
        <x:v>3</x:v>
      </x:c>
    </x:row>
    <x:row r="95" ht="42" customHeight="1">
      <x:c r="A95" s="12" t="str">
        <x:v>https://kozhaclinic.ru/inekcionnaya-kosmetologiya/kollagenoterapiya/kollagenoterapiya-vokrug-glaz/</x:v>
      </x:c>
      <x:c r="B95" s="12" t="str">
        <x:v>collost micro это</x:v>
      </x:c>
      <x:c r="C95" s="30" t="n">
        <x:v>0</x:v>
      </x:c>
      <x:c r="D95" s="30" t="n">
        <x:v>1</x:v>
      </x:c>
      <x:c r="E95" s="32" t="n">
        <x:f>IF(D95&gt;0,C95/D95,"")</x:f>
        <x:v>0</x:v>
      </x:c>
      <x:c r="F95" s="34" t="n">
        <x:v>3</x:v>
      </x:c>
    </x:row>
    <x:row r="96" ht="42" customHeight="1">
      <x:c r="A96" s="14" t="str">
        <x:v>https://kozhaclinic.ru/inekcionnaya-kosmetologiya/kollagenoterapiya/kollagenoterapiya-vokrug-glaz/</x:v>
      </x:c>
      <x:c r="B96" s="14" t="str">
        <x:v>microcolost</x:v>
      </x:c>
      <x:c r="C96" s="31" t="n">
        <x:v>0</x:v>
      </x:c>
      <x:c r="D96" s="31" t="n">
        <x:v>1</x:v>
      </x:c>
      <x:c r="E96" s="33" t="n">
        <x:f>IF(D96&gt;0,C96/D96,"")</x:f>
        <x:v>0</x:v>
      </x:c>
      <x:c r="F96" s="35" t="n">
        <x:v>3</x:v>
      </x:c>
    </x:row>
    <x:row r="97" ht="42" customHeight="1">
      <x:c r="A97" s="12" t="str">
        <x:v>https://kozhaclinic.ru/inekcionnaya-kosmetologiya/kollagenoterapiya/kollagenoterapiya-vokrug-glaz/</x:v>
      </x:c>
      <x:c r="B97" s="12" t="str">
        <x:v>nithya инъекции для лица отзывы</x:v>
      </x:c>
      <x:c r="C97" s="30" t="n">
        <x:v>0</x:v>
      </x:c>
      <x:c r="D97" s="30" t="n">
        <x:v>1</x:v>
      </x:c>
      <x:c r="E97" s="32" t="n">
        <x:f>IF(D97&gt;0,C97/D97,"")</x:f>
        <x:v>0</x:v>
      </x:c>
      <x:c r="F97" s="34" t="n">
        <x:v>3</x:v>
      </x:c>
    </x:row>
    <x:row r="98" ht="42" customHeight="1">
      <x:c r="A98" s="14" t="str">
        <x:v>https://kozhaclinic.ru/inekcionnaya-kosmetologiya/kollagenoterapiya/kollagenoterapiya-vokrug-glaz/</x:v>
      </x:c>
      <x:c r="B98" s="14" t="str">
        <x:v>да</x:v>
      </x:c>
      <x:c r="C98" s="31" t="n">
        <x:v>0</x:v>
      </x:c>
      <x:c r="D98" s="31" t="n">
        <x:v>1</x:v>
      </x:c>
      <x:c r="E98" s="33" t="n">
        <x:f>IF(D98&gt;0,C98/D98,"")</x:f>
        <x:v>0</x:v>
      </x:c>
      <x:c r="F98" s="35" t="n">
        <x:v>3</x:v>
      </x:c>
    </x:row>
    <x:row r="99" ht="42" customHeight="1">
      <x:c r="A99" s="12" t="str">
        <x:v>https://kozhaclinic.ru/inekcionnaya-kosmetologiya/kollagenoterapiya/kollagenoterapiya-vokrug-glaz/</x:v>
      </x:c>
      <x:c r="B99" s="12" t="str">
        <x:v>коллаген коллост микро</x:v>
      </x:c>
      <x:c r="C99" s="30" t="n">
        <x:v>0</x:v>
      </x:c>
      <x:c r="D99" s="30" t="n">
        <x:v>1</x:v>
      </x:c>
      <x:c r="E99" s="32" t="n">
        <x:f>IF(D99&gt;0,C99/D99,"")</x:f>
        <x:v>0</x:v>
      </x:c>
      <x:c r="F99" s="34" t="n">
        <x:v>3</x:v>
      </x:c>
    </x:row>
    <x:row r="100" ht="42" customHeight="1">
      <x:c r="A100" s="14" t="str">
        <x:v>https://kozhaclinic.ru/inekcionnaya-kosmetologiya/kollagenoterapiya/kollagenoterapiya-vokrug-glaz/</x:v>
      </x:c>
      <x:c r="B100" s="14" t="str">
        <x:v>коллаген под глаза инъекции отзывы</x:v>
      </x:c>
      <x:c r="C100" s="31" t="n">
        <x:v>0</x:v>
      </x:c>
      <x:c r="D100" s="31" t="n">
        <x:v>1</x:v>
      </x:c>
      <x:c r="E100" s="33" t="n">
        <x:f>IF(D100&gt;0,C100/D100,"")</x:f>
        <x:v>0</x:v>
      </x:c>
      <x:c r="F100" s="35" t="n">
        <x:v>3</x:v>
      </x:c>
    </x:row>
    <x:row r="101" ht="42" customHeight="1">
      <x:c r="A101" s="12" t="str">
        <x:v>https://kozhaclinic.ru/inekcionnaya-kosmetologiya/kollagenoterapiya/kollagenoterapiya-vokrug-glaz/</x:v>
      </x:c>
      <x:c r="B101" s="12" t="str">
        <x:v>коллост 1 5 мл</x:v>
      </x:c>
      <x:c r="C101" s="30" t="n">
        <x:v>0</x:v>
      </x:c>
      <x:c r="D101" s="30" t="n">
        <x:v>1</x:v>
      </x:c>
      <x:c r="E101" s="32" t="n">
        <x:f>IF(D101&gt;0,C101/D101,"")</x:f>
        <x:v>0</x:v>
      </x:c>
      <x:c r="F101" s="34" t="n">
        <x:v>3</x:v>
      </x:c>
    </x:row>
    <x:row r="102" ht="42" customHeight="1">
      <x:c r="A102" s="14" t="str">
        <x:v>https://kozhaclinic.ru/inekcionnaya-kosmetologiya/kollagenoterapiya/kollagenoterapiya-vokrug-glaz/</x:v>
      </x:c>
      <x:c r="B102" s="14" t="str">
        <x:v>коллост 7 отзывы</x:v>
      </x:c>
      <x:c r="C102" s="31" t="n">
        <x:v>0</x:v>
      </x:c>
      <x:c r="D102" s="31" t="n">
        <x:v>1</x:v>
      </x:c>
      <x:c r="E102" s="33" t="n">
        <x:f>IF(D102&gt;0,C102/D102,"")</x:f>
        <x:v>0</x:v>
      </x:c>
      <x:c r="F102" s="35" t="n">
        <x:v>3</x:v>
      </x:c>
    </x:row>
    <x:row r="103" ht="42" customHeight="1">
      <x:c r="A103" s="12" t="str">
        <x:v>https://kozhaclinic.ru/inekcionnaya-kosmetologiya/kollagenoterapiya/kollagenoterapiya-vokrug-glaz/</x:v>
      </x:c>
      <x:c r="B103" s="12" t="str">
        <x:v>коллост 7 под глаза отзывы</x:v>
      </x:c>
      <x:c r="C103" s="30" t="n">
        <x:v>0</x:v>
      </x:c>
      <x:c r="D103" s="30" t="n">
        <x:v>1</x:v>
      </x:c>
      <x:c r="E103" s="32" t="n">
        <x:f>IF(D103&gt;0,C103/D103,"")</x:f>
        <x:v>0</x:v>
      </x:c>
      <x:c r="F103" s="34" t="n">
        <x:v>3</x:v>
      </x:c>
    </x:row>
    <x:row r="104" ht="42" customHeight="1">
      <x:c r="A104" s="14" t="str">
        <x:v>https://kozhaclinic.ru/inekcionnaya-kosmetologiya/kollagenoterapiya/kollagenoterapiya-vokrug-glaz/</x:v>
      </x:c>
      <x:c r="B104" s="14" t="str">
        <x:v>коллост 7 цена процедуры</x:v>
      </x:c>
      <x:c r="C104" s="31" t="n">
        <x:v>0</x:v>
      </x:c>
      <x:c r="D104" s="31" t="n">
        <x:v>1</x:v>
      </x:c>
      <x:c r="E104" s="33" t="n">
        <x:f>IF(D104&gt;0,C104/D104,"")</x:f>
        <x:v>0</x:v>
      </x:c>
      <x:c r="F104" s="35" t="n">
        <x:v>3</x:v>
      </x:c>
    </x:row>
    <x:row r="105" ht="42" customHeight="1">
      <x:c r="A105" s="12" t="str">
        <x:v>https://kozhaclinic.ru/inekcionnaya-kosmetologiya/kollagenoterapiya/kollagenoterapiya-vokrug-glaz/</x:v>
      </x:c>
      <x:c r="B105" s="12" t="str">
        <x:v>коллост 7%</x:v>
      </x:c>
      <x:c r="C105" s="30" t="n">
        <x:v>0</x:v>
      </x:c>
      <x:c r="D105" s="30" t="n">
        <x:v>1</x:v>
      </x:c>
      <x:c r="E105" s="32" t="n">
        <x:f>IF(D105&gt;0,C105/D105,"")</x:f>
        <x:v>0</x:v>
      </x:c>
      <x:c r="F105" s="34" t="n">
        <x:v>3</x:v>
      </x:c>
    </x:row>
    <x:row r="106" ht="42" customHeight="1">
      <x:c r="A106" s="14" t="str">
        <x:v>https://kozhaclinic.ru/inekcionnaya-kosmetologiya/kollagenoterapiya/kollagenoterapiya-vokrug-glaz/</x:v>
      </x:c>
      <x:c r="B106" s="14" t="str">
        <x:v>коллост коллаген цена</x:v>
      </x:c>
      <x:c r="C106" s="31" t="n">
        <x:v>0</x:v>
      </x:c>
      <x:c r="D106" s="31" t="n">
        <x:v>1</x:v>
      </x:c>
      <x:c r="E106" s="33" t="n">
        <x:f>IF(D106&gt;0,C106/D106,"")</x:f>
        <x:v>0</x:v>
      </x:c>
      <x:c r="F106" s="35" t="n">
        <x:v>3</x:v>
      </x:c>
    </x:row>
    <x:row r="107" ht="42" customHeight="1">
      <x:c r="A107" s="12" t="str">
        <x:v>https://kozhaclinic.ru/inekcionnaya-kosmetologiya/kollagenoterapiya/kollagenoterapiya-vokrug-glaz/</x:v>
      </x:c>
      <x:c r="B107" s="12" t="str">
        <x:v>коллост микро 150 мг как разводить</x:v>
      </x:c>
      <x:c r="C107" s="30" t="n">
        <x:v>0</x:v>
      </x:c>
      <x:c r="D107" s="30" t="n">
        <x:v>1</x:v>
      </x:c>
      <x:c r="E107" s="32" t="n">
        <x:f>IF(D107&gt;0,C107/D107,"")</x:f>
        <x:v>0</x:v>
      </x:c>
      <x:c r="F107" s="34" t="n">
        <x:v>3</x:v>
      </x:c>
    </x:row>
    <x:row r="108" ht="42" customHeight="1">
      <x:c r="A108" s="14" t="str">
        <x:v>https://kozhaclinic.ru/inekcionnaya-kosmetologiya/kollagenoterapiya/kollagenoterapiya-vokrug-glaz/</x:v>
      </x:c>
      <x:c r="B108" s="14" t="str">
        <x:v>коллост препарат</x:v>
      </x:c>
      <x:c r="C108" s="31" t="n">
        <x:v>0</x:v>
      </x:c>
      <x:c r="D108" s="31" t="n">
        <x:v>1</x:v>
      </x:c>
      <x:c r="E108" s="33" t="n">
        <x:f>IF(D108&gt;0,C108/D108,"")</x:f>
        <x:v>0</x:v>
      </x:c>
      <x:c r="F108" s="35" t="n">
        <x:v>3</x:v>
      </x:c>
    </x:row>
    <x:row r="109" ht="42" customHeight="1">
      <x:c r="A109" s="12" t="str">
        <x:v>https://kozhaclinic.ru/inekcionnaya-kosmetologiya/kollagenoterapiya/kollagenoterapiya-vokrug-glaz/</x:v>
      </x:c>
      <x:c r="B109" s="12" t="str">
        <x:v>коллост это филлер или нет</x:v>
      </x:c>
      <x:c r="C109" s="30" t="n">
        <x:v>0</x:v>
      </x:c>
      <x:c r="D109" s="30" t="n">
        <x:v>1</x:v>
      </x:c>
      <x:c r="E109" s="32" t="n">
        <x:f>IF(D109&gt;0,C109/D109,"")</x:f>
        <x:v>0</x:v>
      </x:c>
      <x:c r="F109" s="34" t="n">
        <x:v>3</x:v>
      </x:c>
    </x:row>
    <x:row r="110" ht="42" customHeight="1">
      <x:c r="A110" s="14" t="str">
        <x:v>https://kozhaclinic.ru/inekcionnaya-kosmetologiya/kollagenoterapiya/kollagenoterapiya-vokrug-glaz/</x:v>
      </x:c>
      <x:c r="B110" s="14" t="str">
        <x:v>коллостотерапия это</x:v>
      </x:c>
      <x:c r="C110" s="31" t="n">
        <x:v>0</x:v>
      </x:c>
      <x:c r="D110" s="31" t="n">
        <x:v>1</x:v>
      </x:c>
      <x:c r="E110" s="33" t="n">
        <x:f>IF(D110&gt;0,C110/D110,"")</x:f>
        <x:v>0</x:v>
      </x:c>
      <x:c r="F110" s="35" t="n">
        <x:v>3</x:v>
      </x:c>
    </x:row>
    <x:row r="111" ht="42" customHeight="1">
      <x:c r="A111" s="12" t="str">
        <x:v>https://kozhaclinic.ru/inekcionnaya-kosmetologiya/kollagenoterapiya/kollagenoterapiya-vokrug-glaz/</x:v>
      </x:c>
      <x:c r="B111" s="12" t="str">
        <x:v>колос микро</x:v>
      </x:c>
      <x:c r="C111" s="30" t="n">
        <x:v>0</x:v>
      </x:c>
      <x:c r="D111" s="30" t="n">
        <x:v>1</x:v>
      </x:c>
      <x:c r="E111" s="32" t="n">
        <x:f>IF(D111&gt;0,C111/D111,"")</x:f>
        <x:v>0</x:v>
      </x:c>
      <x:c r="F111" s="34" t="n">
        <x:v>3</x:v>
      </x:c>
    </x:row>
    <x:row r="112" ht="42" customHeight="1">
      <x:c r="A112" s="14" t="str">
        <x:v>https://kozhaclinic.ru/inekcionnaya-kosmetologiya/kollagenoterapiya/kollagenoterapiya-vokrug-glaz/</x:v>
      </x:c>
      <x:c r="B112" s="14" t="str">
        <x:v>колост</x:v>
      </x:c>
      <x:c r="C112" s="31" t="n">
        <x:v>0</x:v>
      </x:c>
      <x:c r="D112" s="31" t="n">
        <x:v>1</x:v>
      </x:c>
      <x:c r="E112" s="33" t="n">
        <x:f>IF(D112&gt;0,C112/D112,"")</x:f>
        <x:v>0</x:v>
      </x:c>
      <x:c r="F112" s="35" t="n">
        <x:v>3</x:v>
      </x:c>
    </x:row>
    <x:row r="113" ht="42" customHeight="1">
      <x:c r="A113" s="12" t="str">
        <x:v>https://kozhaclinic.ru/inekcionnaya-kosmetologiya/kollagenoterapiya/kollagenoterapiya-vokrug-glaz/</x:v>
      </x:c>
      <x:c r="B113" s="12" t="str">
        <x:v>колост 15%</x:v>
      </x:c>
      <x:c r="C113" s="30" t="n">
        <x:v>0</x:v>
      </x:c>
      <x:c r="D113" s="30" t="n">
        <x:v>1</x:v>
      </x:c>
      <x:c r="E113" s="32" t="n">
        <x:f>IF(D113&gt;0,C113/D113,"")</x:f>
        <x:v>0</x:v>
      </x:c>
      <x:c r="F113" s="34" t="n">
        <x:v>3</x:v>
      </x:c>
    </x:row>
    <x:row r="114" ht="42" customHeight="1">
      <x:c r="A114" s="14" t="str">
        <x:v>https://kozhaclinic.ru/inekcionnaya-kosmetologiya/kollagenoterapiya/kollagenoterapiya-vokrug-glaz/</x:v>
      </x:c>
      <x:c r="B114" s="14" t="str">
        <x:v>колост это</x:v>
      </x:c>
      <x:c r="C114" s="31" t="n">
        <x:v>0</x:v>
      </x:c>
      <x:c r="D114" s="31" t="n">
        <x:v>1</x:v>
      </x:c>
      <x:c r="E114" s="33" t="n">
        <x:f>IF(D114&gt;0,C114/D114,"")</x:f>
        <x:v>0</x:v>
      </x:c>
      <x:c r="F114" s="35" t="n">
        <x:v>3</x:v>
      </x:c>
    </x:row>
    <x:row r="115" ht="42" customHeight="1">
      <x:c r="A115" s="12" t="str">
        <x:v>https://kozhaclinic.ru/inekcionnaya-kosmetologiya/kollagenoterapiya/kollagenoterapiya-vokrug-glaz/</x:v>
      </x:c>
      <x:c r="B115" s="12" t="str">
        <x:v>микроколост</x:v>
      </x:c>
      <x:c r="C115" s="30" t="n">
        <x:v>0</x:v>
      </x:c>
      <x:c r="D115" s="30" t="n">
        <x:v>1</x:v>
      </x:c>
      <x:c r="E115" s="32" t="n">
        <x:f>IF(D115&gt;0,C115/D115,"")</x:f>
        <x:v>0</x:v>
      </x:c>
      <x:c r="F115" s="34" t="n">
        <x:v>3</x:v>
      </x:c>
    </x:row>
    <x:row r="116" ht="42" customHeight="1">
      <x:c r="A116" s="14" t="str">
        <x:v>https://kozhaclinic.ru/inekcionnaya-kosmetologiya/kollagenoterapiya/kollagenoterapiya-vokrug-glaz/</x:v>
      </x:c>
      <x:c r="B116" s="14" t="str">
        <x:v>можно ли под глаза</x:v>
      </x:c>
      <x:c r="C116" s="31" t="n">
        <x:v>0</x:v>
      </x:c>
      <x:c r="D116" s="31" t="n">
        <x:v>1</x:v>
      </x:c>
      <x:c r="E116" s="33" t="n">
        <x:f>IF(D116&gt;0,C116/D116,"")</x:f>
        <x:v>0</x:v>
      </x:c>
      <x:c r="F116" s="35" t="n">
        <x:v>3</x:v>
      </x:c>
    </x:row>
    <x:row r="117" ht="42" customHeight="1">
      <x:c r="A117" s="12" t="str">
        <x:v>https://kozhaclinic.ru/inekcionnaya-kosmetologiya/kollagenoterapiya/kollagenoterapiya-vokrug-glaz/</x:v>
      </x:c>
      <x:c r="B117" s="12" t="str">
        <x:v>препарат коллост для лица</x:v>
      </x:c>
      <x:c r="C117" s="30" t="n">
        <x:v>0</x:v>
      </x:c>
      <x:c r="D117" s="30" t="n">
        <x:v>1</x:v>
      </x:c>
      <x:c r="E117" s="32" t="n">
        <x:f>IF(D117&gt;0,C117/D117,"")</x:f>
        <x:v>0</x:v>
      </x:c>
      <x:c r="F117" s="34" t="n">
        <x:v>3</x:v>
      </x:c>
    </x:row>
    <x:row r="118" ht="42" customHeight="1">
      <x:c r="A118" s="14" t="str">
        <x:v>https://kozhaclinic.ru/inekcionnaya-kosmetologiya/kollagenoterapiya/kollagenoterapiya-vokrug-glaz/</x:v>
      </x:c>
      <x:c r="B118" s="14" t="str">
        <x:v>препарат колос</x:v>
      </x:c>
      <x:c r="C118" s="31" t="n">
        <x:v>0</x:v>
      </x:c>
      <x:c r="D118" s="31" t="n">
        <x:v>1</x:v>
      </x:c>
      <x:c r="E118" s="33" t="n">
        <x:f>IF(D118&gt;0,C118/D118,"")</x:f>
        <x:v>0</x:v>
      </x:c>
      <x:c r="F118" s="35" t="n">
        <x:v>3</x:v>
      </x:c>
    </x:row>
    <x:row r="119" ht="42" customHeight="1">
      <x:c r="A119" s="12" t="str">
        <x:v>https://kozhaclinic.ru/inekcionnaya-kosmetologiya/kollagenoterapiya/kollagenoterapiya-vokrug-glaz/</x:v>
      </x:c>
      <x:c r="B119" s="12" t="str">
        <x:v>тесоро коллаген под глаза</x:v>
      </x:c>
      <x:c r="C119" s="30" t="n">
        <x:v>0</x:v>
      </x:c>
      <x:c r="D119" s="30" t="n">
        <x:v>1</x:v>
      </x:c>
      <x:c r="E119" s="32" t="n">
        <x:f>IF(D119&gt;0,C119/D119,"")</x:f>
        <x:v>0</x:v>
      </x:c>
      <x:c r="F119" s="34" t="n">
        <x:v>3</x:v>
      </x:c>
    </x:row>
    <x:row r="120" ht="42" customHeight="1">
      <x:c r="A120" s="14" t="str">
        <x:v>https://kozhaclinic.ru/inekcionnaya-kosmetologiya/kollagenoterapiya/kollagenoterapiya-vokrug-glaz/</x:v>
      </x:c>
      <x:c r="B120" s="14" t="str">
        <x:v>уколы коллагена под глаза отзывы</x:v>
      </x:c>
      <x:c r="C120" s="31" t="n">
        <x:v>0</x:v>
      </x:c>
      <x:c r="D120" s="31" t="n">
        <x:v>1</x:v>
      </x:c>
      <x:c r="E120" s="33" t="n">
        <x:f>IF(D120&gt;0,C120/D120,"")</x:f>
        <x:v>0</x:v>
      </x:c>
      <x:c r="F120" s="35" t="n">
        <x:v>3</x:v>
      </x:c>
    </x:row>
    <x:row r="121" ht="42" customHeight="1">
      <x:c r="A121" s="12" t="str">
        <x:v>https://kozhaclinic.ru/inekcionnaya-kosmetologiya/kollagenoterapiya/kollagenoterapiya-vokrug-glaz/</x:v>
      </x:c>
      <x:c r="B121" s="12" t="str">
        <x:v>что такое коллост в косметологии</x:v>
      </x:c>
      <x:c r="C121" s="30" t="n">
        <x:v>0</x:v>
      </x:c>
      <x:c r="D121" s="30" t="n">
        <x:v>1</x:v>
      </x:c>
      <x:c r="E121" s="32" t="n">
        <x:f>IF(D121&gt;0,C121/D121,"")</x:f>
        <x:v>0</x:v>
      </x:c>
      <x:c r="F121" s="34" t="n">
        <x:v>3</x:v>
      </x:c>
    </x:row>
    <x:row r="122" ht="42" customHeight="1">
      <x:c r="A122" s="14" t="str">
        <x:v>https://kozhaclinic.ru/inekcionnaya-kosmetologiya/kollagenoterapiya/kollagenoterapiya-vokrug-glaz/</x:v>
      </x:c>
      <x:c r="B122" s="14" t="str">
        <x:v>agentcol 003</x:v>
      </x:c>
      <x:c r="C122" s="31" t="n">
        <x:v>0</x:v>
      </x:c>
      <x:c r="D122" s="31" t="n">
        <x:v>1</x:v>
      </x:c>
      <x:c r="E122" s="33" t="n">
        <x:f>IF(D122&gt;0,C122/D122,"")</x:f>
        <x:v>0</x:v>
      </x:c>
      <x:c r="F122" s="35" t="n">
        <x:v>4</x:v>
      </x:c>
    </x:row>
    <x:row r="123" ht="42" customHeight="1">
      <x:c r="A123" s="12" t="str">
        <x:v>https://kozhaclinic.ru/inekcionnaya-kosmetologiya/kollagenoterapiya/kollagenoterapiya-vokrug-glaz/</x:v>
      </x:c>
      <x:c r="B123" s="12" t="str">
        <x:v>collost для глаз</x:v>
      </x:c>
      <x:c r="C123" s="30" t="n">
        <x:v>0</x:v>
      </x:c>
      <x:c r="D123" s="30" t="n">
        <x:v>1</x:v>
      </x:c>
      <x:c r="E123" s="32" t="n">
        <x:f>IF(D123&gt;0,C123/D123,"")</x:f>
        <x:v>0</x:v>
      </x:c>
      <x:c r="F123" s="34" t="n">
        <x:v>5</x:v>
      </x:c>
    </x:row>
    <x:row r="124" ht="42" customHeight="1">
      <x:c r="A124" s="14" t="str">
        <x:v>https://kozhaclinic.ru/inekcionnaya-kosmetologiya/kollagenoterapiya/kollagenoterapiya-vokrug-glaz/</x:v>
      </x:c>
      <x:c r="B124" s="14" t="str">
        <x:v>техника введения</x:v>
      </x:c>
      <x:c r="C124" s="31" t="n">
        <x:v>0</x:v>
      </x:c>
      <x:c r="D124" s="31" t="n">
        <x:v>1</x:v>
      </x:c>
      <x:c r="E124" s="33" t="n">
        <x:f>IF(D124&gt;0,C124/D124,"")</x:f>
        <x:v>0</x:v>
      </x:c>
      <x:c r="F124" s="35" t="n">
        <x:v>7</x:v>
      </x:c>
    </x:row>
    <x:row r="125" ht="42" customHeight="1">
      <x:c r="A125" s="12" t="str">
        <x:v>https://kozhaclinic.ru/inekcionnaya-kosmetologiya/kollagenoterapiya/kollagenoterapiya-vokrug-glaz/</x:v>
      </x:c>
      <x:c r="B125" s="12" t="str">
        <x:v>коллост для век</x:v>
      </x:c>
      <x:c r="C125" s="30" t="n">
        <x:v>0</x:v>
      </x:c>
      <x:c r="D125" s="30" t="n">
        <x:v>1</x:v>
      </x:c>
      <x:c r="E125" s="32" t="n">
        <x:f>IF(D125&gt;0,C125/D125,"")</x:f>
        <x:v>0</x:v>
      </x:c>
      <x:c r="F125" s="34" t="n">
        <x:v>9</x:v>
      </x:c>
    </x:row>
    <x:row r="126" ht="42" customHeight="1">
      <x:c r="A126" s="14" t="str">
        <x:v>https://kozhaclinic.ru/inekcionnaya-kosmetologiya/kollagenoterapiya/kollagenoterapiya-vokrug-glaz/</x:v>
      </x:c>
      <x:c r="B126" s="14" t="str">
        <x:v>цена в сургуте</x:v>
      </x:c>
      <x:c r="C126" s="31" t="n">
        <x:v>0</x:v>
      </x:c>
      <x:c r="D126" s="31" t="n">
        <x:v>1</x:v>
      </x:c>
      <x:c r="E126" s="33" t="n">
        <x:f>IF(D126&gt;0,C126/D126,"")</x:f>
        <x:v>0</x:v>
      </x:c>
      <x:c r="F126" s="35" t="n">
        <x:v>10</x:v>
      </x:c>
    </x:row>
    <x:row r="127" ht="42" customHeight="1">
      <x:c r="A127" s="12" t="str">
        <x:v>https://kozhaclinic.ru/inekcionnaya-kosmetologiya/kollagenoterapiya/kollagenoterapiya-vokrug-glaz/</x:v>
      </x:c>
      <x:c r="B127" s="12" t="str">
        <x:v>коллост для кожи вокруг глаз</x:v>
      </x:c>
      <x:c r="C127" s="30" t="n">
        <x:v>0</x:v>
      </x:c>
      <x:c r="D127" s="30" t="n">
        <x:v>1</x:v>
      </x:c>
      <x:c r="E127" s="32" t="n">
        <x:f>IF(D127&gt;0,C127/D127,"")</x:f>
        <x:v>0</x:v>
      </x:c>
      <x:c r="F127" s="34" t="n">
        <x:v>11</x:v>
      </x:c>
    </x:row>
    <x:row r="128" ht="42" customHeight="1">
      <x:c r="A128" s="14" t="str">
        <x:v>https://kozhaclinic.ru/inekcionnaya-kosmetologiya/kollagenoterapiya/kollagenoterapiya-vokrug-glaz/</x:v>
      </x:c>
      <x:c r="B128" s="14" t="str">
        <x:v>цена и кто производитель</x:v>
      </x:c>
      <x:c r="C128" s="31" t="n">
        <x:v>0</x:v>
      </x:c>
      <x:c r="D128" s="31" t="n">
        <x:v>1</x:v>
      </x:c>
      <x:c r="E128" s="33" t="n">
        <x:f>IF(D128&gt;0,C128/D128,"")</x:f>
        <x:v>0</x:v>
      </x:c>
      <x:c r="F128" s="35" t="n">
        <x:v>19</x:v>
      </x:c>
    </x:row>
    <x:row r="129" ht="42" customHeight="1">
      <x:c r="A129" s="12" t="str">
        <x:v>https://kozhaclinic.ru/inekcionnaya-kosmetologiya/kollagenoterapiya/kollagenoterapiya-vokrug-glaz/</x:v>
      </x:c>
      <x:c r="B129" s="12" t="str">
        <x:v>расскажи про этот препарат</x:v>
      </x:c>
      <x:c r="C129" s="30" t="n">
        <x:v>0</x:v>
      </x:c>
      <x:c r="D129" s="30" t="n">
        <x:v>1</x:v>
      </x:c>
      <x:c r="E129" s="32" t="n">
        <x:f>IF(D129&gt;0,C129/D129,"")</x:f>
        <x:v>0</x:v>
      </x:c>
      <x:c r="F129" s="34" t="n">
        <x:v>21</x:v>
      </x:c>
    </x:row>
    <x:row r="130" ht="42" customHeight="1">
      <x:c r="A130" s="14" t="str">
        <x:v>https://kozhaclinic.ru/inekcionnaya-kosmetologiya/kollagenoterapiya/kollagenoterapiya-vokrug-glaz/</x:v>
      </x:c>
      <x:c r="B130" s="14" t="str">
        <x:v>коллаген для глаз для улучшения зрения</x:v>
      </x:c>
      <x:c r="C130" s="31" t="n">
        <x:v>0</x:v>
      </x:c>
      <x:c r="D130" s="31" t="n">
        <x:v>1</x:v>
      </x:c>
      <x:c r="E130" s="33" t="n">
        <x:f>IF(D130&gt;0,C130/D130,"")</x:f>
        <x:v>0</x:v>
      </x:c>
      <x:c r="F130" s="35" t="n">
        <x:v>32</x:v>
      </x:c>
    </x:row>
    <x:row r="131" ht="42" customHeight="1">
      <x:c r="A131" s="12" t="str">
        <x:v>https://kozhaclinic.ru/inekcionnaya-kosmetologiya/kollagenoterapiya/kollagenoterapiya-vokrug-glaz/</x:v>
      </x:c>
      <x:c r="B131" s="12" t="str">
        <x:v>коллагенопластика глаз</x:v>
      </x:c>
      <x:c r="C131" s="30" t="n">
        <x:v>0</x:v>
      </x:c>
      <x:c r="D131" s="30" t="n">
        <x:v>1</x:v>
      </x:c>
      <x:c r="E131" s="32" t="n">
        <x:f>IF(D131&gt;0,C131/D131,"")</x:f>
        <x:v>0</x:v>
      </x:c>
      <x:c r="F131" s="34" t="n">
        <x:v>37</x:v>
      </x:c>
    </x:row>
    <x:row r="132" ht="42" customHeight="1">
      <x:c r="A132" s="14" t="str">
        <x:v>https://kozhaclinic.ru/osmotry-i-konsultatsii/konsultatsiya-vracha-dermatologa-s-naznacheniem-plana-protsedur/</x:v>
      </x:c>
      <x:c r="B132" s="14" t="str">
        <x:v>дерматолог сургут</x:v>
      </x:c>
      <x:c r="C132" s="31" t="n">
        <x:v>0</x:v>
      </x:c>
      <x:c r="D132" s="31" t="n">
        <x:v>43</x:v>
      </x:c>
      <x:c r="E132" s="33" t="n">
        <x:f>IF(D132&gt;0,C132/D132,"")</x:f>
        <x:v>0</x:v>
      </x:c>
      <x:c r="F132" s="35" t="n">
        <x:v>12.88</x:v>
      </x:c>
    </x:row>
    <x:row r="133" ht="42" customHeight="1">
      <x:c r="A133" s="12" t="str">
        <x:v>https://kozhaclinic.ru/osmotry-i-konsultatsii/konsultatsiya-vracha-dermatologa-s-naznacheniem-plana-protsedur/</x:v>
      </x:c>
      <x:c r="B133" s="12" t="str">
        <x:v>косметолог дерматолог сургут</x:v>
      </x:c>
      <x:c r="C133" s="30" t="n">
        <x:v>0</x:v>
      </x:c>
      <x:c r="D133" s="30" t="n">
        <x:v>9</x:v>
      </x:c>
      <x:c r="E133" s="32" t="n">
        <x:f>IF(D133&gt;0,C133/D133,"")</x:f>
        <x:v>0</x:v>
      </x:c>
      <x:c r="F133" s="34" t="n">
        <x:v>11.22</x:v>
      </x:c>
    </x:row>
    <x:row r="134" ht="42" customHeight="1">
      <x:c r="A134" s="14" t="str">
        <x:v>https://kozhaclinic.ru/osmotry-i-konsultatsii/konsultatsiya-vracha-dermatologa-s-naznacheniem-plana-protsedur/</x:v>
      </x:c>
      <x:c r="B134" s="14" t="str">
        <x:v>дерматологи сургута</x:v>
      </x:c>
      <x:c r="C134" s="31" t="n">
        <x:v>0</x:v>
      </x:c>
      <x:c r="D134" s="31" t="n">
        <x:v>5</x:v>
      </x:c>
      <x:c r="E134" s="33" t="n">
        <x:f>IF(D134&gt;0,C134/D134,"")</x:f>
        <x:v>0</x:v>
      </x:c>
      <x:c r="F134" s="35" t="n">
        <x:v>21.4</x:v>
      </x:c>
    </x:row>
    <x:row r="135" ht="42" customHeight="1">
      <x:c r="A135" s="12" t="str">
        <x:v>https://kozhaclinic.ru/osmotry-i-konsultatsii/konsultatsiya-vracha-dermatologa-s-naznacheniem-plana-protsedur/</x:v>
      </x:c>
      <x:c r="B135" s="12" t="str">
        <x:v>сургут дерматолог</x:v>
      </x:c>
      <x:c r="C135" s="30" t="n">
        <x:v>0</x:v>
      </x:c>
      <x:c r="D135" s="30" t="n">
        <x:v>4</x:v>
      </x:c>
      <x:c r="E135" s="32" t="n">
        <x:f>IF(D135&gt;0,C135/D135,"")</x:f>
        <x:v>0</x:v>
      </x:c>
      <x:c r="F135" s="34" t="n">
        <x:v>10.75</x:v>
      </x:c>
    </x:row>
    <x:row r="136" ht="42" customHeight="1">
      <x:c r="A136" s="14" t="str">
        <x:v>https://kozhaclinic.ru/osmotry-i-konsultatsii/konsultatsiya-vracha-dermatologa-s-naznacheniem-plana-protsedur/</x:v>
      </x:c>
      <x:c r="B136" s="14" t="str">
        <x:v>онкодерматолог сургут</x:v>
      </x:c>
      <x:c r="C136" s="31" t="n">
        <x:v>0</x:v>
      </x:c>
      <x:c r="D136" s="31" t="n">
        <x:v>3</x:v>
      </x:c>
      <x:c r="E136" s="33" t="n">
        <x:f>IF(D136&gt;0,C136/D136,"")</x:f>
        <x:v>0</x:v>
      </x:c>
      <x:c r="F136" s="35" t="n">
        <x:v>19</x:v>
      </x:c>
    </x:row>
    <x:row r="137" ht="42" customHeight="1">
      <x:c r="A137" s="12" t="str">
        <x:v>https://kozhaclinic.ru/osmotry-i-konsultatsii/konsultatsiya-vracha-dermatologa-s-naznacheniem-plana-protsedur/</x:v>
      </x:c>
      <x:c r="B137" s="12" t="str">
        <x:v>врач по коже</x:v>
      </x:c>
      <x:c r="C137" s="30" t="n">
        <x:v>0</x:v>
      </x:c>
      <x:c r="D137" s="30" t="n">
        <x:v>2</x:v>
      </x:c>
      <x:c r="E137" s="32" t="n">
        <x:f>IF(D137&gt;0,C137/D137,"")</x:f>
        <x:v>0</x:v>
      </x:c>
      <x:c r="F137" s="34" t="n">
        <x:v>4.5</x:v>
      </x:c>
    </x:row>
    <x:row r="138" ht="42" customHeight="1">
      <x:c r="A138" s="14" t="str">
        <x:v>https://kozhaclinic.ru/osmotry-i-konsultatsii/konsultatsiya-vracha-dermatologa-s-naznacheniem-plana-protsedur/</x:v>
      </x:c>
      <x:c r="B138" s="14" t="str">
        <x:v>осмотр дерматолога</x:v>
      </x:c>
      <x:c r="C138" s="31" t="n">
        <x:v>0</x:v>
      </x:c>
      <x:c r="D138" s="31" t="n">
        <x:v>2</x:v>
      </x:c>
      <x:c r="E138" s="33" t="n">
        <x:f>IF(D138&gt;0,C138/D138,"")</x:f>
        <x:v>0</x:v>
      </x:c>
      <x:c r="F138" s="35" t="n">
        <x:v>5</x:v>
      </x:c>
    </x:row>
    <x:row r="139" ht="42" customHeight="1">
      <x:c r="A139" s="12" t="str">
        <x:v>https://kozhaclinic.ru/osmotry-i-konsultatsii/konsultatsiya-vracha-dermatologa-s-naznacheniem-plana-protsedur/</x:v>
      </x:c>
      <x:c r="B139" s="12" t="str">
        <x:v>кожаный доктор</x:v>
      </x:c>
      <x:c r="C139" s="30" t="n">
        <x:v>0</x:v>
      </x:c>
      <x:c r="D139" s="30" t="n">
        <x:v>2</x:v>
      </x:c>
      <x:c r="E139" s="32" t="n">
        <x:f>IF(D139&gt;0,C139/D139,"")</x:f>
        <x:v>0</x:v>
      </x:c>
      <x:c r="F139" s="34" t="n">
        <x:v>11</x:v>
      </x:c>
    </x:row>
    <x:row r="140" ht="42" customHeight="1">
      <x:c r="A140" s="14" t="str">
        <x:v>https://kozhaclinic.ru/osmotry-i-konsultatsii/konsultatsiya-vracha-dermatologa-s-naznacheniem-plana-protsedur/</x:v>
      </x:c>
      <x:c r="B140" s="14" t="str">
        <x:v>убрать розацеа сургут</x:v>
      </x:c>
      <x:c r="C140" s="31" t="n">
        <x:v>0</x:v>
      </x:c>
      <x:c r="D140" s="31" t="n">
        <x:v>2</x:v>
      </x:c>
      <x:c r="E140" s="33" t="n">
        <x:f>IF(D140&gt;0,C140/D140,"")</x:f>
        <x:v>0</x:v>
      </x:c>
      <x:c r="F140" s="35" t="n">
        <x:v>15.5</x:v>
      </x:c>
    </x:row>
    <x:row r="141" ht="42" customHeight="1">
      <x:c r="A141" s="12" t="str">
        <x:v>https://kozhaclinic.ru/osmotry-i-konsultatsii/konsultatsiya-vracha-dermatologa-s-naznacheniem-plana-protsedur/</x:v>
      </x:c>
      <x:c r="B141" s="12" t="str">
        <x:v>а в месяц</x:v>
      </x:c>
      <x:c r="C141" s="30" t="n">
        <x:v>0</x:v>
      </x:c>
      <x:c r="D141" s="30" t="n">
        <x:v>1</x:v>
      </x:c>
      <x:c r="E141" s="32" t="n">
        <x:f>IF(D141&gt;0,C141/D141,"")</x:f>
        <x:v>0</x:v>
      </x:c>
      <x:c r="F141" s="34" t="n">
        <x:v>1</x:v>
      </x:c>
    </x:row>
    <x:row r="142" ht="42" customHeight="1">
      <x:c r="A142" s="14" t="str">
        <x:v>https://kozhaclinic.ru/osmotry-i-konsultatsii/konsultatsiya-vracha-dermatologa-s-naznacheniem-plana-protsedur/</x:v>
      </x:c>
      <x:c r="B142" s="14" t="str">
        <x:v>дерматолог сургут платно</x:v>
      </x:c>
      <x:c r="C142" s="31" t="n">
        <x:v>0</x:v>
      </x:c>
      <x:c r="D142" s="31" t="n">
        <x:v>1</x:v>
      </x:c>
      <x:c r="E142" s="33" t="n">
        <x:f>IF(D142&gt;0,C142/D142,"")</x:f>
        <x:v>0</x:v>
      </x:c>
      <x:c r="F142" s="35" t="n">
        <x:v>2</x:v>
      </x:c>
    </x:row>
    <x:row r="143" ht="42" customHeight="1">
      <x:c r="A143" s="12" t="str">
        <x:v>https://kozhaclinic.ru/osmotry-i-konsultatsii/konsultatsiya-vracha-dermatologa-s-naznacheniem-plana-protsedur/</x:v>
      </x:c>
      <x:c r="B143" s="12" t="str">
        <x:v>дерматолог хабаровск</x:v>
      </x:c>
      <x:c r="C143" s="30" t="n">
        <x:v>0</x:v>
      </x:c>
      <x:c r="D143" s="30" t="n">
        <x:v>1</x:v>
      </x:c>
      <x:c r="E143" s="32" t="n">
        <x:f>IF(D143&gt;0,C143/D143,"")</x:f>
        <x:v>0</x:v>
      </x:c>
      <x:c r="F143" s="34" t="n">
        <x:v>3</x:v>
      </x:c>
    </x:row>
    <x:row r="144" ht="42" customHeight="1">
      <x:c r="A144" s="14" t="str">
        <x:v>https://kozhaclinic.ru/osmotry-i-konsultatsii/konsultatsiya-vracha-dermatologa-s-naznacheniem-plana-protsedur/</x:v>
      </x:c>
      <x:c r="B144" s="14" t="str">
        <x:v>дерматолог в харькове</x:v>
      </x:c>
      <x:c r="C144" s="31" t="n">
        <x:v>0</x:v>
      </x:c>
      <x:c r="D144" s="31" t="n">
        <x:v>1</x:v>
      </x:c>
      <x:c r="E144" s="33" t="n">
        <x:f>IF(D144&gt;0,C144/D144,"")</x:f>
        <x:v>0</x:v>
      </x:c>
      <x:c r="F144" s="35" t="n">
        <x:v>4</x:v>
      </x:c>
    </x:row>
    <x:row r="145" ht="42" customHeight="1">
      <x:c r="A145" s="12" t="str">
        <x:v>https://kozhaclinic.ru/osmotry-i-konsultatsii/konsultatsiya-vracha-dermatologa-s-naznacheniem-plana-protsedur/</x:v>
      </x:c>
      <x:c r="B145" s="12" t="str">
        <x:v>врач который лечит кожу</x:v>
      </x:c>
      <x:c r="C145" s="30" t="n">
        <x:v>0</x:v>
      </x:c>
      <x:c r="D145" s="30" t="n">
        <x:v>1</x:v>
      </x:c>
      <x:c r="E145" s="32" t="n">
        <x:f>IF(D145&gt;0,C145/D145,"")</x:f>
        <x:v>0</x:v>
      </x:c>
      <x:c r="F145" s="34" t="n">
        <x:v>7</x:v>
      </x:c>
    </x:row>
    <x:row r="146" ht="42" customHeight="1">
      <x:c r="A146" s="14" t="str">
        <x:v>https://kozhaclinic.ru/osmotry-i-konsultatsii/konsultatsiya-vracha-dermatologa-s-naznacheniem-plana-protsedur/</x:v>
      </x:c>
      <x:c r="B146" s="14" t="str">
        <x:v>врач по кожным заболеваниям</x:v>
      </x:c>
      <x:c r="C146" s="31" t="n">
        <x:v>0</x:v>
      </x:c>
      <x:c r="D146" s="31" t="n">
        <x:v>1</x:v>
      </x:c>
      <x:c r="E146" s="33" t="n">
        <x:f>IF(D146&gt;0,C146/D146,"")</x:f>
        <x:v>0</x:v>
      </x:c>
      <x:c r="F146" s="35" t="n">
        <x:v>9</x:v>
      </x:c>
    </x:row>
    <x:row r="147" ht="42" customHeight="1">
      <x:c r="A147" s="12" t="str">
        <x:v>https://kozhaclinic.ru/osmotry-i-konsultatsii/konsultatsiya-vracha-dermatologa-s-naznacheniem-plana-protsedur/</x:v>
      </x:c>
      <x:c r="B147" s="12" t="str">
        <x:v>дерматолог прием</x:v>
      </x:c>
      <x:c r="C147" s="30" t="n">
        <x:v>0</x:v>
      </x:c>
      <x:c r="D147" s="30" t="n">
        <x:v>1</x:v>
      </x:c>
      <x:c r="E147" s="32" t="n">
        <x:f>IF(D147&gt;0,C147/D147,"")</x:f>
        <x:v>0</x:v>
      </x:c>
      <x:c r="F147" s="34" t="n">
        <x:v>10</x:v>
      </x:c>
    </x:row>
    <x:row r="148" ht="42" customHeight="1">
      <x:c r="A148" s="14" t="str">
        <x:v>https://kozhaclinic.ru/osmotry-i-konsultatsii/konsultatsiya-vracha-dermatologa-s-naznacheniem-plana-protsedur/</x:v>
      </x:c>
      <x:c r="B148" s="14" t="str">
        <x:v>дерматология</x:v>
      </x:c>
      <x:c r="C148" s="31" t="n">
        <x:v>0</x:v>
      </x:c>
      <x:c r="D148" s="31" t="n">
        <x:v>1</x:v>
      </x:c>
      <x:c r="E148" s="33" t="n">
        <x:f>IF(D148&gt;0,C148/D148,"")</x:f>
        <x:v>0</x:v>
      </x:c>
      <x:c r="F148" s="35" t="n">
        <x:v>10</x:v>
      </x:c>
    </x:row>
    <x:row r="149" ht="42" customHeight="1">
      <x:c r="A149" s="12" t="str">
        <x:v>https://kozhaclinic.ru/osmotry-i-konsultatsii/konsultatsiya-vracha-dermatologa-s-naznacheniem-plana-protsedur/</x:v>
      </x:c>
      <x:c r="B149" s="12" t="str">
        <x:v>доктор кожи</x:v>
      </x:c>
      <x:c r="C149" s="30" t="n">
        <x:v>0</x:v>
      </x:c>
      <x:c r="D149" s="30" t="n">
        <x:v>1</x:v>
      </x:c>
      <x:c r="E149" s="32" t="n">
        <x:f>IF(D149&gt;0,C149/D149,"")</x:f>
        <x:v>0</x:v>
      </x:c>
      <x:c r="F149" s="34" t="n">
        <x:v>11</x:v>
      </x:c>
    </x:row>
    <x:row r="150" ht="42" customHeight="1">
      <x:c r="A150" s="14" t="str">
        <x:v>https://kozhaclinic.ru/osmotry-i-konsultatsii/konsultatsiya-vracha-dermatologa-s-naznacheniem-plana-protsedur/</x:v>
      </x:c>
      <x:c r="B150" s="14" t="str">
        <x:v>дерматолог пятна</x:v>
      </x:c>
      <x:c r="C150" s="31" t="n">
        <x:v>0</x:v>
      </x:c>
      <x:c r="D150" s="31" t="n">
        <x:v>1</x:v>
      </x:c>
      <x:c r="E150" s="33" t="n">
        <x:f>IF(D150&gt;0,C150/D150,"")</x:f>
        <x:v>0</x:v>
      </x:c>
      <x:c r="F150" s="35" t="n">
        <x:v>12</x:v>
      </x:c>
    </x:row>
    <x:row r="151" ht="42" customHeight="1">
      <x:c r="A151" s="12" t="str">
        <x:v>https://kozhaclinic.ru/osmotry-i-konsultatsii/konsultatsiya-vracha-dermatologa-s-naznacheniem-plana-protsedur/</x:v>
      </x:c>
      <x:c r="B151" s="12" t="str">
        <x:v>кожник дерматолог</x:v>
      </x:c>
      <x:c r="C151" s="30" t="n">
        <x:v>0</x:v>
      </x:c>
      <x:c r="D151" s="30" t="n">
        <x:v>1</x:v>
      </x:c>
      <x:c r="E151" s="32" t="n">
        <x:f>IF(D151&gt;0,C151/D151,"")</x:f>
        <x:v>0</x:v>
      </x:c>
      <x:c r="F151" s="34" t="n">
        <x:v>12</x:v>
      </x:c>
    </x:row>
    <x:row r="152" ht="42" customHeight="1">
      <x:c r="A152" s="14" t="str">
        <x:v>https://kozhaclinic.ru/osmotry-i-konsultatsii/konsultatsiya-vracha-dermatologa-s-naznacheniem-plana-protsedur/</x:v>
      </x:c>
      <x:c r="B152" s="14" t="str">
        <x:v>дермотолог</x:v>
      </x:c>
      <x:c r="C152" s="31" t="n">
        <x:v>0</x:v>
      </x:c>
      <x:c r="D152" s="31" t="n">
        <x:v>1</x:v>
      </x:c>
      <x:c r="E152" s="33" t="n">
        <x:f>IF(D152&gt;0,C152/D152,"")</x:f>
        <x:v>0</x:v>
      </x:c>
      <x:c r="F152" s="35" t="n">
        <x:v>13</x:v>
      </x:c>
    </x:row>
    <x:row r="153" ht="42" customHeight="1">
      <x:c r="A153" s="12" t="str">
        <x:v>https://kozhaclinic.ru/osmotry-i-konsultatsii/konsultatsiya-vracha-dermatologa-s-naznacheniem-plana-protsedur/</x:v>
      </x:c>
      <x:c r="B153" s="12" t="str">
        <x:v>покраснение кожи лица врач</x:v>
      </x:c>
      <x:c r="C153" s="30" t="n">
        <x:v>0</x:v>
      </x:c>
      <x:c r="D153" s="30" t="n">
        <x:v>1</x:v>
      </x:c>
      <x:c r="E153" s="32" t="n">
        <x:f>IF(D153&gt;0,C153/D153,"")</x:f>
        <x:v>0</x:v>
      </x:c>
      <x:c r="F153" s="34" t="n">
        <x:v>21</x:v>
      </x:c>
    </x:row>
    <x:row r="154" ht="42" customHeight="1">
      <x:c r="A154" s="14" t="str">
        <x:v>https://kozhaclinic.ru/osmotry-i-konsultatsii/dermatoskopiya/</x:v>
      </x:c>
      <x:c r="B154" s="14" t="str">
        <x:v>дерматоскопия это</x:v>
      </x:c>
      <x:c r="C154" s="31" t="n">
        <x:v>1</x:v>
      </x:c>
      <x:c r="D154" s="31" t="n">
        <x:v>3</x:v>
      </x:c>
      <x:c r="E154" s="33" t="n">
        <x:f>IF(D154&gt;0,C154/D154,"")</x:f>
        <x:v>0.3333333333333333</x:v>
      </x:c>
      <x:c r="F154" s="35" t="n">
        <x:v>10.67</x:v>
      </x:c>
    </x:row>
    <x:row r="155" ht="42" customHeight="1">
      <x:c r="A155" s="12" t="str">
        <x:v>https://kozhaclinic.ru/osmotry-i-konsultatsii/dermatoskopiya/</x:v>
      </x:c>
      <x:c r="B155" s="12" t="str">
        <x:v>дерматоскопия сургут</x:v>
      </x:c>
      <x:c r="C155" s="30" t="n">
        <x:v>0</x:v>
      </x:c>
      <x:c r="D155" s="30" t="n">
        <x:v>24</x:v>
      </x:c>
      <x:c r="E155" s="32" t="n">
        <x:f>IF(D155&gt;0,C155/D155,"")</x:f>
        <x:v>0</x:v>
      </x:c>
      <x:c r="F155" s="34" t="n">
        <x:v>6.75</x:v>
      </x:c>
    </x:row>
    <x:row r="156" ht="42" customHeight="1">
      <x:c r="A156" s="14" t="str">
        <x:v>https://kozhaclinic.ru/osmotry-i-konsultatsii/dermatoskopiya/</x:v>
      </x:c>
      <x:c r="B156" s="14" t="str">
        <x:v>как называется врач который проверяет родинки</x:v>
      </x:c>
      <x:c r="C156" s="31" t="n">
        <x:v>0</x:v>
      </x:c>
      <x:c r="D156" s="31" t="n">
        <x:v>5</x:v>
      </x:c>
      <x:c r="E156" s="33" t="n">
        <x:f>IF(D156&gt;0,C156/D156,"")</x:f>
        <x:v>0</x:v>
      </x:c>
      <x:c r="F156" s="35" t="n">
        <x:v>40</x:v>
      </x:c>
    </x:row>
    <x:row r="157" ht="42" customHeight="1">
      <x:c r="A157" s="12" t="str">
        <x:v>https://kozhaclinic.ru/osmotry-i-konsultatsii/dermatoskopiya/</x:v>
      </x:c>
      <x:c r="B157" s="12" t="str">
        <x:v>какому врачу показать родинку</x:v>
      </x:c>
      <x:c r="C157" s="30" t="n">
        <x:v>0</x:v>
      </x:c>
      <x:c r="D157" s="30" t="n">
        <x:v>4</x:v>
      </x:c>
      <x:c r="E157" s="32" t="n">
        <x:f>IF(D157&gt;0,C157/D157,"")</x:f>
        <x:v>0</x:v>
      </x:c>
      <x:c r="F157" s="34" t="n">
        <x:v>11</x:v>
      </x:c>
    </x:row>
    <x:row r="158" ht="42" customHeight="1">
      <x:c r="A158" s="14" t="str">
        <x:v>https://kozhaclinic.ru/osmotry-i-konsultatsii/dermatoskopiya/</x:v>
      </x:c>
      <x:c r="B158" s="14" t="str">
        <x:v>какой врач проверяет родинки на теле</x:v>
      </x:c>
      <x:c r="C158" s="31" t="n">
        <x:v>0</x:v>
      </x:c>
      <x:c r="D158" s="31" t="n">
        <x:v>4</x:v>
      </x:c>
      <x:c r="E158" s="33" t="n">
        <x:f>IF(D158&gt;0,C158/D158,"")</x:f>
        <x:v>0</x:v>
      </x:c>
      <x:c r="F158" s="35" t="n">
        <x:v>35</x:v>
      </x:c>
    </x:row>
    <x:row r="159" ht="42" customHeight="1">
      <x:c r="A159" s="12" t="str">
        <x:v>https://kozhaclinic.ru/osmotry-i-konsultatsii/dermatoskopiya/</x:v>
      </x:c>
      <x:c r="B159" s="12" t="str">
        <x:v>какой врач проверяет родинки</x:v>
      </x:c>
      <x:c r="C159" s="30" t="n">
        <x:v>0</x:v>
      </x:c>
      <x:c r="D159" s="30" t="n">
        <x:v>4</x:v>
      </x:c>
      <x:c r="E159" s="32" t="n">
        <x:f>IF(D159&gt;0,C159/D159,"")</x:f>
        <x:v>0</x:v>
      </x:c>
      <x:c r="F159" s="34" t="n">
        <x:v>39.5</x:v>
      </x:c>
    </x:row>
    <x:row r="160" ht="42" customHeight="1">
      <x:c r="A160" s="14" t="str">
        <x:v>https://kozhaclinic.ru/osmotry-i-konsultatsii/dermatoskopiya/</x:v>
      </x:c>
      <x:c r="B160" s="14" t="str">
        <x:v>дерматолог проверить родинки</x:v>
      </x:c>
      <x:c r="C160" s="31" t="n">
        <x:v>0</x:v>
      </x:c>
      <x:c r="D160" s="31" t="n">
        <x:v>4</x:v>
      </x:c>
      <x:c r="E160" s="33" t="n">
        <x:f>IF(D160&gt;0,C160/D160,"")</x:f>
        <x:v>0</x:v>
      </x:c>
      <x:c r="F160" s="35" t="n">
        <x:v>67.75</x:v>
      </x:c>
    </x:row>
    <x:row r="161" ht="42" customHeight="1">
      <x:c r="A161" s="12" t="str">
        <x:v>https://kozhaclinic.ru/osmotry-i-konsultatsii/dermatoskopiya/</x:v>
      </x:c>
      <x:c r="B161" s="12" t="str">
        <x:v>осмотр дерматоскопия</x:v>
      </x:c>
      <x:c r="C161" s="30" t="n">
        <x:v>0</x:v>
      </x:c>
      <x:c r="D161" s="30" t="n">
        <x:v>3</x:v>
      </x:c>
      <x:c r="E161" s="32" t="n">
        <x:f>IF(D161&gt;0,C161/D161,"")</x:f>
        <x:v>0</x:v>
      </x:c>
      <x:c r="F161" s="34" t="n">
        <x:v>10.67</x:v>
      </x:c>
    </x:row>
    <x:row r="162" ht="42" customHeight="1">
      <x:c r="A162" s="14" t="str">
        <x:v>https://kozhaclinic.ru/osmotry-i-konsultatsii/dermatoskopiya/</x:v>
      </x:c>
      <x:c r="B162" s="14" t="str">
        <x:v>кто проверяет родинки</x:v>
      </x:c>
      <x:c r="C162" s="31" t="n">
        <x:v>0</x:v>
      </x:c>
      <x:c r="D162" s="31" t="n">
        <x:v>3</x:v>
      </x:c>
      <x:c r="E162" s="33" t="n">
        <x:f>IF(D162&gt;0,C162/D162,"")</x:f>
        <x:v>0</x:v>
      </x:c>
      <x:c r="F162" s="35" t="n">
        <x:v>23.67</x:v>
      </x:c>
    </x:row>
    <x:row r="163" ht="42" customHeight="1">
      <x:c r="A163" s="12" t="str">
        <x:v>https://kozhaclinic.ru/osmotry-i-konsultatsii/dermatoskopiya/</x:v>
      </x:c>
      <x:c r="B163" s="12" t="str">
        <x:v>осмотр родинок дерматоскопом</x:v>
      </x:c>
      <x:c r="C163" s="30" t="n">
        <x:v>0</x:v>
      </x:c>
      <x:c r="D163" s="30" t="n">
        <x:v>3</x:v>
      </x:c>
      <x:c r="E163" s="32" t="n">
        <x:f>IF(D163&gt;0,C163/D163,"")</x:f>
        <x:v>0</x:v>
      </x:c>
      <x:c r="F163" s="34" t="n">
        <x:v>25</x:v>
      </x:c>
    </x:row>
    <x:row r="164" ht="42" customHeight="1">
      <x:c r="A164" s="14" t="str">
        <x:v>https://kozhaclinic.ru/osmotry-i-konsultatsii/dermatoskopiya/</x:v>
      </x:c>
      <x:c r="B164" s="14" t="str">
        <x:v>дерматоскопия</x:v>
      </x:c>
      <x:c r="C164" s="31" t="n">
        <x:v>0</x:v>
      </x:c>
      <x:c r="D164" s="31" t="n">
        <x:v>2</x:v>
      </x:c>
      <x:c r="E164" s="33" t="n">
        <x:f>IF(D164&gt;0,C164/D164,"")</x:f>
        <x:v>0</x:v>
      </x:c>
      <x:c r="F164" s="35" t="n">
        <x:v>5.5</x:v>
      </x:c>
    </x:row>
    <x:row r="165" ht="42" customHeight="1">
      <x:c r="A165" s="12" t="str">
        <x:v>https://kozhaclinic.ru/osmotry-i-konsultatsii/dermatoskopiya/</x:v>
      </x:c>
      <x:c r="B165" s="12" t="str">
        <x:v>проверить родинку</x:v>
      </x:c>
      <x:c r="C165" s="30" t="n">
        <x:v>0</x:v>
      </x:c>
      <x:c r="D165" s="30" t="n">
        <x:v>2</x:v>
      </x:c>
      <x:c r="E165" s="32" t="n">
        <x:f>IF(D165&gt;0,C165/D165,"")</x:f>
        <x:v>0</x:v>
      </x:c>
      <x:c r="F165" s="34" t="n">
        <x:v>6.5</x:v>
      </x:c>
    </x:row>
    <x:row r="166" ht="42" customHeight="1">
      <x:c r="A166" s="14" t="str">
        <x:v>https://kozhaclinic.ru/osmotry-i-konsultatsii/dermatoskopiya/</x:v>
      </x:c>
      <x:c r="B166" s="14" t="str">
        <x:v>какой доктор проверяет родинки</x:v>
      </x:c>
      <x:c r="C166" s="31" t="n">
        <x:v>0</x:v>
      </x:c>
      <x:c r="D166" s="31" t="n">
        <x:v>2</x:v>
      </x:c>
      <x:c r="E166" s="33" t="n">
        <x:f>IF(D166&gt;0,C166/D166,"")</x:f>
        <x:v>0</x:v>
      </x:c>
      <x:c r="F166" s="35" t="n">
        <x:v>13</x:v>
      </x:c>
    </x:row>
    <x:row r="167" ht="42" customHeight="1">
      <x:c r="A167" s="12" t="str">
        <x:v>https://kozhaclinic.ru/osmotry-i-konsultatsii/dermatoskopiya/</x:v>
      </x:c>
      <x:c r="B167" s="12" t="str">
        <x:v>удалить родинки сургут</x:v>
      </x:c>
      <x:c r="C167" s="30" t="n">
        <x:v>0</x:v>
      </x:c>
      <x:c r="D167" s="30" t="n">
        <x:v>2</x:v>
      </x:c>
      <x:c r="E167" s="32" t="n">
        <x:f>IF(D167&gt;0,C167/D167,"")</x:f>
        <x:v>0</x:v>
      </x:c>
      <x:c r="F167" s="34" t="n">
        <x:v>20</x:v>
      </x:c>
    </x:row>
    <x:row r="168" ht="42" customHeight="1">
      <x:c r="A168" s="14" t="str">
        <x:v>https://kozhaclinic.ru/osmotry-i-konsultatsii/dermatoskopiya/</x:v>
      </x:c>
      <x:c r="B168" s="14" t="str">
        <x:v>кто смотрит родинки</x:v>
      </x:c>
      <x:c r="C168" s="31" t="n">
        <x:v>0</x:v>
      </x:c>
      <x:c r="D168" s="31" t="n">
        <x:v>2</x:v>
      </x:c>
      <x:c r="E168" s="33" t="n">
        <x:f>IF(D168&gt;0,C168/D168,"")</x:f>
        <x:v>0</x:v>
      </x:c>
      <x:c r="F168" s="35" t="n">
        <x:v>21.5</x:v>
      </x:c>
    </x:row>
    <x:row r="169" ht="42" customHeight="1">
      <x:c r="A169" s="12" t="str">
        <x:v>https://kozhaclinic.ru/osmotry-i-konsultatsii/dermatoskopiya/</x:v>
      </x:c>
      <x:c r="B169" s="12" t="str">
        <x:v>какой врач по родинкам</x:v>
      </x:c>
      <x:c r="C169" s="30" t="n">
        <x:v>0</x:v>
      </x:c>
      <x:c r="D169" s="30" t="n">
        <x:v>2</x:v>
      </x:c>
      <x:c r="E169" s="32" t="n">
        <x:f>IF(D169&gt;0,C169/D169,"")</x:f>
        <x:v>0</x:v>
      </x:c>
      <x:c r="F169" s="34" t="n">
        <x:v>24.5</x:v>
      </x:c>
    </x:row>
    <x:row r="170" ht="42" customHeight="1">
      <x:c r="A170" s="14" t="str">
        <x:v>https://kozhaclinic.ru/osmotry-i-konsultatsii/dermatoskopiya/</x:v>
      </x:c>
      <x:c r="B170" s="14" t="str">
        <x:v>дерматоскопия родинки расшифровка</x:v>
      </x:c>
      <x:c r="C170" s="31" t="n">
        <x:v>0</x:v>
      </x:c>
      <x:c r="D170" s="31" t="n">
        <x:v>2</x:v>
      </x:c>
      <x:c r="E170" s="33" t="n">
        <x:f>IF(D170&gt;0,C170/D170,"")</x:f>
        <x:v>0</x:v>
      </x:c>
      <x:c r="F170" s="35" t="n">
        <x:v>30</x:v>
      </x:c>
    </x:row>
    <x:row r="171" ht="42" customHeight="1">
      <x:c r="A171" s="12" t="str">
        <x:v>https://kozhaclinic.ru/osmotry-i-konsultatsii/dermatoskopiya/</x:v>
      </x:c>
      <x:c r="B171" s="12" t="str">
        <x:v>какой врач смотрит родинки</x:v>
      </x:c>
      <x:c r="C171" s="30" t="n">
        <x:v>0</x:v>
      </x:c>
      <x:c r="D171" s="30" t="n">
        <x:v>2</x:v>
      </x:c>
      <x:c r="E171" s="32" t="n">
        <x:f>IF(D171&gt;0,C171/D171,"")</x:f>
        <x:v>0</x:v>
      </x:c>
      <x:c r="F171" s="34" t="n">
        <x:v>53.5</x:v>
      </x:c>
    </x:row>
    <x:row r="172" ht="42" customHeight="1">
      <x:c r="A172" s="14" t="str">
        <x:v>https://kozhaclinic.ru/osmotry-i-konsultatsii/dermatoskopiya/</x:v>
      </x:c>
      <x:c r="B172" s="14" t="str">
        <x:v>где проверить родинку на онкологию</x:v>
      </x:c>
      <x:c r="C172" s="31" t="n">
        <x:v>0</x:v>
      </x:c>
      <x:c r="D172" s="31" t="n">
        <x:v>1</x:v>
      </x:c>
      <x:c r="E172" s="33" t="n">
        <x:f>IF(D172&gt;0,C172/D172,"")</x:f>
        <x:v>0</x:v>
      </x:c>
      <x:c r="F172" s="35" t="n">
        <x:v>1</x:v>
      </x:c>
    </x:row>
    <x:row r="173" ht="42" customHeight="1">
      <x:c r="A173" s="12" t="str">
        <x:v>https://kozhaclinic.ru/osmotry-i-konsultatsii/dermatoskopiya/</x:v>
      </x:c>
      <x:c r="B173" s="12" t="str">
        <x:v>врач по родинкам</x:v>
      </x:c>
      <x:c r="C173" s="30" t="n">
        <x:v>0</x:v>
      </x:c>
      <x:c r="D173" s="30" t="n">
        <x:v>1</x:v>
      </x:c>
      <x:c r="E173" s="32" t="n">
        <x:f>IF(D173&gt;0,C173/D173,"")</x:f>
        <x:v>0</x:v>
      </x:c>
      <x:c r="F173" s="34" t="n">
        <x:v>9</x:v>
      </x:c>
    </x:row>
    <x:row r="174" ht="42" customHeight="1">
      <x:c r="A174" s="14" t="str">
        <x:v>https://kozhaclinic.ru/osmotry-i-konsultatsii/dermatoskopiya/</x:v>
      </x:c>
      <x:c r="B174" s="14" t="str">
        <x:v>дерматолог проверяет родинки</x:v>
      </x:c>
      <x:c r="C174" s="31" t="n">
        <x:v>0</x:v>
      </x:c>
      <x:c r="D174" s="31" t="n">
        <x:v>1</x:v>
      </x:c>
      <x:c r="E174" s="33" t="n">
        <x:f>IF(D174&gt;0,C174/D174,"")</x:f>
        <x:v>0</x:v>
      </x:c>
      <x:c r="F174" s="35" t="n">
        <x:v>9</x:v>
      </x:c>
    </x:row>
    <x:row r="175" ht="42" customHeight="1">
      <x:c r="A175" s="12" t="str">
        <x:v>https://kozhaclinic.ru/osmotry-i-konsultatsii/dermatoskopiya/</x:v>
      </x:c>
      <x:c r="B175" s="12" t="str">
        <x:v>проверка родинок</x:v>
      </x:c>
      <x:c r="C175" s="30" t="n">
        <x:v>0</x:v>
      </x:c>
      <x:c r="D175" s="30" t="n">
        <x:v>1</x:v>
      </x:c>
      <x:c r="E175" s="32" t="n">
        <x:f>IF(D175&gt;0,C175/D175,"")</x:f>
        <x:v>0</x:v>
      </x:c>
      <x:c r="F175" s="34" t="n">
        <x:v>9</x:v>
      </x:c>
    </x:row>
    <x:row r="176" ht="42" customHeight="1">
      <x:c r="A176" s="14" t="str">
        <x:v>https://kozhaclinic.ru/osmotry-i-konsultatsii/dermatoskopiya/</x:v>
      </x:c>
      <x:c r="B176" s="14" t="str">
        <x:v>дерматоскопию</x:v>
      </x:c>
      <x:c r="C176" s="31" t="n">
        <x:v>0</x:v>
      </x:c>
      <x:c r="D176" s="31" t="n">
        <x:v>1</x:v>
      </x:c>
      <x:c r="E176" s="33" t="n">
        <x:f>IF(D176&gt;0,C176/D176,"")</x:f>
        <x:v>0</x:v>
      </x:c>
      <x:c r="F176" s="35" t="n">
        <x:v>11</x:v>
      </x:c>
    </x:row>
    <x:row r="177" ht="42" customHeight="1">
      <x:c r="A177" s="12" t="str">
        <x:v>https://kozhaclinic.ru/osmotry-i-konsultatsii/dermatoskopiya/</x:v>
      </x:c>
      <x:c r="B177" s="12" t="str">
        <x:v>дерматоскопию это</x:v>
      </x:c>
      <x:c r="C177" s="30" t="n">
        <x:v>0</x:v>
      </x:c>
      <x:c r="D177" s="30" t="n">
        <x:v>1</x:v>
      </x:c>
      <x:c r="E177" s="32" t="n">
        <x:f>IF(D177&gt;0,C177/D177,"")</x:f>
        <x:v>0</x:v>
      </x:c>
      <x:c r="F177" s="34" t="n">
        <x:v>11</x:v>
      </x:c>
    </x:row>
    <x:row r="178" ht="42" customHeight="1">
      <x:c r="A178" s="14" t="str">
        <x:v>https://kozhaclinic.ru/osmotry-i-konsultatsii/dermatoskopiya/</x:v>
      </x:c>
      <x:c r="B178" s="14" t="str">
        <x:v>дерматоскопия родинок</x:v>
      </x:c>
      <x:c r="C178" s="31" t="n">
        <x:v>0</x:v>
      </x:c>
      <x:c r="D178" s="31" t="n">
        <x:v>1</x:v>
      </x:c>
      <x:c r="E178" s="33" t="n">
        <x:f>IF(D178&gt;0,C178/D178,"")</x:f>
        <x:v>0</x:v>
      </x:c>
      <x:c r="F178" s="35" t="n">
        <x:v>11</x:v>
      </x:c>
    </x:row>
    <x:row r="179" ht="42" customHeight="1">
      <x:c r="A179" s="12" t="str">
        <x:v>https://kozhaclinic.ru/osmotry-i-konsultatsii/dermatoskopiya/</x:v>
      </x:c>
      <x:c r="B179" s="12" t="str">
        <x:v>контроль родинок</x:v>
      </x:c>
      <x:c r="C179" s="30" t="n">
        <x:v>0</x:v>
      </x:c>
      <x:c r="D179" s="30" t="n">
        <x:v>1</x:v>
      </x:c>
      <x:c r="E179" s="32" t="n">
        <x:f>IF(D179&gt;0,C179/D179,"")</x:f>
        <x:v>0</x:v>
      </x:c>
      <x:c r="F179" s="34" t="n">
        <x:v>11</x:v>
      </x:c>
    </x:row>
    <x:row r="180" ht="42" customHeight="1">
      <x:c r="A180" s="14" t="str">
        <x:v>https://kozhaclinic.ru/osmotry-i-konsultatsii/dermatoskopiya/</x:v>
      </x:c>
      <x:c r="B180" s="14" t="str">
        <x:v>дерматолог родинки проверка</x:v>
      </x:c>
      <x:c r="C180" s="31" t="n">
        <x:v>0</x:v>
      </x:c>
      <x:c r="D180" s="31" t="n">
        <x:v>1</x:v>
      </x:c>
      <x:c r="E180" s="33" t="n">
        <x:f>IF(D180&gt;0,C180/D180,"")</x:f>
        <x:v>0</x:v>
      </x:c>
      <x:c r="F180" s="35" t="n">
        <x:v>13</x:v>
      </x:c>
    </x:row>
    <x:row r="181" ht="42" customHeight="1">
      <x:c r="A181" s="12" t="str">
        <x:v>https://kozhaclinic.ru/osmotry-i-konsultatsii/dermatoskopiya/</x:v>
      </x:c>
      <x:c r="B181" s="12" t="str">
        <x:v>осмотр родинок дерматологом</x:v>
      </x:c>
      <x:c r="C181" s="30" t="n">
        <x:v>0</x:v>
      </x:c>
      <x:c r="D181" s="30" t="n">
        <x:v>1</x:v>
      </x:c>
      <x:c r="E181" s="32" t="n">
        <x:f>IF(D181&gt;0,C181/D181,"")</x:f>
        <x:v>0</x:v>
      </x:c>
      <x:c r="F181" s="34" t="n">
        <x:v>15</x:v>
      </x:c>
    </x:row>
    <x:row r="182" ht="42" customHeight="1">
      <x:c r="A182" s="14" t="str">
        <x:v>https://kozhaclinic.ru/osmotry-i-konsultatsii/dermatoskopiya/</x:v>
      </x:c>
      <x:c r="B182" s="14" t="str">
        <x:v>осмотр родинок</x:v>
      </x:c>
      <x:c r="C182" s="31" t="n">
        <x:v>0</x:v>
      </x:c>
      <x:c r="D182" s="31" t="n">
        <x:v>1</x:v>
      </x:c>
      <x:c r="E182" s="33" t="n">
        <x:f>IF(D182&gt;0,C182/D182,"")</x:f>
        <x:v>0</x:v>
      </x:c>
      <x:c r="F182" s="35" t="n">
        <x:v>17</x:v>
      </x:c>
    </x:row>
    <x:row r="183" ht="42" customHeight="1">
      <x:c r="A183" s="12" t="str">
        <x:v>https://kozhaclinic.ru/osmotry-i-konsultatsii/dermatoskopiya/</x:v>
      </x:c>
      <x:c r="B183" s="12" t="str">
        <x:v>как дерматолог проверяет родинки</x:v>
      </x:c>
      <x:c r="C183" s="30" t="n">
        <x:v>0</x:v>
      </x:c>
      <x:c r="D183" s="30" t="n">
        <x:v>1</x:v>
      </x:c>
      <x:c r="E183" s="32" t="n">
        <x:f>IF(D183&gt;0,C183/D183,"")</x:f>
        <x:v>0</x:v>
      </x:c>
      <x:c r="F183" s="34" t="n">
        <x:v>18</x:v>
      </x:c>
    </x:row>
    <x:row r="184" ht="42" customHeight="1">
      <x:c r="A184" s="14" t="str">
        <x:v>https://kozhaclinic.ru/osmotry-i-konsultatsii/dermatoskopiya/</x:v>
      </x:c>
      <x:c r="B184" s="14" t="str">
        <x:v>какой врач смотрит родинки на теле</x:v>
      </x:c>
      <x:c r="C184" s="31" t="n">
        <x:v>0</x:v>
      </x:c>
      <x:c r="D184" s="31" t="n">
        <x:v>1</x:v>
      </x:c>
      <x:c r="E184" s="33" t="n">
        <x:f>IF(D184&gt;0,C184/D184,"")</x:f>
        <x:v>0</x:v>
      </x:c>
      <x:c r="F184" s="35" t="n">
        <x:v>18</x:v>
      </x:c>
    </x:row>
    <x:row r="185" ht="42" customHeight="1">
      <x:c r="A185" s="12" t="str">
        <x:v>https://kozhaclinic.ru/osmotry-i-konsultatsii/dermatoskopiya/</x:v>
      </x:c>
      <x:c r="B185" s="12" t="str">
        <x:v>к кому идти проверять родинки</x:v>
      </x:c>
      <x:c r="C185" s="30" t="n">
        <x:v>0</x:v>
      </x:c>
      <x:c r="D185" s="30" t="n">
        <x:v>1</x:v>
      </x:c>
      <x:c r="E185" s="32" t="n">
        <x:f>IF(D185&gt;0,C185/D185,"")</x:f>
        <x:v>0</x:v>
      </x:c>
      <x:c r="F185" s="34" t="n">
        <x:v>19</x:v>
      </x:c>
    </x:row>
    <x:row r="186" ht="42" customHeight="1">
      <x:c r="A186" s="14" t="str">
        <x:v>https://kozhaclinic.ru/osmotry-i-konsultatsii/dermatoskopiya/</x:v>
      </x:c>
      <x:c r="B186" s="14" t="str">
        <x:v>удаление родинок сургут</x:v>
      </x:c>
      <x:c r="C186" s="31" t="n">
        <x:v>0</x:v>
      </x:c>
      <x:c r="D186" s="31" t="n">
        <x:v>1</x:v>
      </x:c>
      <x:c r="E186" s="33" t="n">
        <x:f>IF(D186&gt;0,C186/D186,"")</x:f>
        <x:v>0</x:v>
      </x:c>
      <x:c r="F186" s="35" t="n">
        <x:v>19</x:v>
      </x:c>
    </x:row>
    <x:row r="187" ht="42" customHeight="1">
      <x:c r="A187" s="12" t="str">
        <x:v>https://kozhaclinic.ru/osmotry-i-konsultatsii/dermatoskopiya/</x:v>
      </x:c>
      <x:c r="B187" s="12" t="str">
        <x:v>родинки какой врач смотрит</x:v>
      </x:c>
      <x:c r="C187" s="30" t="n">
        <x:v>0</x:v>
      </x:c>
      <x:c r="D187" s="30" t="n">
        <x:v>1</x:v>
      </x:c>
      <x:c r="E187" s="32" t="n">
        <x:f>IF(D187&gt;0,C187/D187,"")</x:f>
        <x:v>0</x:v>
      </x:c>
      <x:c r="F187" s="34" t="n">
        <x:v>20</x:v>
      </x:c>
    </x:row>
    <x:row r="188" ht="42" customHeight="1">
      <x:c r="A188" s="14" t="str">
        <x:v>https://kozhaclinic.ru/osmotry-i-konsultatsii/dermatoskopiya/</x:v>
      </x:c>
      <x:c r="B188" s="14" t="str">
        <x:v>дерматоскопия папиллом</x:v>
      </x:c>
      <x:c r="C188" s="31" t="n">
        <x:v>0</x:v>
      </x:c>
      <x:c r="D188" s="31" t="n">
        <x:v>1</x:v>
      </x:c>
      <x:c r="E188" s="33" t="n">
        <x:f>IF(D188&gt;0,C188/D188,"")</x:f>
        <x:v>0</x:v>
      </x:c>
      <x:c r="F188" s="35" t="n">
        <x:v>23</x:v>
      </x:c>
    </x:row>
    <x:row r="189" ht="42" customHeight="1">
      <x:c r="A189" s="12" t="str">
        <x:v>https://kozhaclinic.ru/osmotry-i-konsultatsii/dermatoskopiya/</x:v>
      </x:c>
      <x:c r="B189" s="12" t="str">
        <x:v>у какого врача проверять родинки</x:v>
      </x:c>
      <x:c r="C189" s="30" t="n">
        <x:v>0</x:v>
      </x:c>
      <x:c r="D189" s="30" t="n">
        <x:v>1</x:v>
      </x:c>
      <x:c r="E189" s="32" t="n">
        <x:f>IF(D189&gt;0,C189/D189,"")</x:f>
        <x:v>0</x:v>
      </x:c>
      <x:c r="F189" s="34" t="n">
        <x:v>23</x:v>
      </x:c>
    </x:row>
    <x:row r="190" ht="42" customHeight="1">
      <x:c r="A190" s="14" t="str">
        <x:v>https://kozhaclinic.ru/osmotry-i-konsultatsii/dermatoskopiya/</x:v>
      </x:c>
      <x:c r="B190" s="14" t="str">
        <x:v>врач который проверяет родинки</x:v>
      </x:c>
      <x:c r="C190" s="31" t="n">
        <x:v>0</x:v>
      </x:c>
      <x:c r="D190" s="31" t="n">
        <x:v>1</x:v>
      </x:c>
      <x:c r="E190" s="33" t="n">
        <x:f>IF(D190&gt;0,C190/D190,"")</x:f>
        <x:v>0</x:v>
      </x:c>
      <x:c r="F190" s="35" t="n">
        <x:v>26</x:v>
      </x:c>
    </x:row>
    <x:row r="191" ht="42" customHeight="1">
      <x:c r="A191" s="12" t="str">
        <x:v>https://kozhaclinic.ru/osmotry-i-konsultatsii/dermatoskopiya/</x:v>
      </x:c>
      <x:c r="B191" s="12" t="str">
        <x:v>проверить родинки у дерматолога</x:v>
      </x:c>
      <x:c r="C191" s="30" t="n">
        <x:v>0</x:v>
      </x:c>
      <x:c r="D191" s="30" t="n">
        <x:v>1</x:v>
      </x:c>
      <x:c r="E191" s="32" t="n">
        <x:f>IF(D191&gt;0,C191/D191,"")</x:f>
        <x:v>0</x:v>
      </x:c>
      <x:c r="F191" s="34" t="n">
        <x:v>26</x:v>
      </x:c>
    </x:row>
    <x:row r="192" ht="42" customHeight="1">
      <x:c r="A192" s="14" t="str">
        <x:v>https://kozhaclinic.ru/osmotry-i-konsultatsii/dermatoskopiya/</x:v>
      </x:c>
      <x:c r="B192" s="14" t="str">
        <x:v>где проверить родинки</x:v>
      </x:c>
      <x:c r="C192" s="31" t="n">
        <x:v>0</x:v>
      </x:c>
      <x:c r="D192" s="31" t="n">
        <x:v>1</x:v>
      </x:c>
      <x:c r="E192" s="33" t="n">
        <x:f>IF(D192&gt;0,C192/D192,"")</x:f>
        <x:v>0</x:v>
      </x:c>
      <x:c r="F192" s="35" t="n">
        <x:v>28</x:v>
      </x:c>
    </x:row>
    <x:row r="193" ht="42" customHeight="1">
      <x:c r="A193" s="12" t="str">
        <x:v>https://kozhaclinic.ru/osmotry-i-konsultatsii/dermatoskopiya/</x:v>
      </x:c>
      <x:c r="B193" s="12" t="str">
        <x:v>специалист по родинкам как называется</x:v>
      </x:c>
      <x:c r="C193" s="30" t="n">
        <x:v>0</x:v>
      </x:c>
      <x:c r="D193" s="30" t="n">
        <x:v>1</x:v>
      </x:c>
      <x:c r="E193" s="32" t="n">
        <x:f>IF(D193&gt;0,C193/D193,"")</x:f>
        <x:v>0</x:v>
      </x:c>
      <x:c r="F193" s="34" t="n">
        <x:v>28</x:v>
      </x:c>
    </x:row>
    <x:row r="194" ht="42" customHeight="1">
      <x:c r="A194" s="14" t="str">
        <x:v>https://kozhaclinic.ru/osmotry-i-konsultatsii/dermatoskopiya/</x:v>
      </x:c>
      <x:c r="B194" s="14" t="str">
        <x:v>как проверить родинки</x:v>
      </x:c>
      <x:c r="C194" s="31" t="n">
        <x:v>0</x:v>
      </x:c>
      <x:c r="D194" s="31" t="n">
        <x:v>1</x:v>
      </x:c>
      <x:c r="E194" s="33" t="n">
        <x:f>IF(D194&gt;0,C194/D194,"")</x:f>
        <x:v>0</x:v>
      </x:c>
      <x:c r="F194" s="35" t="n">
        <x:v>30</x:v>
      </x:c>
    </x:row>
    <x:row r="195" ht="42" customHeight="1">
      <x:c r="A195" s="12" t="str">
        <x:v>https://kozhaclinic.ru/osmotry-i-konsultatsii/dermatoskopiya/</x:v>
      </x:c>
      <x:c r="B195" s="12" t="str">
        <x:v>как проверяют родинки</x:v>
      </x:c>
      <x:c r="C195" s="30" t="n">
        <x:v>0</x:v>
      </x:c>
      <x:c r="D195" s="30" t="n">
        <x:v>1</x:v>
      </x:c>
      <x:c r="E195" s="32" t="n">
        <x:f>IF(D195&gt;0,C195/D195,"")</x:f>
        <x:v>0</x:v>
      </x:c>
      <x:c r="F195" s="34" t="n">
        <x:v>35</x:v>
      </x:c>
    </x:row>
    <x:row r="196" ht="42" customHeight="1">
      <x:c r="A196" s="14" t="str">
        <x:v>https://kozhaclinic.ru/osmotry-i-konsultatsii/dermatoskopiya/</x:v>
      </x:c>
      <x:c r="B196" s="14" t="str">
        <x:v>какой врач занимается родинками на теле</x:v>
      </x:c>
      <x:c r="C196" s="31" t="n">
        <x:v>0</x:v>
      </x:c>
      <x:c r="D196" s="31" t="n">
        <x:v>1</x:v>
      </x:c>
      <x:c r="E196" s="33" t="n">
        <x:f>IF(D196&gt;0,C196/D196,"")</x:f>
        <x:v>0</x:v>
      </x:c>
      <x:c r="F196" s="35" t="n">
        <x:v>49</x:v>
      </x:c>
    </x:row>
    <x:row r="197" ht="42" customHeight="1">
      <x:c r="A197" s="12" t="str">
        <x:v>https://kozhaclinic.ru/osmotry-i-konsultatsii/dermatoskopiya/</x:v>
      </x:c>
      <x:c r="B197" s="12" t="str">
        <x:v>к какому специалисту обратиться с родинками</x:v>
      </x:c>
      <x:c r="C197" s="30" t="n">
        <x:v>0</x:v>
      </x:c>
      <x:c r="D197" s="30" t="n">
        <x:v>1</x:v>
      </x:c>
      <x:c r="E197" s="32" t="n">
        <x:f>IF(D197&gt;0,C197/D197,"")</x:f>
        <x:v>0</x:v>
      </x:c>
      <x:c r="F197" s="34" t="n">
        <x:v>59</x:v>
      </x:c>
    </x:row>
    <x:row r="198" ht="42" customHeight="1">
      <x:c r="A198" s="14" t="str">
        <x:v>https://kozhaclinic.ru/inekcionnaya-kosmetologiya/lechenie-gipergidroza/</x:v>
      </x:c>
      <x:c r="B198" s="14" t="str">
        <x:v>лечение гипергидроза ботоксом</x:v>
      </x:c>
      <x:c r="C198" s="31" t="n">
        <x:v>0</x:v>
      </x:c>
      <x:c r="D198" s="31" t="n">
        <x:v>151</x:v>
      </x:c>
      <x:c r="E198" s="33" t="n">
        <x:f>IF(D198&gt;0,C198/D198,"")</x:f>
        <x:v>0</x:v>
      </x:c>
      <x:c r="F198" s="35" t="n">
        <x:v>18.77</x:v>
      </x:c>
    </x:row>
    <x:row r="199" ht="42" customHeight="1">
      <x:c r="A199" s="12" t="str">
        <x:v>https://kozhaclinic.ru/inekcionnaya-kosmetologiya/lechenie-gipergidroza/</x:v>
      </x:c>
      <x:c r="B199" s="12" t="str">
        <x:v>лечение гипергидроза ботулотоксином</x:v>
      </x:c>
      <x:c r="C199" s="30" t="n">
        <x:v>0</x:v>
      </x:c>
      <x:c r="D199" s="30" t="n">
        <x:v>39</x:v>
      </x:c>
      <x:c r="E199" s="32" t="n">
        <x:f>IF(D199&gt;0,C199/D199,"")</x:f>
        <x:v>0</x:v>
      </x:c>
      <x:c r="F199" s="34" t="n">
        <x:v>18.74</x:v>
      </x:c>
    </x:row>
    <x:row r="200" ht="42" customHeight="1">
      <x:c r="A200" s="14" t="str">
        <x:v>https://kozhaclinic.ru/inekcionnaya-kosmetologiya/lechenie-gipergidroza/</x:v>
      </x:c>
      <x:c r="B200" s="14" t="str">
        <x:v>коррекция гипергидроза</x:v>
      </x:c>
      <x:c r="C200" s="31" t="n">
        <x:v>0</x:v>
      </x:c>
      <x:c r="D200" s="31" t="n">
        <x:v>33</x:v>
      </x:c>
      <x:c r="E200" s="33" t="n">
        <x:f>IF(D200&gt;0,C200/D200,"")</x:f>
        <x:v>0</x:v>
      </x:c>
      <x:c r="F200" s="35" t="n">
        <x:v>18.58</x:v>
      </x:c>
    </x:row>
    <x:row r="201" ht="42" customHeight="1">
      <x:c r="A201" s="12" t="str">
        <x:v>https://kozhaclinic.ru/inekcionnaya-kosmetologiya/lechenie-gipergidroza/</x:v>
      </x:c>
      <x:c r="B201" s="12" t="str">
        <x:v>ботулинотерапия гипергидроза</x:v>
      </x:c>
      <x:c r="C201" s="30" t="n">
        <x:v>0</x:v>
      </x:c>
      <x:c r="D201" s="30" t="n">
        <x:v>23</x:v>
      </x:c>
      <x:c r="E201" s="32" t="n">
        <x:f>IF(D201&gt;0,C201/D201,"")</x:f>
        <x:v>0</x:v>
      </x:c>
      <x:c r="F201" s="34" t="n">
        <x:v>16.57</x:v>
      </x:c>
    </x:row>
    <x:row r="202" ht="42" customHeight="1">
      <x:c r="A202" s="14" t="str">
        <x:v>https://kozhaclinic.ru/inekcionnaya-kosmetologiya/lechenie-gipergidroza/</x:v>
      </x:c>
      <x:c r="B202" s="14" t="str">
        <x:v>стоимость лечение гипергидроза ладоней</x:v>
      </x:c>
      <x:c r="C202" s="31" t="n">
        <x:v>0</x:v>
      </x:c>
      <x:c r="D202" s="31" t="n">
        <x:v>15</x:v>
      </x:c>
      <x:c r="E202" s="33" t="n">
        <x:f>IF(D202&gt;0,C202/D202,"")</x:f>
        <x:v>0</x:v>
      </x:c>
      <x:c r="F202" s="35" t="n">
        <x:v>90.4</x:v>
      </x:c>
    </x:row>
    <x:row r="203" ht="42" customHeight="1">
      <x:c r="A203" s="12" t="str">
        <x:v>https://kozhaclinic.ru/inekcionnaya-kosmetologiya/lechenie-gipergidroza/</x:v>
      </x:c>
      <x:c r="B203" s="12" t="str">
        <x:v>лечение гипергидроза ладоней цена</x:v>
      </x:c>
      <x:c r="C203" s="30" t="n">
        <x:v>0</x:v>
      </x:c>
      <x:c r="D203" s="30" t="n">
        <x:v>14</x:v>
      </x:c>
      <x:c r="E203" s="32" t="n">
        <x:f>IF(D203&gt;0,C203/D203,"")</x:f>
        <x:v>0</x:v>
      </x:c>
      <x:c r="F203" s="34" t="n">
        <x:v>97.14</x:v>
      </x:c>
    </x:row>
    <x:row r="204" ht="42" customHeight="1">
      <x:c r="A204" s="14" t="str">
        <x:v>https://kozhaclinic.ru/inekcionnaya-kosmetologiya/lechenie-gipergidroza/</x:v>
      </x:c>
      <x:c r="B204" s="14" t="str">
        <x:v>лечение гипергидроза ладоней ботоксом</x:v>
      </x:c>
      <x:c r="C204" s="31" t="n">
        <x:v>0</x:v>
      </x:c>
      <x:c r="D204" s="31" t="n">
        <x:v>13</x:v>
      </x:c>
      <x:c r="E204" s="33" t="n">
        <x:f>IF(D204&gt;0,C204/D204,"")</x:f>
        <x:v>0</x:v>
      </x:c>
      <x:c r="F204" s="35" t="n">
        <x:v>27.31</x:v>
      </x:c>
    </x:row>
    <x:row r="205" ht="42" customHeight="1">
      <x:c r="A205" s="12" t="str">
        <x:v>https://kozhaclinic.ru/inekcionnaya-kosmetologiya/lechenie-gipergidroza/</x:v>
      </x:c>
      <x:c r="B205" s="12" t="str">
        <x:v>процедура от гипергидроза</x:v>
      </x:c>
      <x:c r="C205" s="30" t="n">
        <x:v>0</x:v>
      </x:c>
      <x:c r="D205" s="30" t="n">
        <x:v>13</x:v>
      </x:c>
      <x:c r="E205" s="32" t="n">
        <x:f>IF(D205&gt;0,C205/D205,"")</x:f>
        <x:v>0</x:v>
      </x:c>
      <x:c r="F205" s="34" t="n">
        <x:v>29.85</x:v>
      </x:c>
    </x:row>
    <x:row r="206" ht="42" customHeight="1">
      <x:c r="A206" s="14" t="str">
        <x:v>https://kozhaclinic.ru/inekcionnaya-kosmetologiya/lechenie-gipergidroza/</x:v>
      </x:c>
      <x:c r="B206" s="14" t="str">
        <x:v>гипергидроз процедура</x:v>
      </x:c>
      <x:c r="C206" s="31" t="n">
        <x:v>0</x:v>
      </x:c>
      <x:c r="D206" s="31" t="n">
        <x:v>10</x:v>
      </x:c>
      <x:c r="E206" s="33" t="n">
        <x:f>IF(D206&gt;0,C206/D206,"")</x:f>
        <x:v>0</x:v>
      </x:c>
      <x:c r="F206" s="35" t="n">
        <x:v>31.8</x:v>
      </x:c>
    </x:row>
    <x:row r="207" ht="42" customHeight="1">
      <x:c r="A207" s="12" t="str">
        <x:v>https://kozhaclinic.ru/inekcionnaya-kosmetologiya/lechenie-gipergidroza/</x:v>
      </x:c>
      <x:c r="B207" s="12" t="str">
        <x:v>инъекции от гипергидроза</x:v>
      </x:c>
      <x:c r="C207" s="30" t="n">
        <x:v>0</x:v>
      </x:c>
      <x:c r="D207" s="30" t="n">
        <x:v>9</x:v>
      </x:c>
      <x:c r="E207" s="32" t="n">
        <x:f>IF(D207&gt;0,C207/D207,"")</x:f>
        <x:v>0</x:v>
      </x:c>
      <x:c r="F207" s="34" t="n">
        <x:v>25.67</x:v>
      </x:c>
    </x:row>
    <x:row r="208" ht="42" customHeight="1">
      <x:c r="A208" s="14" t="str">
        <x:v>https://kozhaclinic.ru/inekcionnaya-kosmetologiya/lechenie-gipergidroza/</x:v>
      </x:c>
      <x:c r="B208" s="14" t="str">
        <x:v>ботулотоксин при гипергидрозе</x:v>
      </x:c>
      <x:c r="C208" s="31" t="n">
        <x:v>0</x:v>
      </x:c>
      <x:c r="D208" s="31" t="n">
        <x:v>8</x:v>
      </x:c>
      <x:c r="E208" s="33" t="n">
        <x:f>IF(D208&gt;0,C208/D208,"")</x:f>
        <x:v>0</x:v>
      </x:c>
      <x:c r="F208" s="35" t="n">
        <x:v>28</x:v>
      </x:c>
    </x:row>
    <x:row r="209" ht="42" customHeight="1">
      <x:c r="A209" s="12" t="str">
        <x:v>https://kozhaclinic.ru/inekcionnaya-kosmetologiya/lechenie-gipergidroza/</x:v>
      </x:c>
      <x:c r="B209" s="12" t="str">
        <x:v>лечение гипергидроза сургут</x:v>
      </x:c>
      <x:c r="C209" s="30" t="n">
        <x:v>0</x:v>
      </x:c>
      <x:c r="D209" s="30" t="n">
        <x:v>7</x:v>
      </x:c>
      <x:c r="E209" s="32" t="n">
        <x:f>IF(D209&gt;0,C209/D209,"")</x:f>
        <x:v>0</x:v>
      </x:c>
      <x:c r="F209" s="34" t="n">
        <x:v>5.86</x:v>
      </x:c>
    </x:row>
    <x:row r="210" ht="42" customHeight="1">
      <x:c r="A210" s="14" t="str">
        <x:v>https://kozhaclinic.ru/inekcionnaya-kosmetologiya/lechenie-gipergidroza/</x:v>
      </x:c>
      <x:c r="B210" s="14" t="str">
        <x:v>лечение гипергидроза эффект</x:v>
      </x:c>
      <x:c r="C210" s="31" t="n">
        <x:v>0</x:v>
      </x:c>
      <x:c r="D210" s="31" t="n">
        <x:v>7</x:v>
      </x:c>
      <x:c r="E210" s="33" t="n">
        <x:f>IF(D210&gt;0,C210/D210,"")</x:f>
        <x:v>0</x:v>
      </x:c>
      <x:c r="F210" s="35" t="n">
        <x:v>10.14</x:v>
      </x:c>
    </x:row>
    <x:row r="211" ht="42" customHeight="1">
      <x:c r="A211" s="12" t="str">
        <x:v>https://kozhaclinic.ru/inekcionnaya-kosmetologiya/lechenie-gipergidroza/</x:v>
      </x:c>
      <x:c r="B211" s="12" t="str">
        <x:v>ботулинотерапия при гипергидрозе</x:v>
      </x:c>
      <x:c r="C211" s="30" t="n">
        <x:v>0</x:v>
      </x:c>
      <x:c r="D211" s="30" t="n">
        <x:v>7</x:v>
      </x:c>
      <x:c r="E211" s="32" t="n">
        <x:f>IF(D211&gt;0,C211/D211,"")</x:f>
        <x:v>0</x:v>
      </x:c>
      <x:c r="F211" s="34" t="n">
        <x:v>24.29</x:v>
      </x:c>
    </x:row>
    <x:row r="212" ht="42" customHeight="1">
      <x:c r="A212" s="14" t="str">
        <x:v>https://kozhaclinic.ru/inekcionnaya-kosmetologiya/lechenie-gipergidroza/</x:v>
      </x:c>
      <x:c r="B212" s="14" t="str">
        <x:v>ботокс от пота</x:v>
      </x:c>
      <x:c r="C212" s="31" t="n">
        <x:v>0</x:v>
      </x:c>
      <x:c r="D212" s="31" t="n">
        <x:v>6</x:v>
      </x:c>
      <x:c r="E212" s="33" t="n">
        <x:f>IF(D212&gt;0,C212/D212,"")</x:f>
        <x:v>0</x:v>
      </x:c>
      <x:c r="F212" s="35" t="n">
        <x:v>7</x:v>
      </x:c>
    </x:row>
    <x:row r="213" ht="42" customHeight="1">
      <x:c r="A213" s="12" t="str">
        <x:v>https://kozhaclinic.ru/inekcionnaya-kosmetologiya/lechenie-gipergidroza/</x:v>
      </x:c>
      <x:c r="B213" s="12" t="str">
        <x:v>ботокс от гипергидроза</x:v>
      </x:c>
      <x:c r="C213" s="30" t="n">
        <x:v>0</x:v>
      </x:c>
      <x:c r="D213" s="30" t="n">
        <x:v>6</x:v>
      </x:c>
      <x:c r="E213" s="32" t="n">
        <x:f>IF(D213&gt;0,C213/D213,"")</x:f>
        <x:v>0</x:v>
      </x:c>
      <x:c r="F213" s="34" t="n">
        <x:v>13.67</x:v>
      </x:c>
    </x:row>
    <x:row r="214" ht="42" customHeight="1">
      <x:c r="A214" s="14" t="str">
        <x:v>https://kozhaclinic.ru/inekcionnaya-kosmetologiya/lechenie-gipergidroza/</x:v>
      </x:c>
      <x:c r="B214" s="14" t="str">
        <x:v>гипергидроз ботокс</x:v>
      </x:c>
      <x:c r="C214" s="31" t="n">
        <x:v>0</x:v>
      </x:c>
      <x:c r="D214" s="31" t="n">
        <x:v>6</x:v>
      </x:c>
      <x:c r="E214" s="33" t="n">
        <x:f>IF(D214&gt;0,C214/D214,"")</x:f>
        <x:v>0</x:v>
      </x:c>
      <x:c r="F214" s="35" t="n">
        <x:v>18.67</x:v>
      </x:c>
    </x:row>
    <x:row r="215" ht="42" customHeight="1">
      <x:c r="A215" s="12" t="str">
        <x:v>https://kozhaclinic.ru/inekcionnaya-kosmetologiya/lechenie-gipergidroza/</x:v>
      </x:c>
      <x:c r="B215" s="12" t="str">
        <x:v>процедура лечения гипергидроза</x:v>
      </x:c>
      <x:c r="C215" s="30" t="n">
        <x:v>0</x:v>
      </x:c>
      <x:c r="D215" s="30" t="n">
        <x:v>6</x:v>
      </x:c>
      <x:c r="E215" s="32" t="n">
        <x:f>IF(D215&gt;0,C215/D215,"")</x:f>
        <x:v>0</x:v>
      </x:c>
      <x:c r="F215" s="34" t="n">
        <x:v>26.67</x:v>
      </x:c>
    </x:row>
    <x:row r="216" ht="42" customHeight="1">
      <x:c r="A216" s="14" t="str">
        <x:v>https://kozhaclinic.ru/inekcionnaya-kosmetologiya/lechenie-gipergidroza/</x:v>
      </x:c>
      <x:c r="B216" s="14" t="str">
        <x:v>лечение гипергидроза подмышек ботоксом</x:v>
      </x:c>
      <x:c r="C216" s="31" t="n">
        <x:v>0</x:v>
      </x:c>
      <x:c r="D216" s="31" t="n">
        <x:v>6</x:v>
      </x:c>
      <x:c r="E216" s="33" t="n">
        <x:f>IF(D216&gt;0,C216/D216,"")</x:f>
        <x:v>0</x:v>
      </x:c>
      <x:c r="F216" s="35" t="n">
        <x:v>35.83</x:v>
      </x:c>
    </x:row>
    <x:row r="217" ht="42" customHeight="1">
      <x:c r="A217" s="12" t="str">
        <x:v>https://kozhaclinic.ru/inekcionnaya-kosmetologiya/lechenie-gipergidroza/</x:v>
      </x:c>
      <x:c r="B217" s="12" t="str">
        <x:v>лечение гипергидроза ботоксом сургут</x:v>
      </x:c>
      <x:c r="C217" s="30" t="n">
        <x:v>0</x:v>
      </x:c>
      <x:c r="D217" s="30" t="n">
        <x:v>5</x:v>
      </x:c>
      <x:c r="E217" s="32" t="n">
        <x:f>IF(D217&gt;0,C217/D217,"")</x:f>
        <x:v>0</x:v>
      </x:c>
      <x:c r="F217" s="34" t="n">
        <x:v>5.8</x:v>
      </x:c>
    </x:row>
    <x:row r="218" ht="42" customHeight="1">
      <x:c r="A218" s="14" t="str">
        <x:v>https://kozhaclinic.ru/inekcionnaya-kosmetologiya/lechenie-gipergidroza/</x:v>
      </x:c>
      <x:c r="B218" s="14" t="str">
        <x:v>ботокс в подмышки сургут</x:v>
      </x:c>
      <x:c r="C218" s="31" t="n">
        <x:v>0</x:v>
      </x:c>
      <x:c r="D218" s="31" t="n">
        <x:v>5</x:v>
      </x:c>
      <x:c r="E218" s="33" t="n">
        <x:f>IF(D218&gt;0,C218/D218,"")</x:f>
        <x:v>0</x:v>
      </x:c>
      <x:c r="F218" s="35" t="n">
        <x:v>6</x:v>
      </x:c>
    </x:row>
    <x:row r="219" ht="42" customHeight="1">
      <x:c r="A219" s="12" t="str">
        <x:v>https://kozhaclinic.ru/inekcionnaya-kosmetologiya/lechenie-gipergidroza/</x:v>
      </x:c>
      <x:c r="B219" s="12" t="str">
        <x:v>ботулотоксин от гипергидроза</x:v>
      </x:c>
      <x:c r="C219" s="30" t="n">
        <x:v>0</x:v>
      </x:c>
      <x:c r="D219" s="30" t="n">
        <x:v>5</x:v>
      </x:c>
      <x:c r="E219" s="32" t="n">
        <x:f>IF(D219&gt;0,C219/D219,"")</x:f>
        <x:v>0</x:v>
      </x:c>
      <x:c r="F219" s="34" t="n">
        <x:v>19.6</x:v>
      </x:c>
    </x:row>
    <x:row r="220" ht="42" customHeight="1">
      <x:c r="A220" s="14" t="str">
        <x:v>https://kozhaclinic.ru/inekcionnaya-kosmetologiya/lechenie-gipergidroza/</x:v>
      </x:c>
      <x:c r="B220" s="14" t="str">
        <x:v>уколы от гипергидроза</x:v>
      </x:c>
      <x:c r="C220" s="31" t="n">
        <x:v>0</x:v>
      </x:c>
      <x:c r="D220" s="31" t="n">
        <x:v>5</x:v>
      </x:c>
      <x:c r="E220" s="33" t="n">
        <x:f>IF(D220&gt;0,C220/D220,"")</x:f>
        <x:v>0</x:v>
      </x:c>
      <x:c r="F220" s="35" t="n">
        <x:v>25</x:v>
      </x:c>
    </x:row>
    <x:row r="221" ht="42" customHeight="1">
      <x:c r="A221" s="12" t="str">
        <x:v>https://kozhaclinic.ru/inekcionnaya-kosmetologiya/lechenie-gipergidroza/</x:v>
      </x:c>
      <x:c r="B221" s="12" t="str">
        <x:v>сколько стоит лечение гипергидроза ладоней</x:v>
      </x:c>
      <x:c r="C221" s="30" t="n">
        <x:v>0</x:v>
      </x:c>
      <x:c r="D221" s="30" t="n">
        <x:v>5</x:v>
      </x:c>
      <x:c r="E221" s="32" t="n">
        <x:f>IF(D221&gt;0,C221/D221,"")</x:f>
        <x:v>0</x:v>
      </x:c>
      <x:c r="F221" s="34" t="n">
        <x:v>86.4</x:v>
      </x:c>
    </x:row>
    <x:row r="222" ht="42" customHeight="1">
      <x:c r="A222" s="14" t="str">
        <x:v>https://kozhaclinic.ru/inekcionnaya-kosmetologiya/lechenie-gipergidroza/</x:v>
      </x:c>
      <x:c r="B222" s="14" t="str">
        <x:v>гипергидроз ладоней сургут</x:v>
      </x:c>
      <x:c r="C222" s="31" t="n">
        <x:v>0</x:v>
      </x:c>
      <x:c r="D222" s="31" t="n">
        <x:v>4</x:v>
      </x:c>
      <x:c r="E222" s="33" t="n">
        <x:f>IF(D222&gt;0,C222/D222,"")</x:f>
        <x:v>0</x:v>
      </x:c>
      <x:c r="F222" s="35" t="n">
        <x:v>1.25</x:v>
      </x:c>
    </x:row>
    <x:row r="223" ht="42" customHeight="1">
      <x:c r="A223" s="12" t="str">
        <x:v>https://kozhaclinic.ru/inekcionnaya-kosmetologiya/lechenie-gipergidroza/</x:v>
      </x:c>
      <x:c r="B223" s="12" t="str">
        <x:v>гипергидроз стоп сургут</x:v>
      </x:c>
      <x:c r="C223" s="30" t="n">
        <x:v>0</x:v>
      </x:c>
      <x:c r="D223" s="30" t="n">
        <x:v>4</x:v>
      </x:c>
      <x:c r="E223" s="32" t="n">
        <x:f>IF(D223&gt;0,C223/D223,"")</x:f>
        <x:v>0</x:v>
      </x:c>
      <x:c r="F223" s="34" t="n">
        <x:v>1.5</x:v>
      </x:c>
    </x:row>
    <x:row r="224" ht="42" customHeight="1">
      <x:c r="A224" s="14" t="str">
        <x:v>https://kozhaclinic.ru/inekcionnaya-kosmetologiya/lechenie-gipergidroza/</x:v>
      </x:c>
      <x:c r="B224" s="14" t="str">
        <x:v>ботулинотерапия подмышек сургут</x:v>
      </x:c>
      <x:c r="C224" s="31" t="n">
        <x:v>0</x:v>
      </x:c>
      <x:c r="D224" s="31" t="n">
        <x:v>4</x:v>
      </x:c>
      <x:c r="E224" s="33" t="n">
        <x:f>IF(D224&gt;0,C224/D224,"")</x:f>
        <x:v>0</x:v>
      </x:c>
      <x:c r="F224" s="35" t="n">
        <x:v>2.5</x:v>
      </x:c>
    </x:row>
    <x:row r="225" ht="42" customHeight="1">
      <x:c r="A225" s="12" t="str">
        <x:v>https://kozhaclinic.ru/inekcionnaya-kosmetologiya/lechenie-gipergidroza/</x:v>
      </x:c>
      <x:c r="B225" s="12" t="str">
        <x:v>гипергидроз ладоней лечение сургут</x:v>
      </x:c>
      <x:c r="C225" s="30" t="n">
        <x:v>0</x:v>
      </x:c>
      <x:c r="D225" s="30" t="n">
        <x:v>4</x:v>
      </x:c>
      <x:c r="E225" s="32" t="n">
        <x:f>IF(D225&gt;0,C225/D225,"")</x:f>
        <x:v>0</x:v>
      </x:c>
      <x:c r="F225" s="34" t="n">
        <x:v>2.75</x:v>
      </x:c>
    </x:row>
    <x:row r="226" ht="42" customHeight="1">
      <x:c r="A226" s="14" t="str">
        <x:v>https://kozhaclinic.ru/inekcionnaya-kosmetologiya/lechenie-gipergidroza/</x:v>
      </x:c>
      <x:c r="B226" s="14" t="str">
        <x:v>гипергидроз стоп лечение сургут</x:v>
      </x:c>
      <x:c r="C226" s="31" t="n">
        <x:v>0</x:v>
      </x:c>
      <x:c r="D226" s="31" t="n">
        <x:v>4</x:v>
      </x:c>
      <x:c r="E226" s="33" t="n">
        <x:f>IF(D226&gt;0,C226/D226,"")</x:f>
        <x:v>0</x:v>
      </x:c>
      <x:c r="F226" s="35" t="n">
        <x:v>10.25</x:v>
      </x:c>
    </x:row>
    <x:row r="227" ht="42" customHeight="1">
      <x:c r="A227" s="12" t="str">
        <x:v>https://kozhaclinic.ru/inekcionnaya-kosmetologiya/lechenie-gipergidroza/</x:v>
      </x:c>
      <x:c r="B227" s="12" t="str">
        <x:v>лечение гипергидроза инъекциями</x:v>
      </x:c>
      <x:c r="C227" s="30" t="n">
        <x:v>0</x:v>
      </x:c>
      <x:c r="D227" s="30" t="n">
        <x:v>4</x:v>
      </x:c>
      <x:c r="E227" s="32" t="n">
        <x:f>IF(D227&gt;0,C227/D227,"")</x:f>
        <x:v>0</x:v>
      </x:c>
      <x:c r="F227" s="34" t="n">
        <x:v>11</x:v>
      </x:c>
    </x:row>
    <x:row r="228" ht="42" customHeight="1">
      <x:c r="A228" s="14" t="str">
        <x:v>https://kozhaclinic.ru/inekcionnaya-kosmetologiya/lechenie-gipergidroza/</x:v>
      </x:c>
      <x:c r="B228" s="14" t="str">
        <x:v>коррекция гипергидроза ботулотоксином</x:v>
      </x:c>
      <x:c r="C228" s="31" t="n">
        <x:v>0</x:v>
      </x:c>
      <x:c r="D228" s="31" t="n">
        <x:v>4</x:v>
      </x:c>
      <x:c r="E228" s="33" t="n">
        <x:f>IF(D228&gt;0,C228/D228,"")</x:f>
        <x:v>0</x:v>
      </x:c>
      <x:c r="F228" s="35" t="n">
        <x:v>13.75</x:v>
      </x:c>
    </x:row>
    <x:row r="229" ht="42" customHeight="1">
      <x:c r="A229" s="12" t="str">
        <x:v>https://kozhaclinic.ru/inekcionnaya-kosmetologiya/lechenie-gipergidroza/</x:v>
      </x:c>
      <x:c r="B229" s="12" t="str">
        <x:v>гипергидроз инъекции</x:v>
      </x:c>
      <x:c r="C229" s="30" t="n">
        <x:v>0</x:v>
      </x:c>
      <x:c r="D229" s="30" t="n">
        <x:v>4</x:v>
      </x:c>
      <x:c r="E229" s="32" t="n">
        <x:f>IF(D229&gt;0,C229/D229,"")</x:f>
        <x:v>0</x:v>
      </x:c>
      <x:c r="F229" s="34" t="n">
        <x:v>18.75</x:v>
      </x:c>
    </x:row>
    <x:row r="230" ht="42" customHeight="1">
      <x:c r="A230" s="14" t="str">
        <x:v>https://kozhaclinic.ru/inekcionnaya-kosmetologiya/lechenie-gipergidroza/</x:v>
      </x:c>
      <x:c r="B230" s="14" t="str">
        <x:v>лечение гипергидроза москва</x:v>
      </x:c>
      <x:c r="C230" s="31" t="n">
        <x:v>0</x:v>
      </x:c>
      <x:c r="D230" s="31" t="n">
        <x:v>4</x:v>
      </x:c>
      <x:c r="E230" s="33" t="n">
        <x:f>IF(D230&gt;0,C230/D230,"")</x:f>
        <x:v>0</x:v>
      </x:c>
      <x:c r="F230" s="35" t="n">
        <x:v>42.25</x:v>
      </x:c>
    </x:row>
    <x:row r="231" ht="42" customHeight="1">
      <x:c r="A231" s="12" t="str">
        <x:v>https://kozhaclinic.ru/inekcionnaya-kosmetologiya/lechenie-gipergidroza/</x:v>
      </x:c>
      <x:c r="B231" s="12" t="str">
        <x:v>подмышечный гипергидроз</x:v>
      </x:c>
      <x:c r="C231" s="30" t="n">
        <x:v>0</x:v>
      </x:c>
      <x:c r="D231" s="30" t="n">
        <x:v>4</x:v>
      </x:c>
      <x:c r="E231" s="32" t="n">
        <x:f>IF(D231&gt;0,C231/D231,"")</x:f>
        <x:v>0</x:v>
      </x:c>
      <x:c r="F231" s="34" t="n">
        <x:v>72.75</x:v>
      </x:c>
    </x:row>
    <x:row r="232" ht="42" customHeight="1">
      <x:c r="A232" s="14" t="str">
        <x:v>https://kozhaclinic.ru/inekcionnaya-kosmetologiya/lechenie-gipergidroza/</x:v>
      </x:c>
      <x:c r="B232" s="14" t="str">
        <x:v>лечение гипергидроза подмышек сургут</x:v>
      </x:c>
      <x:c r="C232" s="31" t="n">
        <x:v>0</x:v>
      </x:c>
      <x:c r="D232" s="31" t="n">
        <x:v>3</x:v>
      </x:c>
      <x:c r="E232" s="33" t="n">
        <x:f>IF(D232&gt;0,C232/D232,"")</x:f>
        <x:v>0</x:v>
      </x:c>
      <x:c r="F232" s="35" t="n">
        <x:v>6</x:v>
      </x:c>
    </x:row>
    <x:row r="233" ht="42" customHeight="1">
      <x:c r="A233" s="12" t="str">
        <x:v>https://kozhaclinic.ru/inekcionnaya-kosmetologiya/lechenie-gipergidroza/</x:v>
      </x:c>
      <x:c r="B233" s="12" t="str">
        <x:v>ботокс от потливости подмышек сургут</x:v>
      </x:c>
      <x:c r="C233" s="30" t="n">
        <x:v>0</x:v>
      </x:c>
      <x:c r="D233" s="30" t="n">
        <x:v>3</x:v>
      </x:c>
      <x:c r="E233" s="32" t="n">
        <x:f>IF(D233&gt;0,C233/D233,"")</x:f>
        <x:v>0</x:v>
      </x:c>
      <x:c r="F233" s="34" t="n">
        <x:v>7</x:v>
      </x:c>
    </x:row>
    <x:row r="234" ht="42" customHeight="1">
      <x:c r="A234" s="14" t="str">
        <x:v>https://kozhaclinic.ru/inekcionnaya-kosmetologiya/lechenie-gipergidroza/</x:v>
      </x:c>
      <x:c r="B234" s="14" t="str">
        <x:v>гипергидроз спины лечение</x:v>
      </x:c>
      <x:c r="C234" s="31" t="n">
        <x:v>0</x:v>
      </x:c>
      <x:c r="D234" s="31" t="n">
        <x:v>3</x:v>
      </x:c>
      <x:c r="E234" s="33" t="n">
        <x:f>IF(D234&gt;0,C234/D234,"")</x:f>
        <x:v>0</x:v>
      </x:c>
      <x:c r="F234" s="35" t="n">
        <x:v>8</x:v>
      </x:c>
    </x:row>
    <x:row r="235" ht="42" customHeight="1">
      <x:c r="A235" s="12" t="str">
        <x:v>https://kozhaclinic.ru/inekcionnaya-kosmetologiya/lechenie-gipergidroza/</x:v>
      </x:c>
      <x:c r="B235" s="12" t="str">
        <x:v>лечение гипергидроза стоп сургут</x:v>
      </x:c>
      <x:c r="C235" s="30" t="n">
        <x:v>0</x:v>
      </x:c>
      <x:c r="D235" s="30" t="n">
        <x:v>3</x:v>
      </x:c>
      <x:c r="E235" s="32" t="n">
        <x:f>IF(D235&gt;0,C235/D235,"")</x:f>
        <x:v>0</x:v>
      </x:c>
      <x:c r="F235" s="34" t="n">
        <x:v>10.33</x:v>
      </x:c>
    </x:row>
    <x:row r="236" ht="42" customHeight="1">
      <x:c r="A236" s="14" t="str">
        <x:v>https://kozhaclinic.ru/inekcionnaya-kosmetologiya/lechenie-gipergidroza/</x:v>
      </x:c>
      <x:c r="B236" s="14" t="str">
        <x:v>гипергидроз подмышек ботокс</x:v>
      </x:c>
      <x:c r="C236" s="31" t="n">
        <x:v>0</x:v>
      </x:c>
      <x:c r="D236" s="31" t="n">
        <x:v>3</x:v>
      </x:c>
      <x:c r="E236" s="33" t="n">
        <x:f>IF(D236&gt;0,C236/D236,"")</x:f>
        <x:v>0</x:v>
      </x:c>
      <x:c r="F236" s="35" t="n">
        <x:v>12.33</x:v>
      </x:c>
    </x:row>
    <x:row r="237" ht="42" customHeight="1">
      <x:c r="A237" s="12" t="str">
        <x:v>https://kozhaclinic.ru/inekcionnaya-kosmetologiya/lechenie-gipergidroza/</x:v>
      </x:c>
      <x:c r="B237" s="12" t="str">
        <x:v>лечение гипергидроза противопоказания</x:v>
      </x:c>
      <x:c r="C237" s="30" t="n">
        <x:v>0</x:v>
      </x:c>
      <x:c r="D237" s="30" t="n">
        <x:v>3</x:v>
      </x:c>
      <x:c r="E237" s="32" t="n">
        <x:f>IF(D237&gt;0,C237/D237,"")</x:f>
        <x:v>0</x:v>
      </x:c>
      <x:c r="F237" s="34" t="n">
        <x:v>25</x:v>
      </x:c>
    </x:row>
    <x:row r="238" ht="42" customHeight="1">
      <x:c r="A238" s="14" t="str">
        <x:v>https://kozhaclinic.ru/inekcionnaya-kosmetologiya/lechenie-gipergidroza/</x:v>
      </x:c>
      <x:c r="B238" s="14" t="str">
        <x:v>уколы от гипергидроза подмышек</x:v>
      </x:c>
      <x:c r="C238" s="31" t="n">
        <x:v>0</x:v>
      </x:c>
      <x:c r="D238" s="31" t="n">
        <x:v>3</x:v>
      </x:c>
      <x:c r="E238" s="33" t="n">
        <x:f>IF(D238&gt;0,C238/D238,"")</x:f>
        <x:v>0</x:v>
      </x:c>
      <x:c r="F238" s="35" t="n">
        <x:v>33.33</x:v>
      </x:c>
    </x:row>
    <x:row r="239" ht="42" customHeight="1">
      <x:c r="A239" s="12" t="str">
        <x:v>https://kozhaclinic.ru/inekcionnaya-kosmetologiya/lechenie-gipergidroza/</x:v>
      </x:c>
      <x:c r="B239" s="12" t="str">
        <x:v>лечение гипергидроза уфа</x:v>
      </x:c>
      <x:c r="C239" s="30" t="n">
        <x:v>0</x:v>
      </x:c>
      <x:c r="D239" s="30" t="n">
        <x:v>3</x:v>
      </x:c>
      <x:c r="E239" s="32" t="n">
        <x:f>IF(D239&gt;0,C239/D239,"")</x:f>
        <x:v>0</x:v>
      </x:c>
      <x:c r="F239" s="34" t="n">
        <x:v>70.67</x:v>
      </x:c>
    </x:row>
    <x:row r="240" ht="42" customHeight="1">
      <x:c r="A240" s="14" t="str">
        <x:v>https://kozhaclinic.ru/inekcionnaya-kosmetologiya/lechenie-gipergidroza/</x:v>
      </x:c>
      <x:c r="B240" s="14" t="str">
        <x:v>гипергидроз</x:v>
      </x:c>
      <x:c r="C240" s="31" t="n">
        <x:v>0</x:v>
      </x:c>
      <x:c r="D240" s="31" t="n">
        <x:v>3</x:v>
      </x:c>
      <x:c r="E240" s="33" t="n">
        <x:f>IF(D240&gt;0,C240/D240,"")</x:f>
        <x:v>0</x:v>
      </x:c>
      <x:c r="F240" s="35" t="n">
        <x:v>76.67</x:v>
      </x:c>
    </x:row>
    <x:row r="241" ht="42" customHeight="1">
      <x:c r="A241" s="12" t="str">
        <x:v>https://kozhaclinic.ru/inekcionnaya-kosmetologiya/lechenie-gipergidroza/</x:v>
      </x:c>
      <x:c r="B241" s="12" t="str">
        <x:v>ботулинотерапия сургут</x:v>
      </x:c>
      <x:c r="C241" s="30" t="n">
        <x:v>0</x:v>
      </x:c>
      <x:c r="D241" s="30" t="n">
        <x:v>3</x:v>
      </x:c>
      <x:c r="E241" s="32" t="n">
        <x:f>IF(D241&gt;0,C241/D241,"")</x:f>
        <x:v>0</x:v>
      </x:c>
      <x:c r="F241" s="34" t="n">
        <x:v>95</x:v>
      </x:c>
    </x:row>
    <x:row r="242" ht="42" customHeight="1">
      <x:c r="A242" s="14" t="str">
        <x:v>https://kozhaclinic.ru/inekcionnaya-kosmetologiya/lechenie-gipergidroza/</x:v>
      </x:c>
      <x:c r="B242" s="14" t="str">
        <x:v>ботокс в ладони</x:v>
      </x:c>
      <x:c r="C242" s="31" t="n">
        <x:v>0</x:v>
      </x:c>
      <x:c r="D242" s="31" t="n">
        <x:v>2</x:v>
      </x:c>
      <x:c r="E242" s="33" t="n">
        <x:f>IF(D242&gt;0,C242/D242,"")</x:f>
        <x:v>0</x:v>
      </x:c>
      <x:c r="F242" s="35" t="n">
        <x:v>1</x:v>
      </x:c>
    </x:row>
    <x:row r="243" ht="42" customHeight="1">
      <x:c r="A243" s="12" t="str">
        <x:v>https://kozhaclinic.ru/inekcionnaya-kosmetologiya/lechenie-gipergidroza/</x:v>
      </x:c>
      <x:c r="B243" s="12" t="str">
        <x:v>процедура гипергидроз</x:v>
      </x:c>
      <x:c r="C243" s="30" t="n">
        <x:v>0</x:v>
      </x:c>
      <x:c r="D243" s="30" t="n">
        <x:v>2</x:v>
      </x:c>
      <x:c r="E243" s="32" t="n">
        <x:f>IF(D243&gt;0,C243/D243,"")</x:f>
        <x:v>0</x:v>
      </x:c>
      <x:c r="F243" s="34" t="n">
        <x:v>1</x:v>
      </x:c>
    </x:row>
    <x:row r="244" ht="42" customHeight="1">
      <x:c r="A244" s="14" t="str">
        <x:v>https://kozhaclinic.ru/inekcionnaya-kosmetologiya/lechenie-gipergidroza/</x:v>
      </x:c>
      <x:c r="B244" s="14" t="str">
        <x:v>лечение гипергидроза ладоней сургут</x:v>
      </x:c>
      <x:c r="C244" s="31" t="n">
        <x:v>0</x:v>
      </x:c>
      <x:c r="D244" s="31" t="n">
        <x:v>2</x:v>
      </x:c>
      <x:c r="E244" s="33" t="n">
        <x:f>IF(D244&gt;0,C244/D244,"")</x:f>
        <x:v>0</x:v>
      </x:c>
      <x:c r="F244" s="35" t="n">
        <x:v>3.5</x:v>
      </x:c>
    </x:row>
    <x:row r="245" ht="42" customHeight="1">
      <x:c r="A245" s="12" t="str">
        <x:v>https://kozhaclinic.ru/inekcionnaya-kosmetologiya/lechenie-gipergidroza/</x:v>
      </x:c>
      <x:c r="B245" s="12" t="str">
        <x:v>лечение потливости сургут</x:v>
      </x:c>
      <x:c r="C245" s="30" t="n">
        <x:v>0</x:v>
      </x:c>
      <x:c r="D245" s="30" t="n">
        <x:v>2</x:v>
      </x:c>
      <x:c r="E245" s="32" t="n">
        <x:f>IF(D245&gt;0,C245/D245,"")</x:f>
        <x:v>0</x:v>
      </x:c>
      <x:c r="F245" s="34" t="n">
        <x:v>5</x:v>
      </x:c>
    </x:row>
    <x:row r="246" ht="42" customHeight="1">
      <x:c r="A246" s="14" t="str">
        <x:v>https://kozhaclinic.ru/inekcionnaya-kosmetologiya/lechenie-gipergidroza/</x:v>
      </x:c>
      <x:c r="B246" s="14" t="str">
        <x:v>лечение потливости ног сургут</x:v>
      </x:c>
      <x:c r="C246" s="31" t="n">
        <x:v>0</x:v>
      </x:c>
      <x:c r="D246" s="31" t="n">
        <x:v>2</x:v>
      </x:c>
      <x:c r="E246" s="33" t="n">
        <x:f>IF(D246&gt;0,C246/D246,"")</x:f>
        <x:v>0</x:v>
      </x:c>
      <x:c r="F246" s="35" t="n">
        <x:v>10.5</x:v>
      </x:c>
    </x:row>
    <x:row r="247" ht="42" customHeight="1">
      <x:c r="A247" s="12" t="str">
        <x:v>https://kozhaclinic.ru/inekcionnaya-kosmetologiya/lechenie-gipergidroza/</x:v>
      </x:c>
      <x:c r="B247" s="12" t="str">
        <x:v>лечение гипергидроза косметология</x:v>
      </x:c>
      <x:c r="C247" s="30" t="n">
        <x:v>0</x:v>
      </x:c>
      <x:c r="D247" s="30" t="n">
        <x:v>2</x:v>
      </x:c>
      <x:c r="E247" s="32" t="n">
        <x:f>IF(D247&gt;0,C247/D247,"")</x:f>
        <x:v>0</x:v>
      </x:c>
      <x:c r="F247" s="34" t="n">
        <x:v>11</x:v>
      </x:c>
    </x:row>
    <x:row r="248" ht="42" customHeight="1">
      <x:c r="A248" s="14" t="str">
        <x:v>https://kozhaclinic.ru/inekcionnaya-kosmetologiya/lechenie-gipergidroza/</x:v>
      </x:c>
      <x:c r="B248" s="14" t="str">
        <x:v>лечение гипергидроза клиника</x:v>
      </x:c>
      <x:c r="C248" s="31" t="n">
        <x:v>0</x:v>
      </x:c>
      <x:c r="D248" s="31" t="n">
        <x:v>2</x:v>
      </x:c>
      <x:c r="E248" s="33" t="n">
        <x:f>IF(D248&gt;0,C248/D248,"")</x:f>
        <x:v>0</x:v>
      </x:c>
      <x:c r="F248" s="35" t="n">
        <x:v>14</x:v>
      </x:c>
    </x:row>
    <x:row r="249" ht="42" customHeight="1">
      <x:c r="A249" s="12" t="str">
        <x:v>https://kozhaclinic.ru/inekcionnaya-kosmetologiya/lechenie-gipergidroza/</x:v>
      </x:c>
      <x:c r="B249" s="12" t="str">
        <x:v>гипергидроз подмышек лечение цена</x:v>
      </x:c>
      <x:c r="C249" s="30" t="n">
        <x:v>0</x:v>
      </x:c>
      <x:c r="D249" s="30" t="n">
        <x:v>2</x:v>
      </x:c>
      <x:c r="E249" s="32" t="n">
        <x:f>IF(D249&gt;0,C249/D249,"")</x:f>
        <x:v>0</x:v>
      </x:c>
      <x:c r="F249" s="34" t="n">
        <x:v>15</x:v>
      </x:c>
    </x:row>
    <x:row r="250" ht="42" customHeight="1">
      <x:c r="A250" s="14" t="str">
        <x:v>https://kozhaclinic.ru/inekcionnaya-kosmetologiya/lechenie-gipergidroza/</x:v>
      </x:c>
      <x:c r="B250" s="14" t="str">
        <x:v>процедура гипергидроза</x:v>
      </x:c>
      <x:c r="C250" s="31" t="n">
        <x:v>0</x:v>
      </x:c>
      <x:c r="D250" s="31" t="n">
        <x:v>2</x:v>
      </x:c>
      <x:c r="E250" s="33" t="n">
        <x:f>IF(D250&gt;0,C250/D250,"")</x:f>
        <x:v>0</x:v>
      </x:c>
      <x:c r="F250" s="35" t="n">
        <x:v>20.5</x:v>
      </x:c>
    </x:row>
    <x:row r="251" ht="42" customHeight="1">
      <x:c r="A251" s="12" t="str">
        <x:v>https://kozhaclinic.ru/inekcionnaya-kosmetologiya/lechenie-gipergidroza/</x:v>
      </x:c>
      <x:c r="B251" s="12" t="str">
        <x:v>лечение гипергидроза подмышек цена</x:v>
      </x:c>
      <x:c r="C251" s="30" t="n">
        <x:v>0</x:v>
      </x:c>
      <x:c r="D251" s="30" t="n">
        <x:v>2</x:v>
      </x:c>
      <x:c r="E251" s="32" t="n">
        <x:f>IF(D251&gt;0,C251/D251,"")</x:f>
        <x:v>0</x:v>
      </x:c>
      <x:c r="F251" s="34" t="n">
        <x:v>25</x:v>
      </x:c>
    </x:row>
    <x:row r="252" ht="42" customHeight="1">
      <x:c r="A252" s="14" t="str">
        <x:v>https://kozhaclinic.ru/inekcionnaya-kosmetologiya/lechenie-gipergidroza/</x:v>
      </x:c>
      <x:c r="B252" s="14" t="str">
        <x:v>ботулинотерапия подмышек цена</x:v>
      </x:c>
      <x:c r="C252" s="31" t="n">
        <x:v>0</x:v>
      </x:c>
      <x:c r="D252" s="31" t="n">
        <x:v>2</x:v>
      </x:c>
      <x:c r="E252" s="33" t="n">
        <x:f>IF(D252&gt;0,C252/D252,"")</x:f>
        <x:v>0</x:v>
      </x:c>
      <x:c r="F252" s="35" t="n">
        <x:v>26.5</x:v>
      </x:c>
    </x:row>
    <x:row r="253" ht="42" customHeight="1">
      <x:c r="A253" s="12" t="str">
        <x:v>https://kozhaclinic.ru/inekcionnaya-kosmetologiya/lechenie-gipergidroza/</x:v>
      </x:c>
      <x:c r="B253" s="12" t="str">
        <x:v>ботокс в руки от гипергидроза</x:v>
      </x:c>
      <x:c r="C253" s="30" t="n">
        <x:v>0</x:v>
      </x:c>
      <x:c r="D253" s="30" t="n">
        <x:v>2</x:v>
      </x:c>
      <x:c r="E253" s="32" t="n">
        <x:f>IF(D253&gt;0,C253/D253,"")</x:f>
        <x:v>0</x:v>
      </x:c>
      <x:c r="F253" s="34" t="n">
        <x:v>32.5</x:v>
      </x:c>
    </x:row>
    <x:row r="254" ht="42" customHeight="1">
      <x:c r="A254" s="14" t="str">
        <x:v>https://kozhaclinic.ru/inekcionnaya-kosmetologiya/lechenie-gipergidroza/</x:v>
      </x:c>
      <x:c r="B254" s="14" t="str">
        <x:v>лечение гипергидроза ботоксом спб</x:v>
      </x:c>
      <x:c r="C254" s="31" t="n">
        <x:v>0</x:v>
      </x:c>
      <x:c r="D254" s="31" t="n">
        <x:v>2</x:v>
      </x:c>
      <x:c r="E254" s="33" t="n">
        <x:f>IF(D254&gt;0,C254/D254,"")</x:f>
        <x:v>0</x:v>
      </x:c>
      <x:c r="F254" s="35" t="n">
        <x:v>39</x:v>
      </x:c>
    </x:row>
    <x:row r="255" ht="42" customHeight="1">
      <x:c r="A255" s="12" t="str">
        <x:v>https://kozhaclinic.ru/inekcionnaya-kosmetologiya/lechenie-gipergidroza/</x:v>
      </x:c>
      <x:c r="B255" s="12" t="str">
        <x:v>лазерное лечение гипергидроза подмышек</x:v>
      </x:c>
      <x:c r="C255" s="30" t="n">
        <x:v>0</x:v>
      </x:c>
      <x:c r="D255" s="30" t="n">
        <x:v>2</x:v>
      </x:c>
      <x:c r="E255" s="32" t="n">
        <x:f>IF(D255&gt;0,C255/D255,"")</x:f>
        <x:v>0</x:v>
      </x:c>
      <x:c r="F255" s="34" t="n">
        <x:v>39.5</x:v>
      </x:c>
    </x:row>
    <x:row r="256" ht="42" customHeight="1">
      <x:c r="A256" s="14" t="str">
        <x:v>https://kozhaclinic.ru/inekcionnaya-kosmetologiya/lechenie-gipergidroza/</x:v>
      </x:c>
      <x:c r="B256" s="14" t="str">
        <x:v>гипергидроз лечение</x:v>
      </x:c>
      <x:c r="C256" s="31" t="n">
        <x:v>0</x:v>
      </x:c>
      <x:c r="D256" s="31" t="n">
        <x:v>2</x:v>
      </x:c>
      <x:c r="E256" s="33" t="n">
        <x:f>IF(D256&gt;0,C256/D256,"")</x:f>
        <x:v>0</x:v>
      </x:c>
      <x:c r="F256" s="35" t="n">
        <x:v>49</x:v>
      </x:c>
    </x:row>
    <x:row r="257" ht="42" customHeight="1">
      <x:c r="A257" s="12" t="str">
        <x:v>https://kozhaclinic.ru/inekcionnaya-kosmetologiya/lechenie-gipergidroza/</x:v>
      </x:c>
      <x:c r="B257" s="12" t="str">
        <x:v>ботокс в ладони цена</x:v>
      </x:c>
      <x:c r="C257" s="30" t="n">
        <x:v>0</x:v>
      </x:c>
      <x:c r="D257" s="30" t="n">
        <x:v>2</x:v>
      </x:c>
      <x:c r="E257" s="32" t="n">
        <x:f>IF(D257&gt;0,C257/D257,"")</x:f>
        <x:v>0</x:v>
      </x:c>
      <x:c r="F257" s="34" t="n">
        <x:v>53</x:v>
      </x:c>
    </x:row>
    <x:row r="258" ht="42" customHeight="1">
      <x:c r="A258" s="14" t="str">
        <x:v>https://kozhaclinic.ru/inekcionnaya-kosmetologiya/lechenie-gipergidroza/</x:v>
      </x:c>
      <x:c r="B258" s="14" t="str">
        <x:v>ботокс ладоней</x:v>
      </x:c>
      <x:c r="C258" s="31" t="n">
        <x:v>0</x:v>
      </x:c>
      <x:c r="D258" s="31" t="n">
        <x:v>1</x:v>
      </x:c>
      <x:c r="E258" s="33" t="n">
        <x:f>IF(D258&gt;0,C258/D258,"")</x:f>
        <x:v>0</x:v>
      </x:c>
      <x:c r="F258" s="35" t="n">
        <x:v>1</x:v>
      </x:c>
    </x:row>
    <x:row r="259" ht="42" customHeight="1">
      <x:c r="A259" s="12" t="str">
        <x:v>https://kozhaclinic.ru/inekcionnaya-kosmetologiya/lechenie-gipergidroza/</x:v>
      </x:c>
      <x:c r="B259" s="12" t="str">
        <x:v>инъекции ботулотоксина при гипергидрозе</x:v>
      </x:c>
      <x:c r="C259" s="30" t="n">
        <x:v>0</x:v>
      </x:c>
      <x:c r="D259" s="30" t="n">
        <x:v>1</x:v>
      </x:c>
      <x:c r="E259" s="32" t="n">
        <x:f>IF(D259&gt;0,C259/D259,"")</x:f>
        <x:v>0</x:v>
      </x:c>
      <x:c r="F259" s="34" t="n">
        <x:v>1</x:v>
      </x:c>
    </x:row>
    <x:row r="260" ht="42" customHeight="1">
      <x:c r="A260" s="14" t="str">
        <x:v>https://kozhaclinic.ru/inekcionnaya-kosmetologiya/lechenie-gipergidroza/</x:v>
      </x:c>
      <x:c r="B260" s="14" t="str">
        <x:v>лечение потливости ботоксом сургут</x:v>
      </x:c>
      <x:c r="C260" s="31" t="n">
        <x:v>0</x:v>
      </x:c>
      <x:c r="D260" s="31" t="n">
        <x:v>1</x:v>
      </x:c>
      <x:c r="E260" s="33" t="n">
        <x:f>IF(D260&gt;0,C260/D260,"")</x:f>
        <x:v>0</x:v>
      </x:c>
      <x:c r="F260" s="35" t="n">
        <x:v>1</x:v>
      </x:c>
    </x:row>
    <x:row r="261" ht="42" customHeight="1">
      <x:c r="A261" s="12" t="str">
        <x:v>https://kozhaclinic.ru/inekcionnaya-kosmetologiya/lechenie-gipergidroza/</x:v>
      </x:c>
      <x:c r="B261" s="12" t="str">
        <x:v>лечение потливости ладоней сургут</x:v>
      </x:c>
      <x:c r="C261" s="30" t="n">
        <x:v>0</x:v>
      </x:c>
      <x:c r="D261" s="30" t="n">
        <x:v>1</x:v>
      </x:c>
      <x:c r="E261" s="32" t="n">
        <x:f>IF(D261&gt;0,C261/D261,"")</x:f>
        <x:v>0</x:v>
      </x:c>
      <x:c r="F261" s="34" t="n">
        <x:v>1</x:v>
      </x:c>
    </x:row>
    <x:row r="262" ht="42" customHeight="1">
      <x:c r="A262" s="14" t="str">
        <x:v>https://kozhaclinic.ru/inekcionnaya-kosmetologiya/lechenie-gipergidroza/</x:v>
      </x:c>
      <x:c r="B262" s="14" t="str">
        <x:v>ботокс в подмышки цена</x:v>
      </x:c>
      <x:c r="C262" s="31" t="n">
        <x:v>0</x:v>
      </x:c>
      <x:c r="D262" s="31" t="n">
        <x:v>1</x:v>
      </x:c>
      <x:c r="E262" s="33" t="n">
        <x:f>IF(D262&gt;0,C262/D262,"")</x:f>
        <x:v>0</x:v>
      </x:c>
      <x:c r="F262" s="35" t="n">
        <x:v>6</x:v>
      </x:c>
    </x:row>
    <x:row r="263" ht="42" customHeight="1">
      <x:c r="A263" s="12" t="str">
        <x:v>https://kozhaclinic.ru/inekcionnaya-kosmetologiya/lechenie-gipergidroza/</x:v>
      </x:c>
      <x:c r="B263" s="12" t="str">
        <x:v>где еще можно сделать</x:v>
      </x:c>
      <x:c r="C263" s="30" t="n">
        <x:v>0</x:v>
      </x:c>
      <x:c r="D263" s="30" t="n">
        <x:v>1</x:v>
      </x:c>
      <x:c r="E263" s="32" t="n">
        <x:f>IF(D263&gt;0,C263/D263,"")</x:f>
        <x:v>0</x:v>
      </x:c>
      <x:c r="F263" s="34" t="n">
        <x:v>7</x:v>
      </x:c>
    </x:row>
    <x:row r="264" ht="42" customHeight="1">
      <x:c r="A264" s="14" t="str">
        <x:v>https://kozhaclinic.ru/inekcionnaya-kosmetologiya/lechenie-gipergidroza/</x:v>
      </x:c>
      <x:c r="B264" s="14" t="str">
        <x:v>гипергидроз ладоней лечение ботоксом</x:v>
      </x:c>
      <x:c r="C264" s="31" t="n">
        <x:v>0</x:v>
      </x:c>
      <x:c r="D264" s="31" t="n">
        <x:v>1</x:v>
      </x:c>
      <x:c r="E264" s="33" t="n">
        <x:f>IF(D264&gt;0,C264/D264,"")</x:f>
        <x:v>0</x:v>
      </x:c>
      <x:c r="F264" s="35" t="n">
        <x:v>9</x:v>
      </x:c>
    </x:row>
    <x:row r="265" ht="42" customHeight="1">
      <x:c r="A265" s="12" t="str">
        <x:v>https://kozhaclinic.ru/inekcionnaya-kosmetologiya/lechenie-gipergidroza/</x:v>
      </x:c>
      <x:c r="B265" s="12" t="str">
        <x:v>ботокс от гипергидроза подмышек цена</x:v>
      </x:c>
      <x:c r="C265" s="30" t="n">
        <x:v>0</x:v>
      </x:c>
      <x:c r="D265" s="30" t="n">
        <x:v>1</x:v>
      </x:c>
      <x:c r="E265" s="32" t="n">
        <x:f>IF(D265&gt;0,C265/D265,"")</x:f>
        <x:v>0</x:v>
      </x:c>
      <x:c r="F265" s="34" t="n">
        <x:v>14</x:v>
      </x:c>
    </x:row>
    <x:row r="266" ht="42" customHeight="1">
      <x:c r="A266" s="14" t="str">
        <x:v>https://kozhaclinic.ru/inekcionnaya-kosmetologiya/lechenie-gipergidroza/</x:v>
      </x:c>
      <x:c r="B266" s="14" t="str">
        <x:v>гипергидроз уколы</x:v>
      </x:c>
      <x:c r="C266" s="31" t="n">
        <x:v>0</x:v>
      </x:c>
      <x:c r="D266" s="31" t="n">
        <x:v>1</x:v>
      </x:c>
      <x:c r="E266" s="33" t="n">
        <x:f>IF(D266&gt;0,C266/D266,"")</x:f>
        <x:v>0</x:v>
      </x:c>
      <x:c r="F266" s="35" t="n">
        <x:v>17</x:v>
      </x:c>
    </x:row>
    <x:row r="267" ht="42" customHeight="1">
      <x:c r="A267" s="12" t="str">
        <x:v>https://kozhaclinic.ru/inekcionnaya-kosmetologiya/lechenie-gipergidroza/</x:v>
      </x:c>
      <x:c r="B267" s="12" t="str">
        <x:v>инъекции ботокса сургут</x:v>
      </x:c>
      <x:c r="C267" s="30" t="n">
        <x:v>0</x:v>
      </x:c>
      <x:c r="D267" s="30" t="n">
        <x:v>1</x:v>
      </x:c>
      <x:c r="E267" s="32" t="n">
        <x:f>IF(D267&gt;0,C267/D267,"")</x:f>
        <x:v>0</x:v>
      </x:c>
      <x:c r="F267" s="34" t="n">
        <x:v>19</x:v>
      </x:c>
    </x:row>
    <x:row r="268" ht="42" customHeight="1">
      <x:c r="A268" s="14" t="str">
        <x:v>https://kozhaclinic.ru/inekcionnaya-kosmetologiya/lechenie-gipergidroza/</x:v>
      </x:c>
      <x:c r="B268" s="14" t="str">
        <x:v>лечение гипергидроза ботулинотерапией</x:v>
      </x:c>
      <x:c r="C268" s="31" t="n">
        <x:v>0</x:v>
      </x:c>
      <x:c r="D268" s="31" t="n">
        <x:v>1</x:v>
      </x:c>
      <x:c r="E268" s="33" t="n">
        <x:f>IF(D268&gt;0,C268/D268,"")</x:f>
        <x:v>0</x:v>
      </x:c>
      <x:c r="F268" s="35" t="n">
        <x:v>23</x:v>
      </x:c>
    </x:row>
    <x:row r="269" ht="42" customHeight="1">
      <x:c r="A269" s="12" t="str">
        <x:v>https://kozhaclinic.ru/inekcionnaya-kosmetologiya/lechenie-gipergidroza/</x:v>
      </x:c>
      <x:c r="B269" s="12" t="str">
        <x:v>ботулинотерапия в подмышки цена</x:v>
      </x:c>
      <x:c r="C269" s="30" t="n">
        <x:v>0</x:v>
      </x:c>
      <x:c r="D269" s="30" t="n">
        <x:v>1</x:v>
      </x:c>
      <x:c r="E269" s="32" t="n">
        <x:f>IF(D269&gt;0,C269/D269,"")</x:f>
        <x:v>0</x:v>
      </x:c>
      <x:c r="F269" s="34" t="n">
        <x:v>28</x:v>
      </x:c>
    </x:row>
    <x:row r="270" ht="42" customHeight="1">
      <x:c r="A270" s="14" t="str">
        <x:v>https://kozhaclinic.ru/inekcionnaya-kosmetologiya/lechenie-gipergidroza/</x:v>
      </x:c>
      <x:c r="B270" s="14" t="str">
        <x:v>коррекция гипергидроза ботоксом</x:v>
      </x:c>
      <x:c r="C270" s="31" t="n">
        <x:v>0</x:v>
      </x:c>
      <x:c r="D270" s="31" t="n">
        <x:v>1</x:v>
      </x:c>
      <x:c r="E270" s="33" t="n">
        <x:f>IF(D270&gt;0,C270/D270,"")</x:f>
        <x:v>0</x:v>
      </x:c>
      <x:c r="F270" s="35" t="n">
        <x:v>30</x:v>
      </x:c>
    </x:row>
    <x:row r="271" ht="42" customHeight="1">
      <x:c r="A271" s="12" t="str">
        <x:v>https://kozhaclinic.ru/inekcionnaya-kosmetologiya/lechenie-gipergidroza/</x:v>
      </x:c>
      <x:c r="B271" s="12" t="str">
        <x:v>лечение гипергидроза</x:v>
      </x:c>
      <x:c r="C271" s="30" t="n">
        <x:v>0</x:v>
      </x:c>
      <x:c r="D271" s="30" t="n">
        <x:v>1</x:v>
      </x:c>
      <x:c r="E271" s="32" t="n">
        <x:f>IF(D271&gt;0,C271/D271,"")</x:f>
        <x:v>0</x:v>
      </x:c>
      <x:c r="F271" s="34" t="n">
        <x:v>30</x:v>
      </x:c>
    </x:row>
    <x:row r="272" ht="42" customHeight="1">
      <x:c r="A272" s="14" t="str">
        <x:v>https://kozhaclinic.ru/inekcionnaya-kosmetologiya/lechenie-gipergidroza/</x:v>
      </x:c>
      <x:c r="B272" s="14" t="str">
        <x:v>ботокс лечение гипергидроза</x:v>
      </x:c>
      <x:c r="C272" s="31" t="n">
        <x:v>0</x:v>
      </x:c>
      <x:c r="D272" s="31" t="n">
        <x:v>1</x:v>
      </x:c>
      <x:c r="E272" s="33" t="n">
        <x:f>IF(D272&gt;0,C272/D272,"")</x:f>
        <x:v>0</x:v>
      </x:c>
      <x:c r="F272" s="35" t="n">
        <x:v>31</x:v>
      </x:c>
    </x:row>
    <x:row r="273" ht="42" customHeight="1">
      <x:c r="A273" s="12" t="str">
        <x:v>https://kozhaclinic.ru/inekcionnaya-kosmetologiya/lechenie-gipergidroza/</x:v>
      </x:c>
      <x:c r="B273" s="12" t="str">
        <x:v>ботокс для подмышек цена</x:v>
      </x:c>
      <x:c r="C273" s="30" t="n">
        <x:v>0</x:v>
      </x:c>
      <x:c r="D273" s="30" t="n">
        <x:v>1</x:v>
      </x:c>
      <x:c r="E273" s="32" t="n">
        <x:f>IF(D273&gt;0,C273/D273,"")</x:f>
        <x:v>0</x:v>
      </x:c>
      <x:c r="F273" s="34" t="n">
        <x:v>37</x:v>
      </x:c>
    </x:row>
    <x:row r="274" ht="42" customHeight="1">
      <x:c r="A274" s="14" t="str">
        <x:v>https://kozhaclinic.ru/inekcionnaya-kosmetologiya/lechenie-gipergidroza/</x:v>
      </x:c>
      <x:c r="B274" s="14" t="str">
        <x:v>ботокс при гипергидрозе</x:v>
      </x:c>
      <x:c r="C274" s="31" t="n">
        <x:v>0</x:v>
      </x:c>
      <x:c r="D274" s="31" t="n">
        <x:v>1</x:v>
      </x:c>
      <x:c r="E274" s="33" t="n">
        <x:f>IF(D274&gt;0,C274/D274,"")</x:f>
        <x:v>0</x:v>
      </x:c>
      <x:c r="F274" s="35" t="n">
        <x:v>38</x:v>
      </x:c>
    </x:row>
    <x:row r="275" ht="42" customHeight="1">
      <x:c r="A275" s="12" t="str">
        <x:v>https://kozhaclinic.ru/inekcionnaya-kosmetologiya/lechenie-gipergidroza/</x:v>
      </x:c>
      <x:c r="B275" s="12" t="str">
        <x:v>лечение гипергидроза цена спб</x:v>
      </x:c>
      <x:c r="C275" s="30" t="n">
        <x:v>0</x:v>
      </x:c>
      <x:c r="D275" s="30" t="n">
        <x:v>1</x:v>
      </x:c>
      <x:c r="E275" s="32" t="n">
        <x:f>IF(D275&gt;0,C275/D275,"")</x:f>
        <x:v>0</x:v>
      </x:c>
      <x:c r="F275" s="34" t="n">
        <x:v>40</x:v>
      </x:c>
    </x:row>
    <x:row r="276" ht="42" customHeight="1">
      <x:c r="A276" s="14" t="str">
        <x:v>https://kozhaclinic.ru/inekcionnaya-kosmetologiya/lechenie-gipergidroza/</x:v>
      </x:c>
      <x:c r="B276" s="14" t="str">
        <x:v>лечение гипергидроза ижевск</x:v>
      </x:c>
      <x:c r="C276" s="31" t="n">
        <x:v>0</x:v>
      </x:c>
      <x:c r="D276" s="31" t="n">
        <x:v>1</x:v>
      </x:c>
      <x:c r="E276" s="33" t="n">
        <x:f>IF(D276&gt;0,C276/D276,"")</x:f>
        <x:v>0</x:v>
      </x:c>
      <x:c r="F276" s="35" t="n">
        <x:v>41</x:v>
      </x:c>
    </x:row>
    <x:row r="277" ht="42" customHeight="1">
      <x:c r="A277" s="12" t="str">
        <x:v>https://kozhaclinic.ru/inekcionnaya-kosmetologiya/lechenie-gipergidroza/</x:v>
      </x:c>
      <x:c r="B277" s="12" t="str">
        <x:v>лечение гипергидроза стоимость</x:v>
      </x:c>
      <x:c r="C277" s="30" t="n">
        <x:v>0</x:v>
      </x:c>
      <x:c r="D277" s="30" t="n">
        <x:v>1</x:v>
      </x:c>
      <x:c r="E277" s="32" t="n">
        <x:f>IF(D277&gt;0,C277/D277,"")</x:f>
        <x:v>0</x:v>
      </x:c>
      <x:c r="F277" s="34" t="n">
        <x:v>42</x:v>
      </x:c>
    </x:row>
    <x:row r="278" ht="42" customHeight="1">
      <x:c r="A278" s="14" t="str">
        <x:v>https://kozhaclinic.ru/inekcionnaya-kosmetologiya/lechenie-gipergidroza/</x:v>
      </x:c>
      <x:c r="B278" s="14" t="str">
        <x:v>инъекции от потливости подмышек</x:v>
      </x:c>
      <x:c r="C278" s="31" t="n">
        <x:v>0</x:v>
      </x:c>
      <x:c r="D278" s="31" t="n">
        <x:v>1</x:v>
      </x:c>
      <x:c r="E278" s="33" t="n">
        <x:f>IF(D278&gt;0,C278/D278,"")</x:f>
        <x:v>0</x:v>
      </x:c>
      <x:c r="F278" s="35" t="n">
        <x:v>45</x:v>
      </x:c>
    </x:row>
    <x:row r="279" ht="42" customHeight="1">
      <x:c r="A279" s="12" t="str">
        <x:v>https://kozhaclinic.ru/inekcionnaya-kosmetologiya/lechenie-gipergidroza/</x:v>
      </x:c>
      <x:c r="B279" s="12" t="str">
        <x:v>лечение гипергидроза подмышек ботоксом цена</x:v>
      </x:c>
      <x:c r="C279" s="30" t="n">
        <x:v>0</x:v>
      </x:c>
      <x:c r="D279" s="30" t="n">
        <x:v>1</x:v>
      </x:c>
      <x:c r="E279" s="32" t="n">
        <x:f>IF(D279&gt;0,C279/D279,"")</x:f>
        <x:v>0</x:v>
      </x:c>
      <x:c r="F279" s="34" t="n">
        <x:v>45</x:v>
      </x:c>
    </x:row>
    <x:row r="280" ht="42" customHeight="1">
      <x:c r="A280" s="14" t="str">
        <x:v>https://kozhaclinic.ru/inekcionnaya-kosmetologiya/lechenie-gipergidroza/</x:v>
      </x:c>
      <x:c r="B280" s="14" t="str">
        <x:v>гипергидроз лечение цены</x:v>
      </x:c>
      <x:c r="C280" s="31" t="n">
        <x:v>0</x:v>
      </x:c>
      <x:c r="D280" s="31" t="n">
        <x:v>1</x:v>
      </x:c>
      <x:c r="E280" s="33" t="n">
        <x:f>IF(D280&gt;0,C280/D280,"")</x:f>
        <x:v>0</x:v>
      </x:c>
      <x:c r="F280" s="35" t="n">
        <x:v>47</x:v>
      </x:c>
    </x:row>
    <x:row r="281" ht="42" customHeight="1">
      <x:c r="A281" s="12" t="str">
        <x:v>https://kozhaclinic.ru/inekcionnaya-kosmetologiya/lechenie-gipergidroza/</x:v>
      </x:c>
      <x:c r="B281" s="12" t="str">
        <x:v>гиперпотливость лечение</x:v>
      </x:c>
      <x:c r="C281" s="30" t="n">
        <x:v>0</x:v>
      </x:c>
      <x:c r="D281" s="30" t="n">
        <x:v>1</x:v>
      </x:c>
      <x:c r="E281" s="32" t="n">
        <x:f>IF(D281&gt;0,C281/D281,"")</x:f>
        <x:v>0</x:v>
      </x:c>
      <x:c r="F281" s="34" t="n">
        <x:v>64</x:v>
      </x:c>
    </x:row>
    <x:row r="282" ht="42" customHeight="1">
      <x:c r="A282" s="14" t="str">
        <x:v>https://kozhaclinic.ru/inekcionnaya-kosmetologiya/lechenie-gipergidroza/</x:v>
      </x:c>
      <x:c r="B282" s="14" t="str">
        <x:v>ботокс сургут</x:v>
      </x:c>
      <x:c r="C282" s="31" t="n">
        <x:v>0</x:v>
      </x:c>
      <x:c r="D282" s="31" t="n">
        <x:v>1</x:v>
      </x:c>
      <x:c r="E282" s="33" t="n">
        <x:f>IF(D282&gt;0,C282/D282,"")</x:f>
        <x:v>0</x:v>
      </x:c>
      <x:c r="F282" s="35" t="n">
        <x:v>86</x:v>
      </x:c>
    </x:row>
    <x:row r="283" ht="42" customHeight="1">
      <x:c r="A283" s="12" t="str">
        <x:v>https://kozhaclinic.ru/lazernaya-kosmetologiya/lazernaya-epilyaciya/</x:v>
      </x:c>
      <x:c r="B283" s="12" t="str">
        <x:v>лазерная эпиляция сургут</x:v>
      </x:c>
      <x:c r="C283" s="30" t="n">
        <x:v>4</x:v>
      </x:c>
      <x:c r="D283" s="30" t="n">
        <x:v>96</x:v>
      </x:c>
      <x:c r="E283" s="32" t="n">
        <x:f>IF(D283&gt;0,C283/D283,"")</x:f>
        <x:v>0.041666666666666664</x:v>
      </x:c>
      <x:c r="F283" s="34" t="n">
        <x:v>5.52</x:v>
      </x:c>
    </x:row>
    <x:row r="284" ht="42" customHeight="1">
      <x:c r="A284" s="14" t="str">
        <x:v>https://kozhaclinic.ru/lazernaya-kosmetologiya/lazernaya-epilyaciya/</x:v>
      </x:c>
      <x:c r="B284" s="14" t="str">
        <x:v>лазерная эпиляция</x:v>
      </x:c>
      <x:c r="C284" s="31" t="n">
        <x:v>2</x:v>
      </x:c>
      <x:c r="D284" s="31" t="n">
        <x:v>67</x:v>
      </x:c>
      <x:c r="E284" s="33" t="n">
        <x:f>IF(D284&gt;0,C284/D284,"")</x:f>
        <x:v>0.029850746268656716</x:v>
      </x:c>
      <x:c r="F284" s="35" t="n">
        <x:v>7.07</x:v>
      </x:c>
    </x:row>
    <x:row r="285" ht="42" customHeight="1">
      <x:c r="A285" s="12" t="str">
        <x:v>https://kozhaclinic.ru/lazernaya-kosmetologiya/lazernaya-epilyaciya/</x:v>
      </x:c>
      <x:c r="B285" s="12" t="str">
        <x:v>лазерная эпиляция цена</x:v>
      </x:c>
      <x:c r="C285" s="30" t="n">
        <x:v>1</x:v>
      </x:c>
      <x:c r="D285" s="30" t="n">
        <x:v>11</x:v>
      </x:c>
      <x:c r="E285" s="32" t="n">
        <x:f>IF(D285&gt;0,C285/D285,"")</x:f>
        <x:v>0.09090909090909091</x:v>
      </x:c>
      <x:c r="F285" s="34" t="n">
        <x:v>2.73</x:v>
      </x:c>
    </x:row>
    <x:row r="286" ht="42" customHeight="1">
      <x:c r="A286" s="14" t="str">
        <x:v>https://kozhaclinic.ru/lazernaya-kosmetologiya/lazernaya-epilyaciya/</x:v>
      </x:c>
      <x:c r="B286" s="14" t="str">
        <x:v>лазерная эпиляция бикини сургут</x:v>
      </x:c>
      <x:c r="C286" s="31" t="n">
        <x:v>1</x:v>
      </x:c>
      <x:c r="D286" s="31" t="n">
        <x:v>8</x:v>
      </x:c>
      <x:c r="E286" s="33" t="n">
        <x:f>IF(D286&gt;0,C286/D286,"")</x:f>
        <x:v>0.125</x:v>
      </x:c>
      <x:c r="F286" s="35" t="n">
        <x:v>4</x:v>
      </x:c>
    </x:row>
    <x:row r="287" ht="42" customHeight="1">
      <x:c r="A287" s="12" t="str">
        <x:v>https://kozhaclinic.ru/lazernaya-kosmetologiya/lazernaya-epilyaciya/</x:v>
      </x:c>
      <x:c r="B287" s="12" t="str">
        <x:v>ультразвуковая эпиляция цена</x:v>
      </x:c>
      <x:c r="C287" s="30" t="n">
        <x:v>0</x:v>
      </x:c>
      <x:c r="D287" s="30" t="n">
        <x:v>28</x:v>
      </x:c>
      <x:c r="E287" s="32" t="n">
        <x:f>IF(D287&gt;0,C287/D287,"")</x:f>
        <x:v>0</x:v>
      </x:c>
      <x:c r="F287" s="34" t="n">
        <x:v>53.96</x:v>
      </x:c>
    </x:row>
    <x:row r="288" ht="42" customHeight="1">
      <x:c r="A288" s="14" t="str">
        <x:v>https://kozhaclinic.ru/lazernaya-kosmetologiya/lazernaya-epilyaciya/</x:v>
      </x:c>
      <x:c r="B288" s="14" t="str">
        <x:v>лазерная эпиляция цены сургут</x:v>
      </x:c>
      <x:c r="C288" s="31" t="n">
        <x:v>0</x:v>
      </x:c>
      <x:c r="D288" s="31" t="n">
        <x:v>18</x:v>
      </x:c>
      <x:c r="E288" s="33" t="n">
        <x:f>IF(D288&gt;0,C288/D288,"")</x:f>
        <x:v>0</x:v>
      </x:c>
      <x:c r="F288" s="35" t="n">
        <x:v>3.56</x:v>
      </x:c>
    </x:row>
    <x:row r="289" ht="42" customHeight="1">
      <x:c r="A289" s="12" t="str">
        <x:v>https://kozhaclinic.ru/lazernaya-kosmetologiya/lazernaya-epilyaciya/</x:v>
      </x:c>
      <x:c r="B289" s="12" t="str">
        <x:v>эпиляция</x:v>
      </x:c>
      <x:c r="C289" s="30" t="n">
        <x:v>0</x:v>
      </x:c>
      <x:c r="D289" s="30" t="n">
        <x:v>16</x:v>
      </x:c>
      <x:c r="E289" s="32" t="n">
        <x:f>IF(D289&gt;0,C289/D289,"")</x:f>
        <x:v>0</x:v>
      </x:c>
      <x:c r="F289" s="34" t="n">
        <x:v>29</x:v>
      </x:c>
    </x:row>
    <x:row r="290" ht="42" customHeight="1">
      <x:c r="A290" s="14" t="str">
        <x:v>https://kozhaclinic.ru/lazernaya-kosmetologiya/lazernaya-epilyaciya/</x:v>
      </x:c>
      <x:c r="B290" s="14" t="str">
        <x:v>лазерная эпиляция ног сургут</x:v>
      </x:c>
      <x:c r="C290" s="31" t="n">
        <x:v>0</x:v>
      </x:c>
      <x:c r="D290" s="31" t="n">
        <x:v>14</x:v>
      </x:c>
      <x:c r="E290" s="33" t="n">
        <x:f>IF(D290&gt;0,C290/D290,"")</x:f>
        <x:v>0</x:v>
      </x:c>
      <x:c r="F290" s="35" t="n">
        <x:v>3.07</x:v>
      </x:c>
    </x:row>
    <x:row r="291" ht="42" customHeight="1">
      <x:c r="A291" s="12" t="str">
        <x:v>https://kozhaclinic.ru/lazernaya-kosmetologiya/lazernaya-epilyaciya/</x:v>
      </x:c>
      <x:c r="B291" s="12" t="str">
        <x:v>эпиляция зоны s</x:v>
      </x:c>
      <x:c r="C291" s="30" t="n">
        <x:v>0</x:v>
      </x:c>
      <x:c r="D291" s="30" t="n">
        <x:v>14</x:v>
      </x:c>
      <x:c r="E291" s="32" t="n">
        <x:f>IF(D291&gt;0,C291/D291,"")</x:f>
        <x:v>0</x:v>
      </x:c>
      <x:c r="F291" s="34" t="n">
        <x:v>89.79</x:v>
      </x:c>
    </x:row>
    <x:row r="292" ht="42" customHeight="1">
      <x:c r="A292" s="14" t="str">
        <x:v>https://kozhaclinic.ru/lazernaya-kosmetologiya/lazernaya-epilyaciya/</x:v>
      </x:c>
      <x:c r="B292" s="14" t="str">
        <x:v>эпиляция сургут</x:v>
      </x:c>
      <x:c r="C292" s="31" t="n">
        <x:v>0</x:v>
      </x:c>
      <x:c r="D292" s="31" t="n">
        <x:v>13</x:v>
      </x:c>
      <x:c r="E292" s="33" t="n">
        <x:f>IF(D292&gt;0,C292/D292,"")</x:f>
        <x:v>0</x:v>
      </x:c>
      <x:c r="F292" s="35" t="n">
        <x:v>5.38</x:v>
      </x:c>
    </x:row>
    <x:row r="293" ht="42" customHeight="1">
      <x:c r="A293" s="12" t="str">
        <x:v>https://kozhaclinic.ru/lazernaya-kosmetologiya/lazernaya-epilyaciya/</x:v>
      </x:c>
      <x:c r="B293" s="12" t="str">
        <x:v>стоимость лазерной эпиляции лица</x:v>
      </x:c>
      <x:c r="C293" s="30" t="n">
        <x:v>0</x:v>
      </x:c>
      <x:c r="D293" s="30" t="n">
        <x:v>13</x:v>
      </x:c>
      <x:c r="E293" s="32" t="n">
        <x:f>IF(D293&gt;0,C293/D293,"")</x:f>
        <x:v>0</x:v>
      </x:c>
      <x:c r="F293" s="34" t="n">
        <x:v>80.23</x:v>
      </x:c>
    </x:row>
    <x:row r="294" ht="42" customHeight="1">
      <x:c r="A294" s="14" t="str">
        <x:v>https://kozhaclinic.ru/lazernaya-kosmetologiya/lazernaya-epilyaciya/</x:v>
      </x:c>
      <x:c r="B294" s="14" t="str">
        <x:v>депиляция сургут</x:v>
      </x:c>
      <x:c r="C294" s="31" t="n">
        <x:v>0</x:v>
      </x:c>
      <x:c r="D294" s="31" t="n">
        <x:v>11</x:v>
      </x:c>
      <x:c r="E294" s="33" t="n">
        <x:f>IF(D294&gt;0,C294/D294,"")</x:f>
        <x:v>0</x:v>
      </x:c>
      <x:c r="F294" s="35" t="n">
        <x:v>7.64</x:v>
      </x:c>
    </x:row>
    <x:row r="295" ht="42" customHeight="1">
      <x:c r="A295" s="12" t="str">
        <x:v>https://kozhaclinic.ru/lazernaya-kosmetologiya/lazernaya-epilyaciya/</x:v>
      </x:c>
      <x:c r="B295" s="12" t="str">
        <x:v>лазерная эпиляция лица для женщин цена</x:v>
      </x:c>
      <x:c r="C295" s="30" t="n">
        <x:v>0</x:v>
      </x:c>
      <x:c r="D295" s="30" t="n">
        <x:v>11</x:v>
      </x:c>
      <x:c r="E295" s="32" t="n">
        <x:f>IF(D295&gt;0,C295/D295,"")</x:f>
        <x:v>0</x:v>
      </x:c>
      <x:c r="F295" s="34" t="n">
        <x:v>54.36</x:v>
      </x:c>
    </x:row>
    <x:row r="296" ht="42" customHeight="1">
      <x:c r="A296" s="14" t="str">
        <x:v>https://kozhaclinic.ru/lazernaya-kosmetologiya/lazernaya-epilyaciya/</x:v>
      </x:c>
      <x:c r="B296" s="14" t="str">
        <x:v>лазерная эпиляция подмышек сургут</x:v>
      </x:c>
      <x:c r="C296" s="31" t="n">
        <x:v>0</x:v>
      </x:c>
      <x:c r="D296" s="31" t="n">
        <x:v>10</x:v>
      </x:c>
      <x:c r="E296" s="33" t="n">
        <x:f>IF(D296&gt;0,C296/D296,"")</x:f>
        <x:v>0</x:v>
      </x:c>
      <x:c r="F296" s="35" t="n">
        <x:v>4.7</x:v>
      </x:c>
    </x:row>
    <x:row r="297" ht="42" customHeight="1">
      <x:c r="A297" s="12" t="str">
        <x:v>https://kozhaclinic.ru/lazernaya-kosmetologiya/lazernaya-epilyaciya/</x:v>
      </x:c>
      <x:c r="B297" s="12" t="str">
        <x:v>сколько стоит лазерная эпиляция лица</x:v>
      </x:c>
      <x:c r="C297" s="30" t="n">
        <x:v>0</x:v>
      </x:c>
      <x:c r="D297" s="30" t="n">
        <x:v>10</x:v>
      </x:c>
      <x:c r="E297" s="32" t="n">
        <x:f>IF(D297&gt;0,C297/D297,"")</x:f>
        <x:v>0</x:v>
      </x:c>
      <x:c r="F297" s="34" t="n">
        <x:v>37.4</x:v>
      </x:c>
    </x:row>
    <x:row r="298" ht="42" customHeight="1">
      <x:c r="A298" s="14" t="str">
        <x:v>https://kozhaclinic.ru/lazernaya-kosmetologiya/lazernaya-epilyaciya/</x:v>
      </x:c>
      <x:c r="B298" s="14" t="str">
        <x:v>лазерная эпиляция спины сургут</x:v>
      </x:c>
      <x:c r="C298" s="31" t="n">
        <x:v>0</x:v>
      </x:c>
      <x:c r="D298" s="31" t="n">
        <x:v>9</x:v>
      </x:c>
      <x:c r="E298" s="33" t="n">
        <x:f>IF(D298&gt;0,C298/D298,"")</x:f>
        <x:v>0</x:v>
      </x:c>
      <x:c r="F298" s="35" t="n">
        <x:v>2.44</x:v>
      </x:c>
    </x:row>
    <x:row r="299" ht="42" customHeight="1">
      <x:c r="A299" s="12" t="str">
        <x:v>https://kozhaclinic.ru/lazernaya-kosmetologiya/lazernaya-epilyaciya/</x:v>
      </x:c>
      <x:c r="B299" s="12" t="str">
        <x:v>сколько стоит лазерное удаление волос на лице</x:v>
      </x:c>
      <x:c r="C299" s="30" t="n">
        <x:v>0</x:v>
      </x:c>
      <x:c r="D299" s="30" t="n">
        <x:v>9</x:v>
      </x:c>
      <x:c r="E299" s="32" t="n">
        <x:f>IF(D299&gt;0,C299/D299,"")</x:f>
        <x:v>0</x:v>
      </x:c>
      <x:c r="F299" s="34" t="n">
        <x:v>77.78</x:v>
      </x:c>
    </x:row>
    <x:row r="300" ht="42" customHeight="1">
      <x:c r="A300" s="14" t="str">
        <x:v>https://kozhaclinic.ru/lazernaya-kosmetologiya/lazernaya-epilyaciya/</x:v>
      </x:c>
      <x:c r="B300" s="14" t="str">
        <x:v>лазерная эпиляция лица цена</x:v>
      </x:c>
      <x:c r="C300" s="31" t="n">
        <x:v>0</x:v>
      </x:c>
      <x:c r="D300" s="31" t="n">
        <x:v>7</x:v>
      </x:c>
      <x:c r="E300" s="33" t="n">
        <x:f>IF(D300&gt;0,C300/D300,"")</x:f>
        <x:v>0</x:v>
      </x:c>
      <x:c r="F300" s="35" t="n">
        <x:v>3.43</x:v>
      </x:c>
    </x:row>
    <x:row r="301" ht="42" customHeight="1">
      <x:c r="A301" s="12" t="str">
        <x:v>https://kozhaclinic.ru/lazernaya-kosmetologiya/lazernaya-epilyaciya/</x:v>
      </x:c>
      <x:c r="B301" s="12" t="str">
        <x:v>лазерная эпиляция бикини цена</x:v>
      </x:c>
      <x:c r="C301" s="30" t="n">
        <x:v>0</x:v>
      </x:c>
      <x:c r="D301" s="30" t="n">
        <x:v>7</x:v>
      </x:c>
      <x:c r="E301" s="32" t="n">
        <x:f>IF(D301&gt;0,C301/D301,"")</x:f>
        <x:v>0</x:v>
      </x:c>
      <x:c r="F301" s="34" t="n">
        <x:v>7.43</x:v>
      </x:c>
    </x:row>
    <x:row r="302" ht="42" customHeight="1">
      <x:c r="A302" s="14" t="str">
        <x:v>https://kozhaclinic.ru/lazernaya-kosmetologiya/lazernaya-epilyaciya/</x:v>
      </x:c>
      <x:c r="B302" s="14" t="str">
        <x:v>сколько стоит лазерная эпиляция</x:v>
      </x:c>
      <x:c r="C302" s="31" t="n">
        <x:v>0</x:v>
      </x:c>
      <x:c r="D302" s="31" t="n">
        <x:v>7</x:v>
      </x:c>
      <x:c r="E302" s="33" t="n">
        <x:f>IF(D302&gt;0,C302/D302,"")</x:f>
        <x:v>0</x:v>
      </x:c>
      <x:c r="F302" s="35" t="n">
        <x:v>7.57</x:v>
      </x:c>
    </x:row>
    <x:row r="303" ht="42" customHeight="1">
      <x:c r="A303" s="12" t="str">
        <x:v>https://kozhaclinic.ru/lazernaya-kosmetologiya/lazernaya-epilyaciya/</x:v>
      </x:c>
      <x:c r="B303" s="12" t="str">
        <x:v>лазерная эпиляция сургут цены</x:v>
      </x:c>
      <x:c r="C303" s="30" t="n">
        <x:v>0</x:v>
      </x:c>
      <x:c r="D303" s="30" t="n">
        <x:v>7</x:v>
      </x:c>
      <x:c r="E303" s="32" t="n">
        <x:f>IF(D303&gt;0,C303/D303,"")</x:f>
        <x:v>0</x:v>
      </x:c>
      <x:c r="F303" s="34" t="n">
        <x:v>9.86</x:v>
      </x:c>
    </x:row>
    <x:row r="304" ht="42" customHeight="1">
      <x:c r="A304" s="14" t="str">
        <x:v>https://kozhaclinic.ru/lazernaya-kosmetologiya/lazernaya-epilyaciya/</x:v>
      </x:c>
      <x:c r="B304" s="14" t="str">
        <x:v>клиника эпиляции</x:v>
      </x:c>
      <x:c r="C304" s="31" t="n">
        <x:v>0</x:v>
      </x:c>
      <x:c r="D304" s="31" t="n">
        <x:v>7</x:v>
      </x:c>
      <x:c r="E304" s="33" t="n">
        <x:f>IF(D304&gt;0,C304/D304,"")</x:f>
        <x:v>0</x:v>
      </x:c>
      <x:c r="F304" s="35" t="n">
        <x:v>16.29</x:v>
      </x:c>
    </x:row>
    <x:row r="305" ht="42" customHeight="1">
      <x:c r="A305" s="12" t="str">
        <x:v>https://kozhaclinic.ru/lazernaya-kosmetologiya/lazernaya-epilyaciya/</x:v>
      </x:c>
      <x:c r="B305" s="12" t="str">
        <x:v>лазерная эпиляция спины цена</x:v>
      </x:c>
      <x:c r="C305" s="30" t="n">
        <x:v>0</x:v>
      </x:c>
      <x:c r="D305" s="30" t="n">
        <x:v>6</x:v>
      </x:c>
      <x:c r="E305" s="32" t="n">
        <x:f>IF(D305&gt;0,C305/D305,"")</x:f>
        <x:v>0</x:v>
      </x:c>
      <x:c r="F305" s="34" t="n">
        <x:v>3</x:v>
      </x:c>
    </x:row>
    <x:row r="306" ht="42" customHeight="1">
      <x:c r="A306" s="14" t="str">
        <x:v>https://kozhaclinic.ru/lazernaya-kosmetologiya/lazernaya-epilyaciya/</x:v>
      </x:c>
      <x:c r="B306" s="14" t="str">
        <x:v>лазерная депиляция лица</x:v>
      </x:c>
      <x:c r="C306" s="31" t="n">
        <x:v>0</x:v>
      </x:c>
      <x:c r="D306" s="31" t="n">
        <x:v>6</x:v>
      </x:c>
      <x:c r="E306" s="33" t="n">
        <x:f>IF(D306&gt;0,C306/D306,"")</x:f>
        <x:v>0</x:v>
      </x:c>
      <x:c r="F306" s="35" t="n">
        <x:v>3.5</x:v>
      </x:c>
    </x:row>
    <x:row r="307" ht="42" customHeight="1">
      <x:c r="A307" s="12" t="str">
        <x:v>https://kozhaclinic.ru/lazernaya-kosmetologiya/lazernaya-epilyaciya/</x:v>
      </x:c>
      <x:c r="B307" s="12" t="str">
        <x:v>лазерная эпиляция груди цена</x:v>
      </x:c>
      <x:c r="C307" s="30" t="n">
        <x:v>0</x:v>
      </x:c>
      <x:c r="D307" s="30" t="n">
        <x:v>6</x:v>
      </x:c>
      <x:c r="E307" s="32" t="n">
        <x:f>IF(D307&gt;0,C307/D307,"")</x:f>
        <x:v>0</x:v>
      </x:c>
      <x:c r="F307" s="34" t="n">
        <x:v>42</x:v>
      </x:c>
    </x:row>
    <x:row r="308" ht="42" customHeight="1">
      <x:c r="A308" s="14" t="str">
        <x:v>https://kozhaclinic.ru/lazernaya-kosmetologiya/lazernaya-epilyaciya/</x:v>
      </x:c>
      <x:c r="B308" s="14" t="str">
        <x:v>лазерная эпиляция лица сургут</x:v>
      </x:c>
      <x:c r="C308" s="31" t="n">
        <x:v>0</x:v>
      </x:c>
      <x:c r="D308" s="31" t="n">
        <x:v>5</x:v>
      </x:c>
      <x:c r="E308" s="33" t="n">
        <x:f>IF(D308&gt;0,C308/D308,"")</x:f>
        <x:v>0</x:v>
      </x:c>
      <x:c r="F308" s="35" t="n">
        <x:v>3.4</x:v>
      </x:c>
    </x:row>
    <x:row r="309" ht="42" customHeight="1">
      <x:c r="A309" s="12" t="str">
        <x:v>https://kozhaclinic.ru/lazernaya-kosmetologiya/lazernaya-epilyaciya/</x:v>
      </x:c>
      <x:c r="B309" s="12" t="str">
        <x:v>эпиляция лица</x:v>
      </x:c>
      <x:c r="C309" s="30" t="n">
        <x:v>0</x:v>
      </x:c>
      <x:c r="D309" s="30" t="n">
        <x:v>5</x:v>
      </x:c>
      <x:c r="E309" s="32" t="n">
        <x:f>IF(D309&gt;0,C309/D309,"")</x:f>
        <x:v>0</x:v>
      </x:c>
      <x:c r="F309" s="34" t="n">
        <x:v>3.4</x:v>
      </x:c>
    </x:row>
    <x:row r="310" ht="42" customHeight="1">
      <x:c r="A310" s="14" t="str">
        <x:v>https://kozhaclinic.ru/lazernaya-kosmetologiya/lazernaya-epilyaciya/</x:v>
      </x:c>
      <x:c r="B310" s="14" t="str">
        <x:v>эпиляция волос на лице</x:v>
      </x:c>
      <x:c r="C310" s="31" t="n">
        <x:v>0</x:v>
      </x:c>
      <x:c r="D310" s="31" t="n">
        <x:v>5</x:v>
      </x:c>
      <x:c r="E310" s="33" t="n">
        <x:f>IF(D310&gt;0,C310/D310,"")</x:f>
        <x:v>0</x:v>
      </x:c>
      <x:c r="F310" s="35" t="n">
        <x:v>3.6</x:v>
      </x:c>
    </x:row>
    <x:row r="311" ht="42" customHeight="1">
      <x:c r="A311" s="12" t="str">
        <x:v>https://kozhaclinic.ru/lazernaya-kosmetologiya/lazernaya-epilyaciya/</x:v>
      </x:c>
      <x:c r="B311" s="12" t="str">
        <x:v>эпиляция спины цена</x:v>
      </x:c>
      <x:c r="C311" s="30" t="n">
        <x:v>0</x:v>
      </x:c>
      <x:c r="D311" s="30" t="n">
        <x:v>5</x:v>
      </x:c>
      <x:c r="E311" s="32" t="n">
        <x:f>IF(D311&gt;0,C311/D311,"")</x:f>
        <x:v>0</x:v>
      </x:c>
      <x:c r="F311" s="34" t="n">
        <x:v>5.6</x:v>
      </x:c>
    </x:row>
    <x:row r="312" ht="42" customHeight="1">
      <x:c r="A312" s="14" t="str">
        <x:v>https://kozhaclinic.ru/lazernaya-kosmetologiya/lazernaya-epilyaciya/</x:v>
      </x:c>
      <x:c r="B312" s="14" t="str">
        <x:v>студия лазерной эпиляции</x:v>
      </x:c>
      <x:c r="C312" s="31" t="n">
        <x:v>0</x:v>
      </x:c>
      <x:c r="D312" s="31" t="n">
        <x:v>5</x:v>
      </x:c>
      <x:c r="E312" s="33" t="n">
        <x:f>IF(D312&gt;0,C312/D312,"")</x:f>
        <x:v>0</x:v>
      </x:c>
      <x:c r="F312" s="35" t="n">
        <x:v>8.4</x:v>
      </x:c>
    </x:row>
    <x:row r="313" ht="42" customHeight="1">
      <x:c r="A313" s="12" t="str">
        <x:v>https://kozhaclinic.ru/lazernaya-kosmetologiya/lazernaya-epilyaciya/</x:v>
      </x:c>
      <x:c r="B313" s="12" t="str">
        <x:v>лазерная эпиляция для женщин сколько стоит</x:v>
      </x:c>
      <x:c r="C313" s="30" t="n">
        <x:v>0</x:v>
      </x:c>
      <x:c r="D313" s="30" t="n">
        <x:v>5</x:v>
      </x:c>
      <x:c r="E313" s="32" t="n">
        <x:f>IF(D313&gt;0,C313/D313,"")</x:f>
        <x:v>0</x:v>
      </x:c>
      <x:c r="F313" s="34" t="n">
        <x:v>9.8</x:v>
      </x:c>
    </x:row>
    <x:row r="314" ht="42" customHeight="1">
      <x:c r="A314" s="14" t="str">
        <x:v>https://kozhaclinic.ru/lazernaya-kosmetologiya/lazernaya-epilyaciya/</x:v>
      </x:c>
      <x:c r="B314" s="14" t="str">
        <x:v>женская лазерная эпиляция сургут</x:v>
      </x:c>
      <x:c r="C314" s="31" t="n">
        <x:v>0</x:v>
      </x:c>
      <x:c r="D314" s="31" t="n">
        <x:v>5</x:v>
      </x:c>
      <x:c r="E314" s="33" t="n">
        <x:f>IF(D314&gt;0,C314/D314,"")</x:f>
        <x:v>0</x:v>
      </x:c>
      <x:c r="F314" s="35" t="n">
        <x:v>11.6</x:v>
      </x:c>
    </x:row>
    <x:row r="315" ht="42" customHeight="1">
      <x:c r="A315" s="12" t="str">
        <x:v>https://kozhaclinic.ru/lazernaya-kosmetologiya/lazernaya-epilyaciya/</x:v>
      </x:c>
      <x:c r="B315" s="12" t="str">
        <x:v>лазерная эпиляция глубокое бикини сургут</x:v>
      </x:c>
      <x:c r="C315" s="30" t="n">
        <x:v>0</x:v>
      </x:c>
      <x:c r="D315" s="30" t="n">
        <x:v>5</x:v>
      </x:c>
      <x:c r="E315" s="32" t="n">
        <x:f>IF(D315&gt;0,C315/D315,"")</x:f>
        <x:v>0</x:v>
      </x:c>
      <x:c r="F315" s="34" t="n">
        <x:v>13</x:v>
      </x:c>
    </x:row>
    <x:row r="316" ht="42" customHeight="1">
      <x:c r="A316" s="14" t="str">
        <x:v>https://kozhaclinic.ru/lazernaya-kosmetologiya/lazernaya-epilyaciya/</x:v>
      </x:c>
      <x:c r="B316" s="14" t="str">
        <x:v>лазерная эпиляция стоимость курса</x:v>
      </x:c>
      <x:c r="C316" s="31" t="n">
        <x:v>0</x:v>
      </x:c>
      <x:c r="D316" s="31" t="n">
        <x:v>5</x:v>
      </x:c>
      <x:c r="E316" s="33" t="n">
        <x:f>IF(D316&gt;0,C316/D316,"")</x:f>
        <x:v>0</x:v>
      </x:c>
      <x:c r="F316" s="35" t="n">
        <x:v>74.4</x:v>
      </x:c>
    </x:row>
    <x:row r="317" ht="42" customHeight="1">
      <x:c r="A317" s="12" t="str">
        <x:v>https://kozhaclinic.ru/lazernaya-kosmetologiya/lazernaya-epilyaciya/</x:v>
      </x:c>
      <x:c r="B317" s="12" t="str">
        <x:v>удаление волос лазером цена</x:v>
      </x:c>
      <x:c r="C317" s="30" t="n">
        <x:v>0</x:v>
      </x:c>
      <x:c r="D317" s="30" t="n">
        <x:v>5</x:v>
      </x:c>
      <x:c r="E317" s="32" t="n">
        <x:f>IF(D317&gt;0,C317/D317,"")</x:f>
        <x:v>0</x:v>
      </x:c>
      <x:c r="F317" s="34" t="n">
        <x:v>80.8</x:v>
      </x:c>
    </x:row>
    <x:row r="318" ht="42" customHeight="1">
      <x:c r="A318" s="14" t="str">
        <x:v>https://kozhaclinic.ru/lazernaya-kosmetologiya/lazernaya-epilyaciya/</x:v>
      </x:c>
      <x:c r="B318" s="14" t="str">
        <x:v>лазерная эпиляция кожа</x:v>
      </x:c>
      <x:c r="C318" s="31" t="n">
        <x:v>0</x:v>
      </x:c>
      <x:c r="D318" s="31" t="n">
        <x:v>4</x:v>
      </x:c>
      <x:c r="E318" s="33" t="n">
        <x:f>IF(D318&gt;0,C318/D318,"")</x:f>
        <x:v>0</x:v>
      </x:c>
      <x:c r="F318" s="35" t="n">
        <x:v>1.75</x:v>
      </x:c>
    </x:row>
    <x:row r="319" ht="42" customHeight="1">
      <x:c r="A319" s="12" t="str">
        <x:v>https://kozhaclinic.ru/lazernaya-kosmetologiya/lazernaya-epilyaciya/</x:v>
      </x:c>
      <x:c r="B319" s="12" t="str">
        <x:v>сколько стоит лазерная депиляция ног</x:v>
      </x:c>
      <x:c r="C319" s="30" t="n">
        <x:v>0</x:v>
      </x:c>
      <x:c r="D319" s="30" t="n">
        <x:v>4</x:v>
      </x:c>
      <x:c r="E319" s="32" t="n">
        <x:f>IF(D319&gt;0,C319/D319,"")</x:f>
        <x:v>0</x:v>
      </x:c>
      <x:c r="F319" s="34" t="n">
        <x:v>2</x:v>
      </x:c>
    </x:row>
    <x:row r="320" ht="42" customHeight="1">
      <x:c r="A320" s="14" t="str">
        <x:v>https://kozhaclinic.ru/lazernaya-kosmetologiya/lazernaya-epilyaciya/</x:v>
      </x:c>
      <x:c r="B320" s="14" t="str">
        <x:v>эпиляция ног лазером цена</x:v>
      </x:c>
      <x:c r="C320" s="31" t="n">
        <x:v>0</x:v>
      </x:c>
      <x:c r="D320" s="31" t="n">
        <x:v>4</x:v>
      </x:c>
      <x:c r="E320" s="33" t="n">
        <x:f>IF(D320&gt;0,C320/D320,"")</x:f>
        <x:v>0</x:v>
      </x:c>
      <x:c r="F320" s="35" t="n">
        <x:v>2</x:v>
      </x:c>
    </x:row>
    <x:row r="321" ht="42" customHeight="1">
      <x:c r="A321" s="12" t="str">
        <x:v>https://kozhaclinic.ru/lazernaya-kosmetologiya/lazernaya-epilyaciya/</x:v>
      </x:c>
      <x:c r="B321" s="12" t="str">
        <x:v>удаление волос на лице лазером</x:v>
      </x:c>
      <x:c r="C321" s="30" t="n">
        <x:v>0</x:v>
      </x:c>
      <x:c r="D321" s="30" t="n">
        <x:v>4</x:v>
      </x:c>
      <x:c r="E321" s="32" t="n">
        <x:f>IF(D321&gt;0,C321/D321,"")</x:f>
        <x:v>0</x:v>
      </x:c>
      <x:c r="F321" s="34" t="n">
        <x:v>2.25</x:v>
      </x:c>
    </x:row>
    <x:row r="322" ht="42" customHeight="1">
      <x:c r="A322" s="14" t="str">
        <x:v>https://kozhaclinic.ru/lazernaya-kosmetologiya/lazernaya-epilyaciya/</x:v>
      </x:c>
      <x:c r="B322" s="14" t="str">
        <x:v>лазерная эпиляция ног цена</x:v>
      </x:c>
      <x:c r="C322" s="31" t="n">
        <x:v>0</x:v>
      </x:c>
      <x:c r="D322" s="31" t="n">
        <x:v>4</x:v>
      </x:c>
      <x:c r="E322" s="33" t="n">
        <x:f>IF(D322&gt;0,C322/D322,"")</x:f>
        <x:v>0</x:v>
      </x:c>
      <x:c r="F322" s="35" t="n">
        <x:v>2.5</x:v>
      </x:c>
    </x:row>
    <x:row r="323" ht="42" customHeight="1">
      <x:c r="A323" s="12" t="str">
        <x:v>https://kozhaclinic.ru/lazernaya-kosmetologiya/lazernaya-epilyaciya/</x:v>
      </x:c>
      <x:c r="B323" s="12" t="str">
        <x:v>сколько стоит лазерная эпиляция ног</x:v>
      </x:c>
      <x:c r="C323" s="30" t="n">
        <x:v>0</x:v>
      </x:c>
      <x:c r="D323" s="30" t="n">
        <x:v>4</x:v>
      </x:c>
      <x:c r="E323" s="32" t="n">
        <x:f>IF(D323&gt;0,C323/D323,"")</x:f>
        <x:v>0</x:v>
      </x:c>
      <x:c r="F323" s="34" t="n">
        <x:v>2.5</x:v>
      </x:c>
    </x:row>
    <x:row r="324" ht="42" customHeight="1">
      <x:c r="A324" s="14" t="str">
        <x:v>https://kozhaclinic.ru/lazernaya-kosmetologiya/lazernaya-epilyaciya/</x:v>
      </x:c>
      <x:c r="B324" s="14" t="str">
        <x:v>эпиляция ног стоимость</x:v>
      </x:c>
      <x:c r="C324" s="31" t="n">
        <x:v>0</x:v>
      </x:c>
      <x:c r="D324" s="31" t="n">
        <x:v>4</x:v>
      </x:c>
      <x:c r="E324" s="33" t="n">
        <x:f>IF(D324&gt;0,C324/D324,"")</x:f>
        <x:v>0</x:v>
      </x:c>
      <x:c r="F324" s="35" t="n">
        <x:v>2.5</x:v>
      </x:c>
    </x:row>
    <x:row r="325" ht="42" customHeight="1">
      <x:c r="A325" s="12" t="str">
        <x:v>https://kozhaclinic.ru/lazernaya-kosmetologiya/lazernaya-epilyaciya/</x:v>
      </x:c>
      <x:c r="B325" s="12" t="str">
        <x:v>лазерная эпиляция кожи лица</x:v>
      </x:c>
      <x:c r="C325" s="30" t="n">
        <x:v>0</x:v>
      </x:c>
      <x:c r="D325" s="30" t="n">
        <x:v>4</x:v>
      </x:c>
      <x:c r="E325" s="32" t="n">
        <x:f>IF(D325&gt;0,C325/D325,"")</x:f>
        <x:v>0</x:v>
      </x:c>
      <x:c r="F325" s="34" t="n">
        <x:v>2.75</x:v>
      </x:c>
    </x:row>
    <x:row r="326" ht="42" customHeight="1">
      <x:c r="A326" s="14" t="str">
        <x:v>https://kozhaclinic.ru/lazernaya-kosmetologiya/lazernaya-epilyaciya/</x:v>
      </x:c>
      <x:c r="B326" s="14" t="str">
        <x:v>стоимость лазерной эпиляции ног</x:v>
      </x:c>
      <x:c r="C326" s="31" t="n">
        <x:v>0</x:v>
      </x:c>
      <x:c r="D326" s="31" t="n">
        <x:v>4</x:v>
      </x:c>
      <x:c r="E326" s="33" t="n">
        <x:f>IF(D326&gt;0,C326/D326,"")</x:f>
        <x:v>0</x:v>
      </x:c>
      <x:c r="F326" s="35" t="n">
        <x:v>2.75</x:v>
      </x:c>
    </x:row>
    <x:row r="327" ht="42" customHeight="1">
      <x:c r="A327" s="12" t="str">
        <x:v>https://kozhaclinic.ru/lazernaya-kosmetologiya/lazernaya-epilyaciya/</x:v>
      </x:c>
      <x:c r="B327" s="12" t="str">
        <x:v>эпиляция волос на лице у женщин лазерная</x:v>
      </x:c>
      <x:c r="C327" s="30" t="n">
        <x:v>0</x:v>
      </x:c>
      <x:c r="D327" s="30" t="n">
        <x:v>4</x:v>
      </x:c>
      <x:c r="E327" s="32" t="n">
        <x:f>IF(D327&gt;0,C327/D327,"")</x:f>
        <x:v>0</x:v>
      </x:c>
      <x:c r="F327" s="34" t="n">
        <x:v>2.75</x:v>
      </x:c>
    </x:row>
    <x:row r="328" ht="42" customHeight="1">
      <x:c r="A328" s="14" t="str">
        <x:v>https://kozhaclinic.ru/lazernaya-kosmetologiya/lazernaya-epilyaciya/</x:v>
      </x:c>
      <x:c r="B328" s="14" t="str">
        <x:v>лазер эпиляция лицо</x:v>
      </x:c>
      <x:c r="C328" s="31" t="n">
        <x:v>0</x:v>
      </x:c>
      <x:c r="D328" s="31" t="n">
        <x:v>4</x:v>
      </x:c>
      <x:c r="E328" s="33" t="n">
        <x:f>IF(D328&gt;0,C328/D328,"")</x:f>
        <x:v>0</x:v>
      </x:c>
      <x:c r="F328" s="35" t="n">
        <x:v>3</x:v>
      </x:c>
    </x:row>
    <x:row r="329" ht="42" customHeight="1">
      <x:c r="A329" s="12" t="str">
        <x:v>https://kozhaclinic.ru/lazernaya-kosmetologiya/lazernaya-epilyaciya/</x:v>
      </x:c>
      <x:c r="B329" s="12" t="str">
        <x:v>лазерная депиляция лица для женщин</x:v>
      </x:c>
      <x:c r="C329" s="30" t="n">
        <x:v>0</x:v>
      </x:c>
      <x:c r="D329" s="30" t="n">
        <x:v>4</x:v>
      </x:c>
      <x:c r="E329" s="32" t="n">
        <x:f>IF(D329&gt;0,C329/D329,"")</x:f>
        <x:v>0</x:v>
      </x:c>
      <x:c r="F329" s="34" t="n">
        <x:v>3</x:v>
      </x:c>
    </x:row>
    <x:row r="330" ht="42" customHeight="1">
      <x:c r="A330" s="14" t="str">
        <x:v>https://kozhaclinic.ru/lazernaya-kosmetologiya/lazernaya-epilyaciya/</x:v>
      </x:c>
      <x:c r="B330" s="14" t="str">
        <x:v>лазерная эпиляция лица для женщин</x:v>
      </x:c>
      <x:c r="C330" s="31" t="n">
        <x:v>0</x:v>
      </x:c>
      <x:c r="D330" s="31" t="n">
        <x:v>4</x:v>
      </x:c>
      <x:c r="E330" s="33" t="n">
        <x:f>IF(D330&gt;0,C330/D330,"")</x:f>
        <x:v>0</x:v>
      </x:c>
      <x:c r="F330" s="35" t="n">
        <x:v>3</x:v>
      </x:c>
    </x:row>
    <x:row r="331" ht="42" customHeight="1">
      <x:c r="A331" s="12" t="str">
        <x:v>https://kozhaclinic.ru/lazernaya-kosmetologiya/lazernaya-epilyaciya/</x:v>
      </x:c>
      <x:c r="B331" s="12" t="str">
        <x:v>эпиляция лица цены</x:v>
      </x:c>
      <x:c r="C331" s="30" t="n">
        <x:v>0</x:v>
      </x:c>
      <x:c r="D331" s="30" t="n">
        <x:v>4</x:v>
      </x:c>
      <x:c r="E331" s="32" t="n">
        <x:f>IF(D331&gt;0,C331/D331,"")</x:f>
        <x:v>0</x:v>
      </x:c>
      <x:c r="F331" s="34" t="n">
        <x:v>3</x:v>
      </x:c>
    </x:row>
    <x:row r="332" ht="42" customHeight="1">
      <x:c r="A332" s="14" t="str">
        <x:v>https://kozhaclinic.ru/lazernaya-kosmetologiya/lazernaya-epilyaciya/</x:v>
      </x:c>
      <x:c r="B332" s="14" t="str">
        <x:v>эпиляция лицо удаление волос лазерная эпиляция</x:v>
      </x:c>
      <x:c r="C332" s="31" t="n">
        <x:v>0</x:v>
      </x:c>
      <x:c r="D332" s="31" t="n">
        <x:v>4</x:v>
      </x:c>
      <x:c r="E332" s="33" t="n">
        <x:f>IF(D332&gt;0,C332/D332,"")</x:f>
        <x:v>0</x:v>
      </x:c>
      <x:c r="F332" s="35" t="n">
        <x:v>3</x:v>
      </x:c>
    </x:row>
    <x:row r="333" ht="42" customHeight="1">
      <x:c r="A333" s="12" t="str">
        <x:v>https://kozhaclinic.ru/lazernaya-kosmetologiya/lazernaya-epilyaciya/</x:v>
      </x:c>
      <x:c r="B333" s="12" t="str">
        <x:v>сделать лазерную эпиляцию лица</x:v>
      </x:c>
      <x:c r="C333" s="30" t="n">
        <x:v>0</x:v>
      </x:c>
      <x:c r="D333" s="30" t="n">
        <x:v>4</x:v>
      </x:c>
      <x:c r="E333" s="32" t="n">
        <x:f>IF(D333&gt;0,C333/D333,"")</x:f>
        <x:v>0</x:v>
      </x:c>
      <x:c r="F333" s="34" t="n">
        <x:v>3.25</x:v>
      </x:c>
    </x:row>
    <x:row r="334" ht="42" customHeight="1">
      <x:c r="A334" s="14" t="str">
        <x:v>https://kozhaclinic.ru/lazernaya-kosmetologiya/lazernaya-epilyaciya/</x:v>
      </x:c>
      <x:c r="B334" s="14" t="str">
        <x:v>сколько стоит лазерная эпиляция ног полностью</x:v>
      </x:c>
      <x:c r="C334" s="31" t="n">
        <x:v>0</x:v>
      </x:c>
      <x:c r="D334" s="31" t="n">
        <x:v>4</x:v>
      </x:c>
      <x:c r="E334" s="33" t="n">
        <x:f>IF(D334&gt;0,C334/D334,"")</x:f>
        <x:v>0</x:v>
      </x:c>
      <x:c r="F334" s="35" t="n">
        <x:v>3.25</x:v>
      </x:c>
    </x:row>
    <x:row r="335" ht="42" customHeight="1">
      <x:c r="A335" s="12" t="str">
        <x:v>https://kozhaclinic.ru/lazernaya-kosmetologiya/lazernaya-epilyaciya/</x:v>
      </x:c>
      <x:c r="B335" s="12" t="str">
        <x:v>эпиляция зоны лица</x:v>
      </x:c>
      <x:c r="C335" s="30" t="n">
        <x:v>0</x:v>
      </x:c>
      <x:c r="D335" s="30" t="n">
        <x:v>4</x:v>
      </x:c>
      <x:c r="E335" s="32" t="n">
        <x:f>IF(D335&gt;0,C335/D335,"")</x:f>
        <x:v>0</x:v>
      </x:c>
      <x:c r="F335" s="34" t="n">
        <x:v>3.25</x:v>
      </x:c>
    </x:row>
    <x:row r="336" ht="42" customHeight="1">
      <x:c r="A336" s="14" t="str">
        <x:v>https://kozhaclinic.ru/lazernaya-kosmetologiya/lazernaya-epilyaciya/</x:v>
      </x:c>
      <x:c r="B336" s="14" t="str">
        <x:v>эпиляция лица для женщин лазером</x:v>
      </x:c>
      <x:c r="C336" s="31" t="n">
        <x:v>0</x:v>
      </x:c>
      <x:c r="D336" s="31" t="n">
        <x:v>4</x:v>
      </x:c>
      <x:c r="E336" s="33" t="n">
        <x:f>IF(D336&gt;0,C336/D336,"")</x:f>
        <x:v>0</x:v>
      </x:c>
      <x:c r="F336" s="35" t="n">
        <x:v>3.25</x:v>
      </x:c>
    </x:row>
    <x:row r="337" ht="42" customHeight="1">
      <x:c r="A337" s="12" t="str">
        <x:v>https://kozhaclinic.ru/lazernaya-kosmetologiya/lazernaya-epilyaciya/</x:v>
      </x:c>
      <x:c r="B337" s="12" t="str">
        <x:v>лазерная эпиляция бровей цена</x:v>
      </x:c>
      <x:c r="C337" s="30" t="n">
        <x:v>0</x:v>
      </x:c>
      <x:c r="D337" s="30" t="n">
        <x:v>4</x:v>
      </x:c>
      <x:c r="E337" s="32" t="n">
        <x:f>IF(D337&gt;0,C337/D337,"")</x:f>
        <x:v>0</x:v>
      </x:c>
      <x:c r="F337" s="34" t="n">
        <x:v>3.5</x:v>
      </x:c>
    </x:row>
    <x:row r="338" ht="42" customHeight="1">
      <x:c r="A338" s="14" t="str">
        <x:v>https://kozhaclinic.ru/lazernaya-kosmetologiya/lazernaya-epilyaciya/</x:v>
      </x:c>
      <x:c r="B338" s="14" t="str">
        <x:v>сколько стоит лазерная депиляция лица</x:v>
      </x:c>
      <x:c r="C338" s="31" t="n">
        <x:v>0</x:v>
      </x:c>
      <x:c r="D338" s="31" t="n">
        <x:v>4</x:v>
      </x:c>
      <x:c r="E338" s="33" t="n">
        <x:f>IF(D338&gt;0,C338/D338,"")</x:f>
        <x:v>0</x:v>
      </x:c>
      <x:c r="F338" s="35" t="n">
        <x:v>3.5</x:v>
      </x:c>
    </x:row>
    <x:row r="339" ht="42" customHeight="1">
      <x:c r="A339" s="12" t="str">
        <x:v>https://kozhaclinic.ru/lazernaya-kosmetologiya/lazernaya-epilyaciya/</x:v>
      </x:c>
      <x:c r="B339" s="12" t="str">
        <x:v>сколько стоит лазерная эпиляция спины</x:v>
      </x:c>
      <x:c r="C339" s="30" t="n">
        <x:v>0</x:v>
      </x:c>
      <x:c r="D339" s="30" t="n">
        <x:v>4</x:v>
      </x:c>
      <x:c r="E339" s="32" t="n">
        <x:f>IF(D339&gt;0,C339/D339,"")</x:f>
        <x:v>0</x:v>
      </x:c>
      <x:c r="F339" s="34" t="n">
        <x:v>3.5</x:v>
      </x:c>
    </x:row>
    <x:row r="340" ht="42" customHeight="1">
      <x:c r="A340" s="14" t="str">
        <x:v>https://kozhaclinic.ru/lazernaya-kosmetologiya/lazernaya-epilyaciya/</x:v>
      </x:c>
      <x:c r="B340" s="14" t="str">
        <x:v>удаление лазером волос на лице у женщин</x:v>
      </x:c>
      <x:c r="C340" s="31" t="n">
        <x:v>0</x:v>
      </x:c>
      <x:c r="D340" s="31" t="n">
        <x:v>4</x:v>
      </x:c>
      <x:c r="E340" s="33" t="n">
        <x:f>IF(D340&gt;0,C340/D340,"")</x:f>
        <x:v>0</x:v>
      </x:c>
      <x:c r="F340" s="35" t="n">
        <x:v>3.5</x:v>
      </x:c>
    </x:row>
    <x:row r="341" ht="42" customHeight="1">
      <x:c r="A341" s="12" t="str">
        <x:v>https://kozhaclinic.ru/lazernaya-kosmetologiya/lazernaya-epilyaciya/</x:v>
      </x:c>
      <x:c r="B341" s="12" t="str">
        <x:v>эпиляция кожи лица</x:v>
      </x:c>
      <x:c r="C341" s="30" t="n">
        <x:v>0</x:v>
      </x:c>
      <x:c r="D341" s="30" t="n">
        <x:v>4</x:v>
      </x:c>
      <x:c r="E341" s="32" t="n">
        <x:f>IF(D341&gt;0,C341/D341,"")</x:f>
        <x:v>0</x:v>
      </x:c>
      <x:c r="F341" s="34" t="n">
        <x:v>3.5</x:v>
      </x:c>
    </x:row>
    <x:row r="342" ht="42" customHeight="1">
      <x:c r="A342" s="14" t="str">
        <x:v>https://kozhaclinic.ru/lazernaya-kosmetologiya/lazernaya-epilyaciya/</x:v>
      </x:c>
      <x:c r="B342" s="14" t="str">
        <x:v>эпиляция лица для женщин</x:v>
      </x:c>
      <x:c r="C342" s="31" t="n">
        <x:v>0</x:v>
      </x:c>
      <x:c r="D342" s="31" t="n">
        <x:v>4</x:v>
      </x:c>
      <x:c r="E342" s="33" t="n">
        <x:f>IF(D342&gt;0,C342/D342,"")</x:f>
        <x:v>0</x:v>
      </x:c>
      <x:c r="F342" s="35" t="n">
        <x:v>3.5</x:v>
      </x:c>
    </x:row>
    <x:row r="343" ht="42" customHeight="1">
      <x:c r="A343" s="12" t="str">
        <x:v>https://kozhaclinic.ru/lazernaya-kosmetologiya/lazernaya-epilyaciya/</x:v>
      </x:c>
      <x:c r="B343" s="12" t="str">
        <x:v>эпиляция лица стоимость</x:v>
      </x:c>
      <x:c r="C343" s="30" t="n">
        <x:v>0</x:v>
      </x:c>
      <x:c r="D343" s="30" t="n">
        <x:v>4</x:v>
      </x:c>
      <x:c r="E343" s="32" t="n">
        <x:f>IF(D343&gt;0,C343/D343,"")</x:f>
        <x:v>0</x:v>
      </x:c>
      <x:c r="F343" s="34" t="n">
        <x:v>3.5</x:v>
      </x:c>
    </x:row>
    <x:row r="344" ht="42" customHeight="1">
      <x:c r="A344" s="14" t="str">
        <x:v>https://kozhaclinic.ru/lazernaya-kosmetologiya/lazernaya-epilyaciya/</x:v>
      </x:c>
      <x:c r="B344" s="14" t="str">
        <x:v>лазерная эпиляция подбородка у женщин цена</x:v>
      </x:c>
      <x:c r="C344" s="31" t="n">
        <x:v>0</x:v>
      </x:c>
      <x:c r="D344" s="31" t="n">
        <x:v>4</x:v>
      </x:c>
      <x:c r="E344" s="33" t="n">
        <x:f>IF(D344&gt;0,C344/D344,"")</x:f>
        <x:v>0</x:v>
      </x:c>
      <x:c r="F344" s="35" t="n">
        <x:v>3.75</x:v>
      </x:c>
    </x:row>
    <x:row r="345" ht="42" customHeight="1">
      <x:c r="A345" s="12" t="str">
        <x:v>https://kozhaclinic.ru/lazernaya-kosmetologiya/lazernaya-epilyaciya/</x:v>
      </x:c>
      <x:c r="B345" s="12" t="str">
        <x:v>сделать эпиляцию лица</x:v>
      </x:c>
      <x:c r="C345" s="30" t="n">
        <x:v>0</x:v>
      </x:c>
      <x:c r="D345" s="30" t="n">
        <x:v>4</x:v>
      </x:c>
      <x:c r="E345" s="32" t="n">
        <x:f>IF(D345&gt;0,C345/D345,"")</x:f>
        <x:v>0</x:v>
      </x:c>
      <x:c r="F345" s="34" t="n">
        <x:v>3.75</x:v>
      </x:c>
    </x:row>
    <x:row r="346" ht="42" customHeight="1">
      <x:c r="A346" s="14" t="str">
        <x:v>https://kozhaclinic.ru/lazernaya-kosmetologiya/lazernaya-epilyaciya/</x:v>
      </x:c>
      <x:c r="B346" s="14" t="str">
        <x:v>лазерная депиляция всего тела стоимость</x:v>
      </x:c>
      <x:c r="C346" s="31" t="n">
        <x:v>0</x:v>
      </x:c>
      <x:c r="D346" s="31" t="n">
        <x:v>4</x:v>
      </x:c>
      <x:c r="E346" s="33" t="n">
        <x:f>IF(D346&gt;0,C346/D346,"")</x:f>
        <x:v>0</x:v>
      </x:c>
      <x:c r="F346" s="35" t="n">
        <x:v>4</x:v>
      </x:c>
    </x:row>
    <x:row r="347" ht="42" customHeight="1">
      <x:c r="A347" s="12" t="str">
        <x:v>https://kozhaclinic.ru/lazernaya-kosmetologiya/lazernaya-epilyaciya/</x:v>
      </x:c>
      <x:c r="B347" s="12" t="str">
        <x:v>лазерная депиляция всего тела цена</x:v>
      </x:c>
      <x:c r="C347" s="30" t="n">
        <x:v>0</x:v>
      </x:c>
      <x:c r="D347" s="30" t="n">
        <x:v>4</x:v>
      </x:c>
      <x:c r="E347" s="32" t="n">
        <x:f>IF(D347&gt;0,C347/D347,"")</x:f>
        <x:v>0</x:v>
      </x:c>
      <x:c r="F347" s="34" t="n">
        <x:v>4</x:v>
      </x:c>
    </x:row>
    <x:row r="348" ht="42" customHeight="1">
      <x:c r="A348" s="14" t="str">
        <x:v>https://kozhaclinic.ru/lazernaya-kosmetologiya/lazernaya-epilyaciya/</x:v>
      </x:c>
      <x:c r="B348" s="14" t="str">
        <x:v>лазерная эпиляция всего тела цена</x:v>
      </x:c>
      <x:c r="C348" s="31" t="n">
        <x:v>0</x:v>
      </x:c>
      <x:c r="D348" s="31" t="n">
        <x:v>4</x:v>
      </x:c>
      <x:c r="E348" s="33" t="n">
        <x:f>IF(D348&gt;0,C348/D348,"")</x:f>
        <x:v>0</x:v>
      </x:c>
      <x:c r="F348" s="35" t="n">
        <x:v>4</x:v>
      </x:c>
    </x:row>
    <x:row r="349" ht="42" customHeight="1">
      <x:c r="A349" s="12" t="str">
        <x:v>https://kozhaclinic.ru/lazernaya-kosmetologiya/lazernaya-epilyaciya/</x:v>
      </x:c>
      <x:c r="B349" s="12" t="str">
        <x:v>лазерная эпиляция голени стоимость</x:v>
      </x:c>
      <x:c r="C349" s="30" t="n">
        <x:v>0</x:v>
      </x:c>
      <x:c r="D349" s="30" t="n">
        <x:v>4</x:v>
      </x:c>
      <x:c r="E349" s="32" t="n">
        <x:f>IF(D349&gt;0,C349/D349,"")</x:f>
        <x:v>0</x:v>
      </x:c>
      <x:c r="F349" s="34" t="n">
        <x:v>4</x:v>
      </x:c>
    </x:row>
    <x:row r="350" ht="42" customHeight="1">
      <x:c r="A350" s="14" t="str">
        <x:v>https://kozhaclinic.ru/lazernaya-kosmetologiya/lazernaya-epilyaciya/</x:v>
      </x:c>
      <x:c r="B350" s="14" t="str">
        <x:v>лазерная эпиляция лица</x:v>
      </x:c>
      <x:c r="C350" s="31" t="n">
        <x:v>0</x:v>
      </x:c>
      <x:c r="D350" s="31" t="n">
        <x:v>4</x:v>
      </x:c>
      <x:c r="E350" s="33" t="n">
        <x:f>IF(D350&gt;0,C350/D350,"")</x:f>
        <x:v>0</x:v>
      </x:c>
      <x:c r="F350" s="35" t="n">
        <x:v>4</x:v>
      </x:c>
    </x:row>
    <x:row r="351" ht="42" customHeight="1">
      <x:c r="A351" s="12" t="str">
        <x:v>https://kozhaclinic.ru/lazernaya-kosmetologiya/lazernaya-epilyaciya/</x:v>
      </x:c>
      <x:c r="B351" s="12" t="str">
        <x:v>лазерная эпиляция подбородка цены</x:v>
      </x:c>
      <x:c r="C351" s="30" t="n">
        <x:v>0</x:v>
      </x:c>
      <x:c r="D351" s="30" t="n">
        <x:v>4</x:v>
      </x:c>
      <x:c r="E351" s="32" t="n">
        <x:f>IF(D351&gt;0,C351/D351,"")</x:f>
        <x:v>0</x:v>
      </x:c>
      <x:c r="F351" s="34" t="n">
        <x:v>4</x:v>
      </x:c>
    </x:row>
    <x:row r="352" ht="42" customHeight="1">
      <x:c r="A352" s="14" t="str">
        <x:v>https://kozhaclinic.ru/lazernaya-kosmetologiya/lazernaya-epilyaciya/</x:v>
      </x:c>
      <x:c r="B352" s="14" t="str">
        <x:v>лазерная эпиляция рук цена</x:v>
      </x:c>
      <x:c r="C352" s="31" t="n">
        <x:v>0</x:v>
      </x:c>
      <x:c r="D352" s="31" t="n">
        <x:v>4</x:v>
      </x:c>
      <x:c r="E352" s="33" t="n">
        <x:f>IF(D352&gt;0,C352/D352,"")</x:f>
        <x:v>0</x:v>
      </x:c>
      <x:c r="F352" s="35" t="n">
        <x:v>4</x:v>
      </x:c>
    </x:row>
    <x:row r="353" ht="42" customHeight="1">
      <x:c r="A353" s="12" t="str">
        <x:v>https://kozhaclinic.ru/lazernaya-kosmetologiya/lazernaya-epilyaciya/</x:v>
      </x:c>
      <x:c r="B353" s="12" t="str">
        <x:v>эпиляция лазер лица</x:v>
      </x:c>
      <x:c r="C353" s="30" t="n">
        <x:v>0</x:v>
      </x:c>
      <x:c r="D353" s="30" t="n">
        <x:v>4</x:v>
      </x:c>
      <x:c r="E353" s="32" t="n">
        <x:f>IF(D353&gt;0,C353/D353,"")</x:f>
        <x:v>0</x:v>
      </x:c>
      <x:c r="F353" s="34" t="n">
        <x:v>4</x:v>
      </x:c>
    </x:row>
    <x:row r="354" ht="42" customHeight="1">
      <x:c r="A354" s="14" t="str">
        <x:v>https://kozhaclinic.ru/lazernaya-kosmetologiya/lazernaya-epilyaciya/</x:v>
      </x:c>
      <x:c r="B354" s="14" t="str">
        <x:v>эпиляция лица для женщин цена</x:v>
      </x:c>
      <x:c r="C354" s="31" t="n">
        <x:v>0</x:v>
      </x:c>
      <x:c r="D354" s="31" t="n">
        <x:v>4</x:v>
      </x:c>
      <x:c r="E354" s="33" t="n">
        <x:f>IF(D354&gt;0,C354/D354,"")</x:f>
        <x:v>0</x:v>
      </x:c>
      <x:c r="F354" s="35" t="n">
        <x:v>4</x:v>
      </x:c>
    </x:row>
    <x:row r="355" ht="42" customHeight="1">
      <x:c r="A355" s="12" t="str">
        <x:v>https://kozhaclinic.ru/lazernaya-kosmetologiya/lazernaya-epilyaciya/</x:v>
      </x:c>
      <x:c r="B355" s="12" t="str">
        <x:v>лазерная эпиляция бикини цена за одну процедуру</x:v>
      </x:c>
      <x:c r="C355" s="30" t="n">
        <x:v>0</x:v>
      </x:c>
      <x:c r="D355" s="30" t="n">
        <x:v>4</x:v>
      </x:c>
      <x:c r="E355" s="32" t="n">
        <x:f>IF(D355&gt;0,C355/D355,"")</x:f>
        <x:v>0</x:v>
      </x:c>
      <x:c r="F355" s="34" t="n">
        <x:v>4.25</x:v>
      </x:c>
    </x:row>
    <x:row r="356" ht="42" customHeight="1">
      <x:c r="A356" s="14" t="str">
        <x:v>https://kozhaclinic.ru/lazernaya-kosmetologiya/lazernaya-epilyaciya/</x:v>
      </x:c>
      <x:c r="B356" s="14" t="str">
        <x:v>лазерная эпиляция голени цена</x:v>
      </x:c>
      <x:c r="C356" s="31" t="n">
        <x:v>0</x:v>
      </x:c>
      <x:c r="D356" s="31" t="n">
        <x:v>4</x:v>
      </x:c>
      <x:c r="E356" s="33" t="n">
        <x:f>IF(D356&gt;0,C356/D356,"")</x:f>
        <x:v>0</x:v>
      </x:c>
      <x:c r="F356" s="35" t="n">
        <x:v>4.25</x:v>
      </x:c>
    </x:row>
    <x:row r="357" ht="42" customHeight="1">
      <x:c r="A357" s="12" t="str">
        <x:v>https://kozhaclinic.ru/lazernaya-kosmetologiya/lazernaya-epilyaciya/</x:v>
      </x:c>
      <x:c r="B357" s="12" t="str">
        <x:v>лазерная эпиляция ног стоимость</x:v>
      </x:c>
      <x:c r="C357" s="30" t="n">
        <x:v>0</x:v>
      </x:c>
      <x:c r="D357" s="30" t="n">
        <x:v>4</x:v>
      </x:c>
      <x:c r="E357" s="32" t="n">
        <x:f>IF(D357&gt;0,C357/D357,"")</x:f>
        <x:v>0</x:v>
      </x:c>
      <x:c r="F357" s="34" t="n">
        <x:v>4.25</x:v>
      </x:c>
    </x:row>
    <x:row r="358" ht="42" customHeight="1">
      <x:c r="A358" s="14" t="str">
        <x:v>https://kozhaclinic.ru/lazernaya-kosmetologiya/lazernaya-epilyaciya/</x:v>
      </x:c>
      <x:c r="B358" s="14" t="str">
        <x:v>сколько стоит лазерная эпиляция бороды</x:v>
      </x:c>
      <x:c r="C358" s="31" t="n">
        <x:v>0</x:v>
      </x:c>
      <x:c r="D358" s="31" t="n">
        <x:v>4</x:v>
      </x:c>
      <x:c r="E358" s="33" t="n">
        <x:f>IF(D358&gt;0,C358/D358,"")</x:f>
        <x:v>0</x:v>
      </x:c>
      <x:c r="F358" s="35" t="n">
        <x:v>4.25</x:v>
      </x:c>
    </x:row>
    <x:row r="359" ht="42" customHeight="1">
      <x:c r="A359" s="12" t="str">
        <x:v>https://kozhaclinic.ru/lazernaya-kosmetologiya/lazernaya-epilyaciya/</x:v>
      </x:c>
      <x:c r="B359" s="12" t="str">
        <x:v>сколько стоит лазерная эпиляция подмышек</x:v>
      </x:c>
      <x:c r="C359" s="30" t="n">
        <x:v>0</x:v>
      </x:c>
      <x:c r="D359" s="30" t="n">
        <x:v>4</x:v>
      </x:c>
      <x:c r="E359" s="32" t="n">
        <x:f>IF(D359&gt;0,C359/D359,"")</x:f>
        <x:v>0</x:v>
      </x:c>
      <x:c r="F359" s="34" t="n">
        <x:v>4.25</x:v>
      </x:c>
    </x:row>
    <x:row r="360" ht="42" customHeight="1">
      <x:c r="A360" s="14" t="str">
        <x:v>https://kozhaclinic.ru/lazernaya-kosmetologiya/lazernaya-epilyaciya/</x:v>
      </x:c>
      <x:c r="B360" s="14" t="str">
        <x:v>эпиляция всего тела цена для женщин</x:v>
      </x:c>
      <x:c r="C360" s="31" t="n">
        <x:v>0</x:v>
      </x:c>
      <x:c r="D360" s="31" t="n">
        <x:v>4</x:v>
      </x:c>
      <x:c r="E360" s="33" t="n">
        <x:f>IF(D360&gt;0,C360/D360,"")</x:f>
        <x:v>0</x:v>
      </x:c>
      <x:c r="F360" s="35" t="n">
        <x:v>4.25</x:v>
      </x:c>
    </x:row>
    <x:row r="361" ht="42" customHeight="1">
      <x:c r="A361" s="12" t="str">
        <x:v>https://kozhaclinic.ru/lazernaya-kosmetologiya/lazernaya-epilyaciya/</x:v>
      </x:c>
      <x:c r="B361" s="12" t="str">
        <x:v>лазерная эпиляции зоны лицо</x:v>
      </x:c>
      <x:c r="C361" s="30" t="n">
        <x:v>0</x:v>
      </x:c>
      <x:c r="D361" s="30" t="n">
        <x:v>4</x:v>
      </x:c>
      <x:c r="E361" s="32" t="n">
        <x:f>IF(D361&gt;0,C361/D361,"")</x:f>
        <x:v>0</x:v>
      </x:c>
      <x:c r="F361" s="34" t="n">
        <x:v>4.5</x:v>
      </x:c>
    </x:row>
    <x:row r="362" ht="42" customHeight="1">
      <x:c r="A362" s="14" t="str">
        <x:v>https://kozhaclinic.ru/lazernaya-kosmetologiya/lazernaya-epilyaciya/</x:v>
      </x:c>
      <x:c r="B362" s="14" t="str">
        <x:v>лазерная эпиляция волос</x:v>
      </x:c>
      <x:c r="C362" s="31" t="n">
        <x:v>0</x:v>
      </x:c>
      <x:c r="D362" s="31" t="n">
        <x:v>4</x:v>
      </x:c>
      <x:c r="E362" s="33" t="n">
        <x:f>IF(D362&gt;0,C362/D362,"")</x:f>
        <x:v>0</x:v>
      </x:c>
      <x:c r="F362" s="35" t="n">
        <x:v>4.5</x:v>
      </x:c>
    </x:row>
    <x:row r="363" ht="42" customHeight="1">
      <x:c r="A363" s="12" t="str">
        <x:v>https://kozhaclinic.ru/lazernaya-kosmetologiya/lazernaya-epilyaciya/</x:v>
      </x:c>
      <x:c r="B363" s="12" t="str">
        <x:v>лазерная эпиляция усов у женщин цена</x:v>
      </x:c>
      <x:c r="C363" s="30" t="n">
        <x:v>0</x:v>
      </x:c>
      <x:c r="D363" s="30" t="n">
        <x:v>4</x:v>
      </x:c>
      <x:c r="E363" s="32" t="n">
        <x:f>IF(D363&gt;0,C363/D363,"")</x:f>
        <x:v>0</x:v>
      </x:c>
      <x:c r="F363" s="34" t="n">
        <x:v>4.5</x:v>
      </x:c>
    </x:row>
    <x:row r="364" ht="42" customHeight="1">
      <x:c r="A364" s="14" t="str">
        <x:v>https://kozhaclinic.ru/lazernaya-kosmetologiya/lazernaya-epilyaciya/</x:v>
      </x:c>
      <x:c r="B364" s="14" t="str">
        <x:v>удаление волос на лице лазером цена</x:v>
      </x:c>
      <x:c r="C364" s="31" t="n">
        <x:v>0</x:v>
      </x:c>
      <x:c r="D364" s="31" t="n">
        <x:v>4</x:v>
      </x:c>
      <x:c r="E364" s="33" t="n">
        <x:f>IF(D364&gt;0,C364/D364,"")</x:f>
        <x:v>0</x:v>
      </x:c>
      <x:c r="F364" s="35" t="n">
        <x:v>4.5</x:v>
      </x:c>
    </x:row>
    <x:row r="365" ht="42" customHeight="1">
      <x:c r="A365" s="12" t="str">
        <x:v>https://kozhaclinic.ru/lazernaya-kosmetologiya/lazernaya-epilyaciya/</x:v>
      </x:c>
      <x:c r="B365" s="12" t="str">
        <x:v>эпиляция ноги цена</x:v>
      </x:c>
      <x:c r="C365" s="30" t="n">
        <x:v>0</x:v>
      </x:c>
      <x:c r="D365" s="30" t="n">
        <x:v>4</x:v>
      </x:c>
      <x:c r="E365" s="32" t="n">
        <x:f>IF(D365&gt;0,C365/D365,"")</x:f>
        <x:v>0</x:v>
      </x:c>
      <x:c r="F365" s="34" t="n">
        <x:v>4.5</x:v>
      </x:c>
    </x:row>
    <x:row r="366" ht="42" customHeight="1">
      <x:c r="A366" s="14" t="str">
        <x:v>https://kozhaclinic.ru/lazernaya-kosmetologiya/lazernaya-epilyaciya/</x:v>
      </x:c>
      <x:c r="B366" s="14" t="str">
        <x:v>клиника лазерной эпиляции</x:v>
      </x:c>
      <x:c r="C366" s="31" t="n">
        <x:v>0</x:v>
      </x:c>
      <x:c r="D366" s="31" t="n">
        <x:v>4</x:v>
      </x:c>
      <x:c r="E366" s="33" t="n">
        <x:f>IF(D366&gt;0,C366/D366,"")</x:f>
        <x:v>0</x:v>
      </x:c>
      <x:c r="F366" s="35" t="n">
        <x:v>4.75</x:v>
      </x:c>
    </x:row>
    <x:row r="367" ht="42" customHeight="1">
      <x:c r="A367" s="12" t="str">
        <x:v>https://kozhaclinic.ru/lazernaya-kosmetologiya/lazernaya-epilyaciya/</x:v>
      </x:c>
      <x:c r="B367" s="12" t="str">
        <x:v>лазерная эпиляция лица полностью</x:v>
      </x:c>
      <x:c r="C367" s="30" t="n">
        <x:v>0</x:v>
      </x:c>
      <x:c r="D367" s="30" t="n">
        <x:v>4</x:v>
      </x:c>
      <x:c r="E367" s="32" t="n">
        <x:f>IF(D367&gt;0,C367/D367,"")</x:f>
        <x:v>0</x:v>
      </x:c>
      <x:c r="F367" s="34" t="n">
        <x:v>4.75</x:v>
      </x:c>
    </x:row>
    <x:row r="368" ht="42" customHeight="1">
      <x:c r="A368" s="14" t="str">
        <x:v>https://kozhaclinic.ru/lazernaya-kosmetologiya/lazernaya-epilyaciya/</x:v>
      </x:c>
      <x:c r="B368" s="14" t="str">
        <x:v>лазерная эпиляция полная</x:v>
      </x:c>
      <x:c r="C368" s="31" t="n">
        <x:v>0</x:v>
      </x:c>
      <x:c r="D368" s="31" t="n">
        <x:v>4</x:v>
      </x:c>
      <x:c r="E368" s="33" t="n">
        <x:f>IF(D368&gt;0,C368/D368,"")</x:f>
        <x:v>0</x:v>
      </x:c>
      <x:c r="F368" s="35" t="n">
        <x:v>5</x:v>
      </x:c>
    </x:row>
    <x:row r="369" ht="42" customHeight="1">
      <x:c r="A369" s="12" t="str">
        <x:v>https://kozhaclinic.ru/lazernaya-kosmetologiya/lazernaya-epilyaciya/</x:v>
      </x:c>
      <x:c r="B369" s="12" t="str">
        <x:v>сколько стоит лазерная эпиляция бикини</x:v>
      </x:c>
      <x:c r="C369" s="30" t="n">
        <x:v>0</x:v>
      </x:c>
      <x:c r="D369" s="30" t="n">
        <x:v>4</x:v>
      </x:c>
      <x:c r="E369" s="32" t="n">
        <x:f>IF(D369&gt;0,C369/D369,"")</x:f>
        <x:v>0</x:v>
      </x:c>
      <x:c r="F369" s="34" t="n">
        <x:v>5.25</x:v>
      </x:c>
    </x:row>
    <x:row r="370" ht="42" customHeight="1">
      <x:c r="A370" s="14" t="str">
        <x:v>https://kozhaclinic.ru/lazernaya-kosmetologiya/lazernaya-epilyaciya/</x:v>
      </x:c>
      <x:c r="B370" s="14" t="str">
        <x:v>эпиляция всего тела цена</x:v>
      </x:c>
      <x:c r="C370" s="31" t="n">
        <x:v>0</x:v>
      </x:c>
      <x:c r="D370" s="31" t="n">
        <x:v>4</x:v>
      </x:c>
      <x:c r="E370" s="33" t="n">
        <x:f>IF(D370&gt;0,C370/D370,"")</x:f>
        <x:v>0</x:v>
      </x:c>
      <x:c r="F370" s="35" t="n">
        <x:v>5.25</x:v>
      </x:c>
    </x:row>
    <x:row r="371" ht="42" customHeight="1">
      <x:c r="A371" s="12" t="str">
        <x:v>https://kozhaclinic.ru/lazernaya-kosmetologiya/lazernaya-epilyaciya/</x:v>
      </x:c>
      <x:c r="B371" s="12" t="str">
        <x:v>лазерная эпиляция бороды</x:v>
      </x:c>
      <x:c r="C371" s="30" t="n">
        <x:v>0</x:v>
      </x:c>
      <x:c r="D371" s="30" t="n">
        <x:v>4</x:v>
      </x:c>
      <x:c r="E371" s="32" t="n">
        <x:f>IF(D371&gt;0,C371/D371,"")</x:f>
        <x:v>0</x:v>
      </x:c>
      <x:c r="F371" s="34" t="n">
        <x:v>5.5</x:v>
      </x:c>
    </x:row>
    <x:row r="372" ht="42" customHeight="1">
      <x:c r="A372" s="14" t="str">
        <x:v>https://kozhaclinic.ru/lazernaya-kosmetologiya/lazernaya-epilyaciya/</x:v>
      </x:c>
      <x:c r="B372" s="14" t="str">
        <x:v>сделать лазерную эпиляцию</x:v>
      </x:c>
      <x:c r="C372" s="31" t="n">
        <x:v>0</x:v>
      </x:c>
      <x:c r="D372" s="31" t="n">
        <x:v>4</x:v>
      </x:c>
      <x:c r="E372" s="33" t="n">
        <x:f>IF(D372&gt;0,C372/D372,"")</x:f>
        <x:v>0</x:v>
      </x:c>
      <x:c r="F372" s="35" t="n">
        <x:v>5.5</x:v>
      </x:c>
    </x:row>
    <x:row r="373" ht="42" customHeight="1">
      <x:c r="A373" s="12" t="str">
        <x:v>https://kozhaclinic.ru/lazernaya-kosmetologiya/lazernaya-epilyaciya/</x:v>
      </x:c>
      <x:c r="B373" s="12" t="str">
        <x:v>лазерная эпиляция бровей</x:v>
      </x:c>
      <x:c r="C373" s="30" t="n">
        <x:v>0</x:v>
      </x:c>
      <x:c r="D373" s="30" t="n">
        <x:v>4</x:v>
      </x:c>
      <x:c r="E373" s="32" t="n">
        <x:f>IF(D373&gt;0,C373/D373,"")</x:f>
        <x:v>0</x:v>
      </x:c>
      <x:c r="F373" s="34" t="n">
        <x:v>5.75</x:v>
      </x:c>
    </x:row>
    <x:row r="374" ht="42" customHeight="1">
      <x:c r="A374" s="14" t="str">
        <x:v>https://kozhaclinic.ru/lazernaya-kosmetologiya/lazernaya-epilyaciya/</x:v>
      </x:c>
      <x:c r="B374" s="14" t="str">
        <x:v>лазерная эпиляция ноги полностью цена</x:v>
      </x:c>
      <x:c r="C374" s="31" t="n">
        <x:v>0</x:v>
      </x:c>
      <x:c r="D374" s="31" t="n">
        <x:v>4</x:v>
      </x:c>
      <x:c r="E374" s="33" t="n">
        <x:f>IF(D374&gt;0,C374/D374,"")</x:f>
        <x:v>0</x:v>
      </x:c>
      <x:c r="F374" s="35" t="n">
        <x:v>5.75</x:v>
      </x:c>
    </x:row>
    <x:row r="375" ht="42" customHeight="1">
      <x:c r="A375" s="12" t="str">
        <x:v>https://kozhaclinic.ru/lazernaya-kosmetologiya/lazernaya-epilyaciya/</x:v>
      </x:c>
      <x:c r="B375" s="12" t="str">
        <x:v>эпиляция бороды цена</x:v>
      </x:c>
      <x:c r="C375" s="30" t="n">
        <x:v>0</x:v>
      </x:c>
      <x:c r="D375" s="30" t="n">
        <x:v>4</x:v>
      </x:c>
      <x:c r="E375" s="32" t="n">
        <x:f>IF(D375&gt;0,C375/D375,"")</x:f>
        <x:v>0</x:v>
      </x:c>
      <x:c r="F375" s="34" t="n">
        <x:v>5.75</x:v>
      </x:c>
    </x:row>
    <x:row r="376" ht="42" customHeight="1">
      <x:c r="A376" s="14" t="str">
        <x:v>https://kozhaclinic.ru/lazernaya-kosmetologiya/lazernaya-epilyaciya/</x:v>
      </x:c>
      <x:c r="B376" s="14" t="str">
        <x:v>эпиляция усов у женщин цена</x:v>
      </x:c>
      <x:c r="C376" s="31" t="n">
        <x:v>0</x:v>
      </x:c>
      <x:c r="D376" s="31" t="n">
        <x:v>4</x:v>
      </x:c>
      <x:c r="E376" s="33" t="n">
        <x:f>IF(D376&gt;0,C376/D376,"")</x:f>
        <x:v>0</x:v>
      </x:c>
      <x:c r="F376" s="35" t="n">
        <x:v>6</x:v>
      </x:c>
    </x:row>
    <x:row r="377" ht="42" customHeight="1">
      <x:c r="A377" s="12" t="str">
        <x:v>https://kozhaclinic.ru/lazernaya-kosmetologiya/lazernaya-epilyaciya/</x:v>
      </x:c>
      <x:c r="B377" s="12" t="str">
        <x:v>лазерная эпиляция декольте</x:v>
      </x:c>
      <x:c r="C377" s="30" t="n">
        <x:v>0</x:v>
      </x:c>
      <x:c r="D377" s="30" t="n">
        <x:v>4</x:v>
      </x:c>
      <x:c r="E377" s="32" t="n">
        <x:f>IF(D377&gt;0,C377/D377,"")</x:f>
        <x:v>0</x:v>
      </x:c>
      <x:c r="F377" s="34" t="n">
        <x:v>6.5</x:v>
      </x:c>
    </x:row>
    <x:row r="378" ht="42" customHeight="1">
      <x:c r="A378" s="14" t="str">
        <x:v>https://kozhaclinic.ru/lazernaya-kosmetologiya/lazernaya-epilyaciya/</x:v>
      </x:c>
      <x:c r="B378" s="14" t="str">
        <x:v>профессиональная лазерная эпиляция</x:v>
      </x:c>
      <x:c r="C378" s="31" t="n">
        <x:v>0</x:v>
      </x:c>
      <x:c r="D378" s="31" t="n">
        <x:v>4</x:v>
      </x:c>
      <x:c r="E378" s="33" t="n">
        <x:f>IF(D378&gt;0,C378/D378,"")</x:f>
        <x:v>0</x:v>
      </x:c>
      <x:c r="F378" s="35" t="n">
        <x:v>6.75</x:v>
      </x:c>
    </x:row>
    <x:row r="379" ht="42" customHeight="1">
      <x:c r="A379" s="12" t="str">
        <x:v>https://kozhaclinic.ru/lazernaya-kosmetologiya/lazernaya-epilyaciya/</x:v>
      </x:c>
      <x:c r="B379" s="12" t="str">
        <x:v>сколько стоит лазерная эпиляция лица у мужчин</x:v>
      </x:c>
      <x:c r="C379" s="30" t="n">
        <x:v>0</x:v>
      </x:c>
      <x:c r="D379" s="30" t="n">
        <x:v>4</x:v>
      </x:c>
      <x:c r="E379" s="32" t="n">
        <x:f>IF(D379&gt;0,C379/D379,"")</x:f>
        <x:v>0</x:v>
      </x:c>
      <x:c r="F379" s="34" t="n">
        <x:v>6.75</x:v>
      </x:c>
    </x:row>
    <x:row r="380" ht="42" customHeight="1">
      <x:c r="A380" s="14" t="str">
        <x:v>https://kozhaclinic.ru/lazernaya-kosmetologiya/lazernaya-epilyaciya/</x:v>
      </x:c>
      <x:c r="B380" s="14" t="str">
        <x:v>эпиляция волос на теле</x:v>
      </x:c>
      <x:c r="C380" s="31" t="n">
        <x:v>0</x:v>
      </x:c>
      <x:c r="D380" s="31" t="n">
        <x:v>4</x:v>
      </x:c>
      <x:c r="E380" s="33" t="n">
        <x:f>IF(D380&gt;0,C380/D380,"")</x:f>
        <x:v>0</x:v>
      </x:c>
      <x:c r="F380" s="35" t="n">
        <x:v>6.75</x:v>
      </x:c>
    </x:row>
    <x:row r="381" ht="42" customHeight="1">
      <x:c r="A381" s="12" t="str">
        <x:v>https://kozhaclinic.ru/lazernaya-kosmetologiya/lazernaya-epilyaciya/</x:v>
      </x:c>
      <x:c r="B381" s="12" t="str">
        <x:v>сколько стоит лазерная депиляция бикини</x:v>
      </x:c>
      <x:c r="C381" s="30" t="n">
        <x:v>0</x:v>
      </x:c>
      <x:c r="D381" s="30" t="n">
        <x:v>4</x:v>
      </x:c>
      <x:c r="E381" s="32" t="n">
        <x:f>IF(D381&gt;0,C381/D381,"")</x:f>
        <x:v>0</x:v>
      </x:c>
      <x:c r="F381" s="34" t="n">
        <x:v>7</x:v>
      </x:c>
    </x:row>
    <x:row r="382" ht="42" customHeight="1">
      <x:c r="A382" s="14" t="str">
        <x:v>https://kozhaclinic.ru/lazernaya-kosmetologiya/lazernaya-epilyaciya/</x:v>
      </x:c>
      <x:c r="B382" s="14" t="str">
        <x:v>лазерная эпиляция живота цена</x:v>
      </x:c>
      <x:c r="C382" s="31" t="n">
        <x:v>0</x:v>
      </x:c>
      <x:c r="D382" s="31" t="n">
        <x:v>4</x:v>
      </x:c>
      <x:c r="E382" s="33" t="n">
        <x:f>IF(D382&gt;0,C382/D382,"")</x:f>
        <x:v>0</x:v>
      </x:c>
      <x:c r="F382" s="35" t="n">
        <x:v>7.25</x:v>
      </x:c>
    </x:row>
    <x:row r="383" ht="42" customHeight="1">
      <x:c r="A383" s="12" t="str">
        <x:v>https://kozhaclinic.ru/lazernaya-kosmetologiya/lazernaya-epilyaciya/</x:v>
      </x:c>
      <x:c r="B383" s="12" t="str">
        <x:v>лазерная депиляция бикини цена</x:v>
      </x:c>
      <x:c r="C383" s="30" t="n">
        <x:v>0</x:v>
      </x:c>
      <x:c r="D383" s="30" t="n">
        <x:v>4</x:v>
      </x:c>
      <x:c r="E383" s="32" t="n">
        <x:f>IF(D383&gt;0,C383/D383,"")</x:f>
        <x:v>0</x:v>
      </x:c>
      <x:c r="F383" s="34" t="n">
        <x:v>8</x:v>
      </x:c>
    </x:row>
    <x:row r="384" ht="42" customHeight="1">
      <x:c r="A384" s="14" t="str">
        <x:v>https://kozhaclinic.ru/lazernaya-kosmetologiya/lazernaya-epilyaciya/</x:v>
      </x:c>
      <x:c r="B384" s="14" t="str">
        <x:v>сеть клиник лазерной эпиляции</x:v>
      </x:c>
      <x:c r="C384" s="31" t="n">
        <x:v>0</x:v>
      </x:c>
      <x:c r="D384" s="31" t="n">
        <x:v>4</x:v>
      </x:c>
      <x:c r="E384" s="33" t="n">
        <x:f>IF(D384&gt;0,C384/D384,"")</x:f>
        <x:v>0</x:v>
      </x:c>
      <x:c r="F384" s="35" t="n">
        <x:v>8</x:v>
      </x:c>
    </x:row>
    <x:row r="385" ht="42" customHeight="1">
      <x:c r="A385" s="12" t="str">
        <x:v>https://kozhaclinic.ru/lazernaya-kosmetologiya/lazernaya-epilyaciya/</x:v>
      </x:c>
      <x:c r="B385" s="12" t="str">
        <x:v>лазерная эпиляция цены для женщин</x:v>
      </x:c>
      <x:c r="C385" s="30" t="n">
        <x:v>0</x:v>
      </x:c>
      <x:c r="D385" s="30" t="n">
        <x:v>4</x:v>
      </x:c>
      <x:c r="E385" s="32" t="n">
        <x:f>IF(D385&gt;0,C385/D385,"")</x:f>
        <x:v>0</x:v>
      </x:c>
      <x:c r="F385" s="34" t="n">
        <x:v>9</x:v>
      </x:c>
    </x:row>
    <x:row r="386" ht="42" customHeight="1">
      <x:c r="A386" s="14" t="str">
        <x:v>https://kozhaclinic.ru/lazernaya-kosmetologiya/lazernaya-epilyaciya/</x:v>
      </x:c>
      <x:c r="B386" s="14" t="str">
        <x:v>эпиляция живота цена</x:v>
      </x:c>
      <x:c r="C386" s="31" t="n">
        <x:v>0</x:v>
      </x:c>
      <x:c r="D386" s="31" t="n">
        <x:v>4</x:v>
      </x:c>
      <x:c r="E386" s="33" t="n">
        <x:f>IF(D386&gt;0,C386/D386,"")</x:f>
        <x:v>0</x:v>
      </x:c>
      <x:c r="F386" s="35" t="n">
        <x:v>9</x:v>
      </x:c>
    </x:row>
    <x:row r="387" ht="42" customHeight="1">
      <x:c r="A387" s="12" t="str">
        <x:v>https://kozhaclinic.ru/lazernaya-kosmetologiya/lazernaya-epilyaciya/</x:v>
      </x:c>
      <x:c r="B387" s="12" t="str">
        <x:v>лазерная эпиляция подмышек цена</x:v>
      </x:c>
      <x:c r="C387" s="30" t="n">
        <x:v>0</x:v>
      </x:c>
      <x:c r="D387" s="30" t="n">
        <x:v>4</x:v>
      </x:c>
      <x:c r="E387" s="32" t="n">
        <x:f>IF(D387&gt;0,C387/D387,"")</x:f>
        <x:v>0</x:v>
      </x:c>
      <x:c r="F387" s="34" t="n">
        <x:v>15</x:v>
      </x:c>
    </x:row>
    <x:row r="388" ht="42" customHeight="1">
      <x:c r="A388" s="14" t="str">
        <x:v>https://kozhaclinic.ru/lazernaya-kosmetologiya/lazernaya-epilyaciya/</x:v>
      </x:c>
      <x:c r="B388" s="14" t="str">
        <x:v>лазерная эпиляция для женщин сургут</x:v>
      </x:c>
      <x:c r="C388" s="31" t="n">
        <x:v>0</x:v>
      </x:c>
      <x:c r="D388" s="31" t="n">
        <x:v>4</x:v>
      </x:c>
      <x:c r="E388" s="33" t="n">
        <x:f>IF(D388&gt;0,C388/D388,"")</x:f>
        <x:v>0</x:v>
      </x:c>
      <x:c r="F388" s="35" t="n">
        <x:v>19.75</x:v>
      </x:c>
    </x:row>
    <x:row r="389" ht="42" customHeight="1">
      <x:c r="A389" s="12" t="str">
        <x:v>https://kozhaclinic.ru/lazernaya-kosmetologiya/lazernaya-epilyaciya/</x:v>
      </x:c>
      <x:c r="B389" s="12" t="str">
        <x:v>лазерная эпиляция цена за 1 сеанс ноги</x:v>
      </x:c>
      <x:c r="C389" s="30" t="n">
        <x:v>0</x:v>
      </x:c>
      <x:c r="D389" s="30" t="n">
        <x:v>4</x:v>
      </x:c>
      <x:c r="E389" s="32" t="n">
        <x:f>IF(D389&gt;0,C389/D389,"")</x:f>
        <x:v>0</x:v>
      </x:c>
      <x:c r="F389" s="34" t="n">
        <x:v>65.5</x:v>
      </x:c>
    </x:row>
    <x:row r="390" ht="42" customHeight="1">
      <x:c r="A390" s="14" t="str">
        <x:v>https://kozhaclinic.ru/lazernaya-kosmetologiya/lazernaya-epilyaciya/</x:v>
      </x:c>
      <x:c r="B390" s="14" t="str">
        <x:v>эпиляция волос у женщин</x:v>
      </x:c>
      <x:c r="C390" s="31" t="n">
        <x:v>0</x:v>
      </x:c>
      <x:c r="D390" s="31" t="n">
        <x:v>3</x:v>
      </x:c>
      <x:c r="E390" s="33" t="n">
        <x:f>IF(D390&gt;0,C390/D390,"")</x:f>
        <x:v>0</x:v>
      </x:c>
      <x:c r="F390" s="35" t="n">
        <x:v>2</x:v>
      </x:c>
    </x:row>
    <x:row r="391" ht="42" customHeight="1">
      <x:c r="A391" s="12" t="str">
        <x:v>https://kozhaclinic.ru/lazernaya-kosmetologiya/lazernaya-epilyaciya/</x:v>
      </x:c>
      <x:c r="B391" s="12" t="str">
        <x:v>эпиляция ноги стоимость</x:v>
      </x:c>
      <x:c r="C391" s="30" t="n">
        <x:v>0</x:v>
      </x:c>
      <x:c r="D391" s="30" t="n">
        <x:v>3</x:v>
      </x:c>
      <x:c r="E391" s="32" t="n">
        <x:f>IF(D391&gt;0,C391/D391,"")</x:f>
        <x:v>0</x:v>
      </x:c>
      <x:c r="F391" s="34" t="n">
        <x:v>2</x:v>
      </x:c>
    </x:row>
    <x:row r="392" ht="42" customHeight="1">
      <x:c r="A392" s="14" t="str">
        <x:v>https://kozhaclinic.ru/lazernaya-kosmetologiya/lazernaya-epilyaciya/</x:v>
      </x:c>
      <x:c r="B392" s="14" t="str">
        <x:v>лазерная эпиляция всего тела цена для женщин</x:v>
      </x:c>
      <x:c r="C392" s="31" t="n">
        <x:v>0</x:v>
      </x:c>
      <x:c r="D392" s="31" t="n">
        <x:v>3</x:v>
      </x:c>
      <x:c r="E392" s="33" t="n">
        <x:f>IF(D392&gt;0,C392/D392,"")</x:f>
        <x:v>0</x:v>
      </x:c>
      <x:c r="F392" s="35" t="n">
        <x:v>2.67</x:v>
      </x:c>
    </x:row>
    <x:row r="393" ht="42" customHeight="1">
      <x:c r="A393" s="12" t="str">
        <x:v>https://kozhaclinic.ru/lazernaya-kosmetologiya/lazernaya-epilyaciya/</x:v>
      </x:c>
      <x:c r="B393" s="12" t="str">
        <x:v>эпиляция лицо цены</x:v>
      </x:c>
      <x:c r="C393" s="30" t="n">
        <x:v>0</x:v>
      </x:c>
      <x:c r="D393" s="30" t="n">
        <x:v>3</x:v>
      </x:c>
      <x:c r="E393" s="32" t="n">
        <x:f>IF(D393&gt;0,C393/D393,"")</x:f>
        <x:v>0</x:v>
      </x:c>
      <x:c r="F393" s="34" t="n">
        <x:v>3</x:v>
      </x:c>
    </x:row>
    <x:row r="394" ht="42" customHeight="1">
      <x:c r="A394" s="14" t="str">
        <x:v>https://kozhaclinic.ru/lazernaya-kosmetologiya/lazernaya-epilyaciya/</x:v>
      </x:c>
      <x:c r="B394" s="14" t="str">
        <x:v>делать эпиляцию лица</x:v>
      </x:c>
      <x:c r="C394" s="31" t="n">
        <x:v>0</x:v>
      </x:c>
      <x:c r="D394" s="31" t="n">
        <x:v>3</x:v>
      </x:c>
      <x:c r="E394" s="33" t="n">
        <x:f>IF(D394&gt;0,C394/D394,"")</x:f>
        <x:v>0</x:v>
      </x:c>
      <x:c r="F394" s="35" t="n">
        <x:v>3.33</x:v>
      </x:c>
    </x:row>
    <x:row r="395" ht="42" customHeight="1">
      <x:c r="A395" s="12" t="str">
        <x:v>https://kozhaclinic.ru/lazernaya-kosmetologiya/lazernaya-epilyaciya/</x:v>
      </x:c>
      <x:c r="B395" s="12" t="str">
        <x:v>лазерная эпиляция волос на лице</x:v>
      </x:c>
      <x:c r="C395" s="30" t="n">
        <x:v>0</x:v>
      </x:c>
      <x:c r="D395" s="30" t="n">
        <x:v>3</x:v>
      </x:c>
      <x:c r="E395" s="32" t="n">
        <x:f>IF(D395&gt;0,C395/D395,"")</x:f>
        <x:v>0</x:v>
      </x:c>
      <x:c r="F395" s="34" t="n">
        <x:v>3.33</x:v>
      </x:c>
    </x:row>
    <x:row r="396" ht="42" customHeight="1">
      <x:c r="A396" s="14" t="str">
        <x:v>https://kozhaclinic.ru/lazernaya-kosmetologiya/lazernaya-epilyaciya/</x:v>
      </x:c>
      <x:c r="B396" s="14" t="str">
        <x:v>сколько стоит лазерная эпиляция лица у женщин</x:v>
      </x:c>
      <x:c r="C396" s="31" t="n">
        <x:v>0</x:v>
      </x:c>
      <x:c r="D396" s="31" t="n">
        <x:v>3</x:v>
      </x:c>
      <x:c r="E396" s="33" t="n">
        <x:f>IF(D396&gt;0,C396/D396,"")</x:f>
        <x:v>0</x:v>
      </x:c>
      <x:c r="F396" s="35" t="n">
        <x:v>3.33</x:v>
      </x:c>
    </x:row>
    <x:row r="397" ht="42" customHeight="1">
      <x:c r="A397" s="12" t="str">
        <x:v>https://kozhaclinic.ru/lazernaya-kosmetologiya/lazernaya-epilyaciya/</x:v>
      </x:c>
      <x:c r="B397" s="12" t="str">
        <x:v>сколько стоит эпиляция лице</x:v>
      </x:c>
      <x:c r="C397" s="30" t="n">
        <x:v>0</x:v>
      </x:c>
      <x:c r="D397" s="30" t="n">
        <x:v>3</x:v>
      </x:c>
      <x:c r="E397" s="32" t="n">
        <x:f>IF(D397&gt;0,C397/D397,"")</x:f>
        <x:v>0</x:v>
      </x:c>
      <x:c r="F397" s="34" t="n">
        <x:v>3.33</x:v>
      </x:c>
    </x:row>
    <x:row r="398" ht="42" customHeight="1">
      <x:c r="A398" s="14" t="str">
        <x:v>https://kozhaclinic.ru/lazernaya-kosmetologiya/lazernaya-epilyaciya/</x:v>
      </x:c>
      <x:c r="B398" s="14" t="str">
        <x:v>лазерная удаления волос эпиляция</x:v>
      </x:c>
      <x:c r="C398" s="31" t="n">
        <x:v>0</x:v>
      </x:c>
      <x:c r="D398" s="31" t="n">
        <x:v>3</x:v>
      </x:c>
      <x:c r="E398" s="33" t="n">
        <x:f>IF(D398&gt;0,C398/D398,"")</x:f>
        <x:v>0</x:v>
      </x:c>
      <x:c r="F398" s="35" t="n">
        <x:v>3.67</x:v>
      </x:c>
    </x:row>
    <x:row r="399" ht="42" customHeight="1">
      <x:c r="A399" s="12" t="str">
        <x:v>https://kozhaclinic.ru/lazernaya-kosmetologiya/lazernaya-epilyaciya/</x:v>
      </x:c>
      <x:c r="B399" s="12" t="str">
        <x:v>сколько стоит эпиляция рук</x:v>
      </x:c>
      <x:c r="C399" s="30" t="n">
        <x:v>0</x:v>
      </x:c>
      <x:c r="D399" s="30" t="n">
        <x:v>3</x:v>
      </x:c>
      <x:c r="E399" s="32" t="n">
        <x:f>IF(D399&gt;0,C399/D399,"")</x:f>
        <x:v>0</x:v>
      </x:c>
      <x:c r="F399" s="34" t="n">
        <x:v>3.67</x:v>
      </x:c>
    </x:row>
    <x:row r="400" ht="42" customHeight="1">
      <x:c r="A400" s="14" t="str">
        <x:v>https://kozhaclinic.ru/lazernaya-kosmetologiya/lazernaya-epilyaciya/</x:v>
      </x:c>
      <x:c r="B400" s="14" t="str">
        <x:v>лазерная эпиляция бороды у мужчин цена</x:v>
      </x:c>
      <x:c r="C400" s="31" t="n">
        <x:v>0</x:v>
      </x:c>
      <x:c r="D400" s="31" t="n">
        <x:v>3</x:v>
      </x:c>
      <x:c r="E400" s="33" t="n">
        <x:f>IF(D400&gt;0,C400/D400,"")</x:f>
        <x:v>0</x:v>
      </x:c>
      <x:c r="F400" s="35" t="n">
        <x:v>4</x:v>
      </x:c>
    </x:row>
    <x:row r="401" ht="42" customHeight="1">
      <x:c r="A401" s="12" t="str">
        <x:v>https://kozhaclinic.ru/lazernaya-kosmetologiya/lazernaya-epilyaciya/</x:v>
      </x:c>
      <x:c r="B401" s="12" t="str">
        <x:v>сколько стоит лазерная депиляция всего тела</x:v>
      </x:c>
      <x:c r="C401" s="30" t="n">
        <x:v>0</x:v>
      </x:c>
      <x:c r="D401" s="30" t="n">
        <x:v>3</x:v>
      </x:c>
      <x:c r="E401" s="32" t="n">
        <x:f>IF(D401&gt;0,C401/D401,"")</x:f>
        <x:v>0</x:v>
      </x:c>
      <x:c r="F401" s="34" t="n">
        <x:v>4</x:v>
      </x:c>
    </x:row>
    <x:row r="402" ht="42" customHeight="1">
      <x:c r="A402" s="14" t="str">
        <x:v>https://kozhaclinic.ru/lazernaya-kosmetologiya/lazernaya-epilyaciya/</x:v>
      </x:c>
      <x:c r="B402" s="14" t="str">
        <x:v>эпиляция волос на лице у женщин</x:v>
      </x:c>
      <x:c r="C402" s="31" t="n">
        <x:v>0</x:v>
      </x:c>
      <x:c r="D402" s="31" t="n">
        <x:v>3</x:v>
      </x:c>
      <x:c r="E402" s="33" t="n">
        <x:f>IF(D402&gt;0,C402/D402,"")</x:f>
        <x:v>0</x:v>
      </x:c>
      <x:c r="F402" s="35" t="n">
        <x:v>4</x:v>
      </x:c>
    </x:row>
    <x:row r="403" ht="42" customHeight="1">
      <x:c r="A403" s="12" t="str">
        <x:v>https://kozhaclinic.ru/lazernaya-kosmetologiya/lazernaya-epilyaciya/</x:v>
      </x:c>
      <x:c r="B403" s="12" t="str">
        <x:v>эпиляция рук цена</x:v>
      </x:c>
      <x:c r="C403" s="30" t="n">
        <x:v>0</x:v>
      </x:c>
      <x:c r="D403" s="30" t="n">
        <x:v>3</x:v>
      </x:c>
      <x:c r="E403" s="32" t="n">
        <x:f>IF(D403&gt;0,C403/D403,"")</x:f>
        <x:v>0</x:v>
      </x:c>
      <x:c r="F403" s="34" t="n">
        <x:v>4.33</x:v>
      </x:c>
    </x:row>
    <x:row r="404" ht="42" customHeight="1">
      <x:c r="A404" s="14" t="str">
        <x:v>https://kozhaclinic.ru/lazernaya-kosmetologiya/lazernaya-epilyaciya/</x:v>
      </x:c>
      <x:c r="B404" s="14" t="str">
        <x:v>лазер сургут</x:v>
      </x:c>
      <x:c r="C404" s="31" t="n">
        <x:v>0</x:v>
      </x:c>
      <x:c r="D404" s="31" t="n">
        <x:v>3</x:v>
      </x:c>
      <x:c r="E404" s="33" t="n">
        <x:f>IF(D404&gt;0,C404/D404,"")</x:f>
        <x:v>0</x:v>
      </x:c>
      <x:c r="F404" s="35" t="n">
        <x:v>4.67</x:v>
      </x:c>
    </x:row>
    <x:row r="405" ht="42" customHeight="1">
      <x:c r="A405" s="12" t="str">
        <x:v>https://kozhaclinic.ru/lazernaya-kosmetologiya/lazernaya-epilyaciya/</x:v>
      </x:c>
      <x:c r="B405" s="12" t="str">
        <x:v>лазерная эпиляция бороды цена</x:v>
      </x:c>
      <x:c r="C405" s="30" t="n">
        <x:v>0</x:v>
      </x:c>
      <x:c r="D405" s="30" t="n">
        <x:v>3</x:v>
      </x:c>
      <x:c r="E405" s="32" t="n">
        <x:f>IF(D405&gt;0,C405/D405,"")</x:f>
        <x:v>0</x:v>
      </x:c>
      <x:c r="F405" s="34" t="n">
        <x:v>5</x:v>
      </x:c>
    </x:row>
    <x:row r="406" ht="42" customHeight="1">
      <x:c r="A406" s="14" t="str">
        <x:v>https://kozhaclinic.ru/lazernaya-kosmetologiya/lazernaya-epilyaciya/</x:v>
      </x:c>
      <x:c r="B406" s="14" t="str">
        <x:v>лоб эпиляция</x:v>
      </x:c>
      <x:c r="C406" s="31" t="n">
        <x:v>0</x:v>
      </x:c>
      <x:c r="D406" s="31" t="n">
        <x:v>3</x:v>
      </x:c>
      <x:c r="E406" s="33" t="n">
        <x:f>IF(D406&gt;0,C406/D406,"")</x:f>
        <x:v>0</x:v>
      </x:c>
      <x:c r="F406" s="35" t="n">
        <x:v>5</x:v>
      </x:c>
    </x:row>
    <x:row r="407" ht="42" customHeight="1">
      <x:c r="A407" s="12" t="str">
        <x:v>https://kozhaclinic.ru/lazernaya-kosmetologiya/lazernaya-epilyaciya/</x:v>
      </x:c>
      <x:c r="B407" s="12" t="str">
        <x:v>цена лазерной эпиляции рук</x:v>
      </x:c>
      <x:c r="C407" s="30" t="n">
        <x:v>0</x:v>
      </x:c>
      <x:c r="D407" s="30" t="n">
        <x:v>3</x:v>
      </x:c>
      <x:c r="E407" s="32" t="n">
        <x:f>IF(D407&gt;0,C407/D407,"")</x:f>
        <x:v>0</x:v>
      </x:c>
      <x:c r="F407" s="34" t="n">
        <x:v>5</x:v>
      </x:c>
    </x:row>
    <x:row r="408" ht="42" customHeight="1">
      <x:c r="A408" s="14" t="str">
        <x:v>https://kozhaclinic.ru/lazernaya-kosmetologiya/lazernaya-epilyaciya/</x:v>
      </x:c>
      <x:c r="B408" s="14" t="str">
        <x:v>эпиляция бикини лазером сургут</x:v>
      </x:c>
      <x:c r="C408" s="31" t="n">
        <x:v>0</x:v>
      </x:c>
      <x:c r="D408" s="31" t="n">
        <x:v>3</x:v>
      </x:c>
      <x:c r="E408" s="33" t="n">
        <x:f>IF(D408&gt;0,C408/D408,"")</x:f>
        <x:v>0</x:v>
      </x:c>
      <x:c r="F408" s="35" t="n">
        <x:v>5</x:v>
      </x:c>
    </x:row>
    <x:row r="409" ht="42" customHeight="1">
      <x:c r="A409" s="12" t="str">
        <x:v>https://kozhaclinic.ru/lazernaya-kosmetologiya/lazernaya-epilyaciya/</x:v>
      </x:c>
      <x:c r="B409" s="12" t="str">
        <x:v>лазерная эпиляция щеки</x:v>
      </x:c>
      <x:c r="C409" s="30" t="n">
        <x:v>0</x:v>
      </x:c>
      <x:c r="D409" s="30" t="n">
        <x:v>3</x:v>
      </x:c>
      <x:c r="E409" s="32" t="n">
        <x:f>IF(D409&gt;0,C409/D409,"")</x:f>
        <x:v>0</x:v>
      </x:c>
      <x:c r="F409" s="34" t="n">
        <x:v>5.33</x:v>
      </x:c>
    </x:row>
    <x:row r="410" ht="42" customHeight="1">
      <x:c r="A410" s="14" t="str">
        <x:v>https://kozhaclinic.ru/lazernaya-kosmetologiya/lazernaya-epilyaciya/</x:v>
      </x:c>
      <x:c r="B410" s="14" t="str">
        <x:v>сколько стоит эпиляция ног</x:v>
      </x:c>
      <x:c r="C410" s="31" t="n">
        <x:v>0</x:v>
      </x:c>
      <x:c r="D410" s="31" t="n">
        <x:v>3</x:v>
      </x:c>
      <x:c r="E410" s="33" t="n">
        <x:f>IF(D410&gt;0,C410/D410,"")</x:f>
        <x:v>0</x:v>
      </x:c>
      <x:c r="F410" s="35" t="n">
        <x:v>5.67</x:v>
      </x:c>
    </x:row>
    <x:row r="411" ht="42" customHeight="1">
      <x:c r="A411" s="12" t="str">
        <x:v>https://kozhaclinic.ru/lazernaya-kosmetologiya/lazernaya-epilyaciya/</x:v>
      </x:c>
      <x:c r="B411" s="12" t="str">
        <x:v>лазерная эпиляция всего тела</x:v>
      </x:c>
      <x:c r="C411" s="30" t="n">
        <x:v>0</x:v>
      </x:c>
      <x:c r="D411" s="30" t="n">
        <x:v>3</x:v>
      </x:c>
      <x:c r="E411" s="32" t="n">
        <x:f>IF(D411&gt;0,C411/D411,"")</x:f>
        <x:v>0</x:v>
      </x:c>
      <x:c r="F411" s="34" t="n">
        <x:v>6</x:v>
      </x:c>
    </x:row>
    <x:row r="412" ht="42" customHeight="1">
      <x:c r="A412" s="14" t="str">
        <x:v>https://kozhaclinic.ru/lazernaya-kosmetologiya/lazernaya-epilyaciya/</x:v>
      </x:c>
      <x:c r="B412" s="14" t="str">
        <x:v>сколько стоит лазерная эпиляция живота</x:v>
      </x:c>
      <x:c r="C412" s="31" t="n">
        <x:v>0</x:v>
      </x:c>
      <x:c r="D412" s="31" t="n">
        <x:v>3</x:v>
      </x:c>
      <x:c r="E412" s="33" t="n">
        <x:f>IF(D412&gt;0,C412/D412,"")</x:f>
        <x:v>0</x:v>
      </x:c>
      <x:c r="F412" s="35" t="n">
        <x:v>6.33</x:v>
      </x:c>
    </x:row>
    <x:row r="413" ht="42" customHeight="1">
      <x:c r="A413" s="12" t="str">
        <x:v>https://kozhaclinic.ru/lazernaya-kosmetologiya/lazernaya-epilyaciya/</x:v>
      </x:c>
      <x:c r="B413" s="12" t="str">
        <x:v>эпиляция ног</x:v>
      </x:c>
      <x:c r="C413" s="30" t="n">
        <x:v>0</x:v>
      </x:c>
      <x:c r="D413" s="30" t="n">
        <x:v>3</x:v>
      </x:c>
      <x:c r="E413" s="32" t="n">
        <x:f>IF(D413&gt;0,C413/D413,"")</x:f>
        <x:v>0</x:v>
      </x:c>
      <x:c r="F413" s="34" t="n">
        <x:v>6.33</x:v>
      </x:c>
    </x:row>
    <x:row r="414" ht="42" customHeight="1">
      <x:c r="A414" s="14" t="str">
        <x:v>https://kozhaclinic.ru/lazernaya-kosmetologiya/lazernaya-epilyaciya/</x:v>
      </x:c>
      <x:c r="B414" s="14" t="str">
        <x:v>лазерная эпиляция голеней цена</x:v>
      </x:c>
      <x:c r="C414" s="31" t="n">
        <x:v>0</x:v>
      </x:c>
      <x:c r="D414" s="31" t="n">
        <x:v>3</x:v>
      </x:c>
      <x:c r="E414" s="33" t="n">
        <x:f>IF(D414&gt;0,C414/D414,"")</x:f>
        <x:v>0</x:v>
      </x:c>
      <x:c r="F414" s="35" t="n">
        <x:v>6.67</x:v>
      </x:c>
    </x:row>
    <x:row r="415" ht="42" customHeight="1">
      <x:c r="A415" s="12" t="str">
        <x:v>https://kozhaclinic.ru/lazernaya-kosmetologiya/lazernaya-epilyaciya/</x:v>
      </x:c>
      <x:c r="B415" s="12" t="str">
        <x:v>лазерная эпиляция тела женщин цена</x:v>
      </x:c>
      <x:c r="C415" s="30" t="n">
        <x:v>0</x:v>
      </x:c>
      <x:c r="D415" s="30" t="n">
        <x:v>3</x:v>
      </x:c>
      <x:c r="E415" s="32" t="n">
        <x:f>IF(D415&gt;0,C415/D415,"")</x:f>
        <x:v>0</x:v>
      </x:c>
      <x:c r="F415" s="34" t="n">
        <x:v>6.67</x:v>
      </x:c>
    </x:row>
    <x:row r="416" ht="42" customHeight="1">
      <x:c r="A416" s="14" t="str">
        <x:v>https://kozhaclinic.ru/lazernaya-kosmetologiya/lazernaya-epilyaciya/</x:v>
      </x:c>
      <x:c r="B416" s="14" t="str">
        <x:v>лазерная эпиляция для женщин</x:v>
      </x:c>
      <x:c r="C416" s="31" t="n">
        <x:v>0</x:v>
      </x:c>
      <x:c r="D416" s="31" t="n">
        <x:v>3</x:v>
      </x:c>
      <x:c r="E416" s="33" t="n">
        <x:f>IF(D416&gt;0,C416/D416,"")</x:f>
        <x:v>0</x:v>
      </x:c>
      <x:c r="F416" s="35" t="n">
        <x:v>7</x:v>
      </x:c>
    </x:row>
    <x:row r="417" ht="42" customHeight="1">
      <x:c r="A417" s="12" t="str">
        <x:v>https://kozhaclinic.ru/lazernaya-kosmetologiya/lazernaya-epilyaciya/</x:v>
      </x:c>
      <x:c r="B417" s="12" t="str">
        <x:v>эпиляция волос спина лазерная</x:v>
      </x:c>
      <x:c r="C417" s="30" t="n">
        <x:v>0</x:v>
      </x:c>
      <x:c r="D417" s="30" t="n">
        <x:v>3</x:v>
      </x:c>
      <x:c r="E417" s="32" t="n">
        <x:f>IF(D417&gt;0,C417/D417,"")</x:f>
        <x:v>0</x:v>
      </x:c>
      <x:c r="F417" s="34" t="n">
        <x:v>7</x:v>
      </x:c>
    </x:row>
    <x:row r="418" ht="42" customHeight="1">
      <x:c r="A418" s="14" t="str">
        <x:v>https://kozhaclinic.ru/lazernaya-kosmetologiya/lazernaya-epilyaciya/</x:v>
      </x:c>
      <x:c r="B418" s="14" t="str">
        <x:v>лазерная эпиляция лица для мужчин сургут</x:v>
      </x:c>
      <x:c r="C418" s="31" t="n">
        <x:v>0</x:v>
      </x:c>
      <x:c r="D418" s="31" t="n">
        <x:v>3</x:v>
      </x:c>
      <x:c r="E418" s="33" t="n">
        <x:f>IF(D418&gt;0,C418/D418,"")</x:f>
        <x:v>0</x:v>
      </x:c>
      <x:c r="F418" s="35" t="n">
        <x:v>7.67</x:v>
      </x:c>
    </x:row>
    <x:row r="419" ht="42" customHeight="1">
      <x:c r="A419" s="12" t="str">
        <x:v>https://kozhaclinic.ru/lazernaya-kosmetologiya/lazernaya-epilyaciya/</x:v>
      </x:c>
      <x:c r="B419" s="12" t="str">
        <x:v>лазерная эпиляция бикини салоны</x:v>
      </x:c>
      <x:c r="C419" s="30" t="n">
        <x:v>0</x:v>
      </x:c>
      <x:c r="D419" s="30" t="n">
        <x:v>3</x:v>
      </x:c>
      <x:c r="E419" s="32" t="n">
        <x:f>IF(D419&gt;0,C419/D419,"")</x:f>
        <x:v>0</x:v>
      </x:c>
      <x:c r="F419" s="34" t="n">
        <x:v>8</x:v>
      </x:c>
    </x:row>
    <x:row r="420" ht="42" customHeight="1">
      <x:c r="A420" s="14" t="str">
        <x:v>https://kozhaclinic.ru/lazernaya-kosmetologiya/lazernaya-epilyaciya/</x:v>
      </x:c>
      <x:c r="B420" s="14" t="str">
        <x:v>лазерная эпиляция над верхней губой цена</x:v>
      </x:c>
      <x:c r="C420" s="31" t="n">
        <x:v>0</x:v>
      </x:c>
      <x:c r="D420" s="31" t="n">
        <x:v>3</x:v>
      </x:c>
      <x:c r="E420" s="33" t="n">
        <x:f>IF(D420&gt;0,C420/D420,"")</x:f>
        <x:v>0</x:v>
      </x:c>
      <x:c r="F420" s="35" t="n">
        <x:v>8.67</x:v>
      </x:c>
    </x:row>
    <x:row r="421" ht="42" customHeight="1">
      <x:c r="A421" s="12" t="str">
        <x:v>https://kozhaclinic.ru/lazernaya-kosmetologiya/lazernaya-epilyaciya/</x:v>
      </x:c>
      <x:c r="B421" s="12" t="str">
        <x:v>лазерная эпиляция шеи</x:v>
      </x:c>
      <x:c r="C421" s="30" t="n">
        <x:v>0</x:v>
      </x:c>
      <x:c r="D421" s="30" t="n">
        <x:v>3</x:v>
      </x:c>
      <x:c r="E421" s="32" t="n">
        <x:f>IF(D421&gt;0,C421/D421,"")</x:f>
        <x:v>0</x:v>
      </x:c>
      <x:c r="F421" s="34" t="n">
        <x:v>8.67</x:v>
      </x:c>
    </x:row>
    <x:row r="422" ht="42" customHeight="1">
      <x:c r="A422" s="14" t="str">
        <x:v>https://kozhaclinic.ru/lazernaya-kosmetologiya/lazernaya-epilyaciya/</x:v>
      </x:c>
      <x:c r="B422" s="14" t="str">
        <x:v>эпиляция салоне лица</x:v>
      </x:c>
      <x:c r="C422" s="31" t="n">
        <x:v>0</x:v>
      </x:c>
      <x:c r="D422" s="31" t="n">
        <x:v>3</x:v>
      </x:c>
      <x:c r="E422" s="33" t="n">
        <x:f>IF(D422&gt;0,C422/D422,"")</x:f>
        <x:v>0</x:v>
      </x:c>
      <x:c r="F422" s="35" t="n">
        <x:v>8.67</x:v>
      </x:c>
    </x:row>
    <x:row r="423" ht="42" customHeight="1">
      <x:c r="A423" s="12" t="str">
        <x:v>https://kozhaclinic.ru/lazernaya-kosmetologiya/lazernaya-epilyaciya/</x:v>
      </x:c>
      <x:c r="B423" s="12" t="str">
        <x:v>эпиляция голени цена</x:v>
      </x:c>
      <x:c r="C423" s="30" t="n">
        <x:v>0</x:v>
      </x:c>
      <x:c r="D423" s="30" t="n">
        <x:v>3</x:v>
      </x:c>
      <x:c r="E423" s="32" t="n">
        <x:f>IF(D423&gt;0,C423/D423,"")</x:f>
        <x:v>0</x:v>
      </x:c>
      <x:c r="F423" s="34" t="n">
        <x:v>10.33</x:v>
      </x:c>
    </x:row>
    <x:row r="424" ht="42" customHeight="1">
      <x:c r="A424" s="14" t="str">
        <x:v>https://kozhaclinic.ru/lazernaya-kosmetologiya/lazernaya-epilyaciya/</x:v>
      </x:c>
      <x:c r="B424" s="14" t="str">
        <x:v>эпиляция над верхней губой цена</x:v>
      </x:c>
      <x:c r="C424" s="31" t="n">
        <x:v>0</x:v>
      </x:c>
      <x:c r="D424" s="31" t="n">
        <x:v>3</x:v>
      </x:c>
      <x:c r="E424" s="33" t="n">
        <x:f>IF(D424&gt;0,C424/D424,"")</x:f>
        <x:v>0</x:v>
      </x:c>
      <x:c r="F424" s="35" t="n">
        <x:v>10.33</x:v>
      </x:c>
    </x:row>
    <x:row r="425" ht="42" customHeight="1">
      <x:c r="A425" s="12" t="str">
        <x:v>https://kozhaclinic.ru/lazernaya-kosmetologiya/lazernaya-epilyaciya/</x:v>
      </x:c>
      <x:c r="B425" s="12" t="str">
        <x:v>диодная лазерная эпиляция сургут</x:v>
      </x:c>
      <x:c r="C425" s="30" t="n">
        <x:v>0</x:v>
      </x:c>
      <x:c r="D425" s="30" t="n">
        <x:v>3</x:v>
      </x:c>
      <x:c r="E425" s="32" t="n">
        <x:f>IF(D425&gt;0,C425/D425,"")</x:f>
        <x:v>0</x:v>
      </x:c>
      <x:c r="F425" s="34" t="n">
        <x:v>12</x:v>
      </x:c>
    </x:row>
    <x:row r="426" ht="42" customHeight="1">
      <x:c r="A426" s="14" t="str">
        <x:v>https://kozhaclinic.ru/lazernaya-kosmetologiya/lazernaya-epilyaciya/</x:v>
      </x:c>
      <x:c r="B426" s="14" t="str">
        <x:v>эпиляция подмышек лазером цена</x:v>
      </x:c>
      <x:c r="C426" s="31" t="n">
        <x:v>0</x:v>
      </x:c>
      <x:c r="D426" s="31" t="n">
        <x:v>3</x:v>
      </x:c>
      <x:c r="E426" s="33" t="n">
        <x:f>IF(D426&gt;0,C426/D426,"")</x:f>
        <x:v>0</x:v>
      </x:c>
      <x:c r="F426" s="35" t="n">
        <x:v>12</x:v>
      </x:c>
    </x:row>
    <x:row r="427" ht="42" customHeight="1">
      <x:c r="A427" s="12" t="str">
        <x:v>https://kozhaclinic.ru/lazernaya-kosmetologiya/lazernaya-epilyaciya/</x:v>
      </x:c>
      <x:c r="B427" s="12" t="str">
        <x:v>мужская лазерная эпиляция сургут</x:v>
      </x:c>
      <x:c r="C427" s="30" t="n">
        <x:v>0</x:v>
      </x:c>
      <x:c r="D427" s="30" t="n">
        <x:v>3</x:v>
      </x:c>
      <x:c r="E427" s="32" t="n">
        <x:f>IF(D427&gt;0,C427/D427,"")</x:f>
        <x:v>0</x:v>
      </x:c>
      <x:c r="F427" s="34" t="n">
        <x:v>14.33</x:v>
      </x:c>
    </x:row>
    <x:row r="428" ht="42" customHeight="1">
      <x:c r="A428" s="14" t="str">
        <x:v>https://kozhaclinic.ru/lazernaya-kosmetologiya/lazernaya-epilyaciya/</x:v>
      </x:c>
      <x:c r="B428" s="14" t="str">
        <x:v>лазерная косметология сургут</x:v>
      </x:c>
      <x:c r="C428" s="31" t="n">
        <x:v>0</x:v>
      </x:c>
      <x:c r="D428" s="31" t="n">
        <x:v>3</x:v>
      </x:c>
      <x:c r="E428" s="33" t="n">
        <x:f>IF(D428&gt;0,C428/D428,"")</x:f>
        <x:v>0</x:v>
      </x:c>
      <x:c r="F428" s="35" t="n">
        <x:v>17</x:v>
      </x:c>
    </x:row>
    <x:row r="429" ht="42" customHeight="1">
      <x:c r="A429" s="12" t="str">
        <x:v>https://kozhaclinic.ru/lazernaya-kosmetologiya/lazernaya-epilyaciya/</x:v>
      </x:c>
      <x:c r="B429" s="12" t="str">
        <x:v>сколько стоит эпиляция бороды</x:v>
      </x:c>
      <x:c r="C429" s="30" t="n">
        <x:v>0</x:v>
      </x:c>
      <x:c r="D429" s="30" t="n">
        <x:v>3</x:v>
      </x:c>
      <x:c r="E429" s="32" t="n">
        <x:f>IF(D429&gt;0,C429/D429,"")</x:f>
        <x:v>0</x:v>
      </x:c>
      <x:c r="F429" s="34" t="n">
        <x:v>34.67</x:v>
      </x:c>
    </x:row>
    <x:row r="430" ht="42" customHeight="1">
      <x:c r="A430" s="14" t="str">
        <x:v>https://kozhaclinic.ru/lazernaya-kosmetologiya/lazernaya-epilyaciya/</x:v>
      </x:c>
      <x:c r="B430" s="14" t="str">
        <x:v>эпиляция цена</x:v>
      </x:c>
      <x:c r="C430" s="31" t="n">
        <x:v>0</x:v>
      </x:c>
      <x:c r="D430" s="31" t="n">
        <x:v>3</x:v>
      </x:c>
      <x:c r="E430" s="33" t="n">
        <x:f>IF(D430&gt;0,C430/D430,"")</x:f>
        <x:v>0</x:v>
      </x:c>
      <x:c r="F430" s="35" t="n">
        <x:v>68.33</x:v>
      </x:c>
    </x:row>
    <x:row r="431" ht="42" customHeight="1">
      <x:c r="A431" s="12" t="str">
        <x:v>https://kozhaclinic.ru/lazernaya-kosmetologiya/lazernaya-epilyaciya/</x:v>
      </x:c>
      <x:c r="B431" s="12" t="str">
        <x:v>эпиляция лазером цены</x:v>
      </x:c>
      <x:c r="C431" s="30" t="n">
        <x:v>0</x:v>
      </x:c>
      <x:c r="D431" s="30" t="n">
        <x:v>3</x:v>
      </x:c>
      <x:c r="E431" s="32" t="n">
        <x:f>IF(D431&gt;0,C431/D431,"")</x:f>
        <x:v>0</x:v>
      </x:c>
      <x:c r="F431" s="34" t="n">
        <x:v>78.33</x:v>
      </x:c>
    </x:row>
    <x:row r="432" ht="42" customHeight="1">
      <x:c r="A432" s="14" t="str">
        <x:v>https://kozhaclinic.ru/lazernaya-kosmetologiya/lazernaya-epilyaciya/</x:v>
      </x:c>
      <x:c r="B432" s="14" t="str">
        <x:v>лазерная эпиляция спины цены</x:v>
      </x:c>
      <x:c r="C432" s="31" t="n">
        <x:v>0</x:v>
      </x:c>
      <x:c r="D432" s="31" t="n">
        <x:v>2</x:v>
      </x:c>
      <x:c r="E432" s="33" t="n">
        <x:f>IF(D432&gt;0,C432/D432,"")</x:f>
        <x:v>0</x:v>
      </x:c>
      <x:c r="F432" s="35" t="n">
        <x:v>2.5</x:v>
      </x:c>
    </x:row>
    <x:row r="433" ht="42" customHeight="1">
      <x:c r="A433" s="12" t="str">
        <x:v>https://kozhaclinic.ru/lazernaya-kosmetologiya/lazernaya-epilyaciya/</x:v>
      </x:c>
      <x:c r="B433" s="12" t="str">
        <x:v>лазерная депиляция лица цена</x:v>
      </x:c>
      <x:c r="C433" s="30" t="n">
        <x:v>0</x:v>
      </x:c>
      <x:c r="D433" s="30" t="n">
        <x:v>2</x:v>
      </x:c>
      <x:c r="E433" s="32" t="n">
        <x:f>IF(D433&gt;0,C433/D433,"")</x:f>
        <x:v>0</x:v>
      </x:c>
      <x:c r="F433" s="34" t="n">
        <x:v>3.5</x:v>
      </x:c>
    </x:row>
    <x:row r="434" ht="42" customHeight="1">
      <x:c r="A434" s="14" t="str">
        <x:v>https://kozhaclinic.ru/lazernaya-kosmetologiya/lazernaya-epilyaciya/</x:v>
      </x:c>
      <x:c r="B434" s="14" t="str">
        <x:v>лазерная эпиляция на лице</x:v>
      </x:c>
      <x:c r="C434" s="31" t="n">
        <x:v>0</x:v>
      </x:c>
      <x:c r="D434" s="31" t="n">
        <x:v>2</x:v>
      </x:c>
      <x:c r="E434" s="33" t="n">
        <x:f>IF(D434&gt;0,C434/D434,"")</x:f>
        <x:v>0</x:v>
      </x:c>
      <x:c r="F434" s="35" t="n">
        <x:v>4</x:v>
      </x:c>
    </x:row>
    <x:row r="435" ht="42" customHeight="1">
      <x:c r="A435" s="12" t="str">
        <x:v>https://kozhaclinic.ru/lazernaya-kosmetologiya/lazernaya-epilyaciya/</x:v>
      </x:c>
      <x:c r="B435" s="12" t="str">
        <x:v>цена лазерной депиляции ног</x:v>
      </x:c>
      <x:c r="C435" s="30" t="n">
        <x:v>0</x:v>
      </x:c>
      <x:c r="D435" s="30" t="n">
        <x:v>2</x:v>
      </x:c>
      <x:c r="E435" s="32" t="n">
        <x:f>IF(D435&gt;0,C435/D435,"")</x:f>
        <x:v>0</x:v>
      </x:c>
      <x:c r="F435" s="34" t="n">
        <x:v>4</x:v>
      </x:c>
    </x:row>
    <x:row r="436" ht="42" customHeight="1">
      <x:c r="A436" s="14" t="str">
        <x:v>https://kozhaclinic.ru/lazernaya-kosmetologiya/lazernaya-epilyaciya/</x:v>
      </x:c>
      <x:c r="B436" s="14" t="str">
        <x:v>цена лазерной эпиляции губы</x:v>
      </x:c>
      <x:c r="C436" s="31" t="n">
        <x:v>0</x:v>
      </x:c>
      <x:c r="D436" s="31" t="n">
        <x:v>2</x:v>
      </x:c>
      <x:c r="E436" s="33" t="n">
        <x:f>IF(D436&gt;0,C436/D436,"")</x:f>
        <x:v>0</x:v>
      </x:c>
      <x:c r="F436" s="35" t="n">
        <x:v>4</x:v>
      </x:c>
    </x:row>
    <x:row r="437" ht="42" customHeight="1">
      <x:c r="A437" s="12" t="str">
        <x:v>https://kozhaclinic.ru/lazernaya-kosmetologiya/lazernaya-epilyaciya/</x:v>
      </x:c>
      <x:c r="B437" s="12" t="str">
        <x:v>лазерная депиляция</x:v>
      </x:c>
      <x:c r="C437" s="30" t="n">
        <x:v>0</x:v>
      </x:c>
      <x:c r="D437" s="30" t="n">
        <x:v>2</x:v>
      </x:c>
      <x:c r="E437" s="32" t="n">
        <x:f>IF(D437&gt;0,C437/D437,"")</x:f>
        <x:v>0</x:v>
      </x:c>
      <x:c r="F437" s="34" t="n">
        <x:v>4.5</x:v>
      </x:c>
    </x:row>
    <x:row r="438" ht="42" customHeight="1">
      <x:c r="A438" s="14" t="str">
        <x:v>https://kozhaclinic.ru/lazernaya-kosmetologiya/lazernaya-epilyaciya/</x:v>
      </x:c>
      <x:c r="B438" s="14" t="str">
        <x:v>лазерная эпиляция спины</x:v>
      </x:c>
      <x:c r="C438" s="31" t="n">
        <x:v>0</x:v>
      </x:c>
      <x:c r="D438" s="31" t="n">
        <x:v>2</x:v>
      </x:c>
      <x:c r="E438" s="33" t="n">
        <x:f>IF(D438&gt;0,C438/D438,"")</x:f>
        <x:v>0</x:v>
      </x:c>
      <x:c r="F438" s="35" t="n">
        <x:v>4.5</x:v>
      </x:c>
    </x:row>
    <x:row r="439" ht="42" customHeight="1">
      <x:c r="A439" s="12" t="str">
        <x:v>https://kozhaclinic.ru/lazernaya-kosmetologiya/lazernaya-epilyaciya/</x:v>
      </x:c>
      <x:c r="B439" s="12" t="str">
        <x:v>удаление волос на теле лазером</x:v>
      </x:c>
      <x:c r="C439" s="30" t="n">
        <x:v>0</x:v>
      </x:c>
      <x:c r="D439" s="30" t="n">
        <x:v>2</x:v>
      </x:c>
      <x:c r="E439" s="32" t="n">
        <x:f>IF(D439&gt;0,C439/D439,"")</x:f>
        <x:v>0</x:v>
      </x:c>
      <x:c r="F439" s="34" t="n">
        <x:v>4.5</x:v>
      </x:c>
    </x:row>
    <x:row r="440" ht="42" customHeight="1">
      <x:c r="A440" s="14" t="str">
        <x:v>https://kozhaclinic.ru/lazernaya-kosmetologiya/lazernaya-epilyaciya/</x:v>
      </x:c>
      <x:c r="B440" s="14" t="str">
        <x:v>лазерная эпиляция глубокое бикини цена</x:v>
      </x:c>
      <x:c r="C440" s="31" t="n">
        <x:v>0</x:v>
      </x:c>
      <x:c r="D440" s="31" t="n">
        <x:v>2</x:v>
      </x:c>
      <x:c r="E440" s="33" t="n">
        <x:f>IF(D440&gt;0,C440/D440,"")</x:f>
        <x:v>0</x:v>
      </x:c>
      <x:c r="F440" s="35" t="n">
        <x:v>5</x:v>
      </x:c>
    </x:row>
    <x:row r="441" ht="42" customHeight="1">
      <x:c r="A441" s="12" t="str">
        <x:v>https://kozhaclinic.ru/lazernaya-kosmetologiya/lazernaya-epilyaciya/</x:v>
      </x:c>
      <x:c r="B441" s="12" t="str">
        <x:v>лазерная эпиляция щек</x:v>
      </x:c>
      <x:c r="C441" s="30" t="n">
        <x:v>0</x:v>
      </x:c>
      <x:c r="D441" s="30" t="n">
        <x:v>2</x:v>
      </x:c>
      <x:c r="E441" s="32" t="n">
        <x:f>IF(D441&gt;0,C441/D441,"")</x:f>
        <x:v>0</x:v>
      </x:c>
      <x:c r="F441" s="34" t="n">
        <x:v>5</x:v>
      </x:c>
    </x:row>
    <x:row r="442" ht="42" customHeight="1">
      <x:c r="A442" s="14" t="str">
        <x:v>https://kozhaclinic.ru/lazernaya-kosmetologiya/lazernaya-epilyaciya/</x:v>
      </x:c>
      <x:c r="B442" s="14" t="str">
        <x:v>лазерная эпиляция подбородок цена</x:v>
      </x:c>
      <x:c r="C442" s="31" t="n">
        <x:v>0</x:v>
      </x:c>
      <x:c r="D442" s="31" t="n">
        <x:v>2</x:v>
      </x:c>
      <x:c r="E442" s="33" t="n">
        <x:f>IF(D442&gt;0,C442/D442,"")</x:f>
        <x:v>0</x:v>
      </x:c>
      <x:c r="F442" s="35" t="n">
        <x:v>5.5</x:v>
      </x:c>
    </x:row>
    <x:row r="443" ht="42" customHeight="1">
      <x:c r="A443" s="12" t="str">
        <x:v>https://kozhaclinic.ru/lazernaya-kosmetologiya/lazernaya-epilyaciya/</x:v>
      </x:c>
      <x:c r="B443" s="12" t="str">
        <x:v>лазерная эпиляция межбровье</x:v>
      </x:c>
      <x:c r="C443" s="30" t="n">
        <x:v>0</x:v>
      </x:c>
      <x:c r="D443" s="30" t="n">
        <x:v>2</x:v>
      </x:c>
      <x:c r="E443" s="32" t="n">
        <x:f>IF(D443&gt;0,C443/D443,"")</x:f>
        <x:v>0</x:v>
      </x:c>
      <x:c r="F443" s="34" t="n">
        <x:v>6</x:v>
      </x:c>
    </x:row>
    <x:row r="444" ht="42" customHeight="1">
      <x:c r="A444" s="14" t="str">
        <x:v>https://kozhaclinic.ru/lazernaya-kosmetologiya/lazernaya-epilyaciya/</x:v>
      </x:c>
      <x:c r="B444" s="14" t="str">
        <x:v>салон лазерной эпиляции</x:v>
      </x:c>
      <x:c r="C444" s="31" t="n">
        <x:v>0</x:v>
      </x:c>
      <x:c r="D444" s="31" t="n">
        <x:v>2</x:v>
      </x:c>
      <x:c r="E444" s="33" t="n">
        <x:f>IF(D444&gt;0,C444/D444,"")</x:f>
        <x:v>0</x:v>
      </x:c>
      <x:c r="F444" s="35" t="n">
        <x:v>6.5</x:v>
      </x:c>
    </x:row>
    <x:row r="445" ht="42" customHeight="1">
      <x:c r="A445" s="12" t="str">
        <x:v>https://kozhaclinic.ru/lazernaya-kosmetologiya/lazernaya-epilyaciya/</x:v>
      </x:c>
      <x:c r="B445" s="12" t="str">
        <x:v>лазерная эпиляция бикини стоимость</x:v>
      </x:c>
      <x:c r="C445" s="30" t="n">
        <x:v>0</x:v>
      </x:c>
      <x:c r="D445" s="30" t="n">
        <x:v>2</x:v>
      </x:c>
      <x:c r="E445" s="32" t="n">
        <x:f>IF(D445&gt;0,C445/D445,"")</x:f>
        <x:v>0</x:v>
      </x:c>
      <x:c r="F445" s="34" t="n">
        <x:v>7</x:v>
      </x:c>
    </x:row>
    <x:row r="446" ht="42" customHeight="1">
      <x:c r="A446" s="14" t="str">
        <x:v>https://kozhaclinic.ru/lazernaya-kosmetologiya/lazernaya-epilyaciya/</x:v>
      </x:c>
      <x:c r="B446" s="14" t="str">
        <x:v>цена лазерной эпиляции верхней губы</x:v>
      </x:c>
      <x:c r="C446" s="31" t="n">
        <x:v>0</x:v>
      </x:c>
      <x:c r="D446" s="31" t="n">
        <x:v>2</x:v>
      </x:c>
      <x:c r="E446" s="33" t="n">
        <x:f>IF(D446&gt;0,C446/D446,"")</x:f>
        <x:v>0</x:v>
      </x:c>
      <x:c r="F446" s="35" t="n">
        <x:v>7</x:v>
      </x:c>
    </x:row>
    <x:row r="447" ht="42" customHeight="1">
      <x:c r="A447" s="12" t="str">
        <x:v>https://kozhaclinic.ru/lazernaya-kosmetologiya/lazernaya-epilyaciya/</x:v>
      </x:c>
      <x:c r="B447" s="12" t="str">
        <x:v>эпиляция ног голени цена</x:v>
      </x:c>
      <x:c r="C447" s="30" t="n">
        <x:v>0</x:v>
      </x:c>
      <x:c r="D447" s="30" t="n">
        <x:v>2</x:v>
      </x:c>
      <x:c r="E447" s="32" t="n">
        <x:f>IF(D447&gt;0,C447/D447,"")</x:f>
        <x:v>0</x:v>
      </x:c>
      <x:c r="F447" s="34" t="n">
        <x:v>7</x:v>
      </x:c>
    </x:row>
    <x:row r="448" ht="42" customHeight="1">
      <x:c r="A448" s="14" t="str">
        <x:v>https://kozhaclinic.ru/lazernaya-kosmetologiya/lazernaya-epilyaciya/</x:v>
      </x:c>
      <x:c r="B448" s="14" t="str">
        <x:v>лазерная эпиляция зоны бикини цена</x:v>
      </x:c>
      <x:c r="C448" s="31" t="n">
        <x:v>0</x:v>
      </x:c>
      <x:c r="D448" s="31" t="n">
        <x:v>2</x:v>
      </x:c>
      <x:c r="E448" s="33" t="n">
        <x:f>IF(D448&gt;0,C448/D448,"")</x:f>
        <x:v>0</x:v>
      </x:c>
      <x:c r="F448" s="35" t="n">
        <x:v>7.5</x:v>
      </x:c>
    </x:row>
    <x:row r="449" ht="42" customHeight="1">
      <x:c r="A449" s="12" t="str">
        <x:v>https://kozhaclinic.ru/lazernaya-kosmetologiya/lazernaya-epilyaciya/</x:v>
      </x:c>
      <x:c r="B449" s="12" t="str">
        <x:v>центр лазерной эпиляции</x:v>
      </x:c>
      <x:c r="C449" s="30" t="n">
        <x:v>0</x:v>
      </x:c>
      <x:c r="D449" s="30" t="n">
        <x:v>2</x:v>
      </x:c>
      <x:c r="E449" s="32" t="n">
        <x:f>IF(D449&gt;0,C449/D449,"")</x:f>
        <x:v>0</x:v>
      </x:c>
      <x:c r="F449" s="34" t="n">
        <x:v>7.5</x:v>
      </x:c>
    </x:row>
    <x:row r="450" ht="42" customHeight="1">
      <x:c r="A450" s="14" t="str">
        <x:v>https://kozhaclinic.ru/lazernaya-kosmetologiya/lazernaya-epilyaciya/</x:v>
      </x:c>
      <x:c r="B450" s="14" t="str">
        <x:v>лазерная депиляция для женщин цена</x:v>
      </x:c>
      <x:c r="C450" s="31" t="n">
        <x:v>0</x:v>
      </x:c>
      <x:c r="D450" s="31" t="n">
        <x:v>2</x:v>
      </x:c>
      <x:c r="E450" s="33" t="n">
        <x:f>IF(D450&gt;0,C450/D450,"")</x:f>
        <x:v>0</x:v>
      </x:c>
      <x:c r="F450" s="35" t="n">
        <x:v>8.5</x:v>
      </x:c>
    </x:row>
    <x:row r="451" ht="42" customHeight="1">
      <x:c r="A451" s="12" t="str">
        <x:v>https://kozhaclinic.ru/lazernaya-kosmetologiya/lazernaya-epilyaciya/</x:v>
      </x:c>
      <x:c r="B451" s="12" t="str">
        <x:v>лазерная эпиляция бедер</x:v>
      </x:c>
      <x:c r="C451" s="30" t="n">
        <x:v>0</x:v>
      </x:c>
      <x:c r="D451" s="30" t="n">
        <x:v>2</x:v>
      </x:c>
      <x:c r="E451" s="32" t="n">
        <x:f>IF(D451&gt;0,C451/D451,"")</x:f>
        <x:v>0</x:v>
      </x:c>
      <x:c r="F451" s="34" t="n">
        <x:v>8.5</x:v>
      </x:c>
    </x:row>
    <x:row r="452" ht="42" customHeight="1">
      <x:c r="A452" s="14" t="str">
        <x:v>https://kozhaclinic.ru/lazernaya-kosmetologiya/lazernaya-epilyaciya/</x:v>
      </x:c>
      <x:c r="B452" s="14" t="str">
        <x:v>эпиляция груди</x:v>
      </x:c>
      <x:c r="C452" s="31" t="n">
        <x:v>0</x:v>
      </x:c>
      <x:c r="D452" s="31" t="n">
        <x:v>2</x:v>
      </x:c>
      <x:c r="E452" s="33" t="n">
        <x:f>IF(D452&gt;0,C452/D452,"")</x:f>
        <x:v>0</x:v>
      </x:c>
      <x:c r="F452" s="35" t="n">
        <x:v>8.5</x:v>
      </x:c>
    </x:row>
    <x:row r="453" ht="42" customHeight="1">
      <x:c r="A453" s="12" t="str">
        <x:v>https://kozhaclinic.ru/lazernaya-kosmetologiya/lazernaya-epilyaciya/</x:v>
      </x:c>
      <x:c r="B453" s="12" t="str">
        <x:v>лазер лица от волос</x:v>
      </x:c>
      <x:c r="C453" s="30" t="n">
        <x:v>0</x:v>
      </x:c>
      <x:c r="D453" s="30" t="n">
        <x:v>2</x:v>
      </x:c>
      <x:c r="E453" s="32" t="n">
        <x:f>IF(D453&gt;0,C453/D453,"")</x:f>
        <x:v>0</x:v>
      </x:c>
      <x:c r="F453" s="34" t="n">
        <x:v>10</x:v>
      </x:c>
    </x:row>
    <x:row r="454" ht="42" customHeight="1">
      <x:c r="A454" s="14" t="str">
        <x:v>https://kozhaclinic.ru/lazernaya-kosmetologiya/lazernaya-epilyaciya/</x:v>
      </x:c>
      <x:c r="B454" s="14" t="str">
        <x:v>лазерная депиляция бикини глубокая цена</x:v>
      </x:c>
      <x:c r="C454" s="31" t="n">
        <x:v>0</x:v>
      </x:c>
      <x:c r="D454" s="31" t="n">
        <x:v>2</x:v>
      </x:c>
      <x:c r="E454" s="33" t="n">
        <x:f>IF(D454&gt;0,C454/D454,"")</x:f>
        <x:v>0</x:v>
      </x:c>
      <x:c r="F454" s="35" t="n">
        <x:v>11</x:v>
      </x:c>
    </x:row>
    <x:row r="455" ht="42" customHeight="1">
      <x:c r="A455" s="12" t="str">
        <x:v>https://kozhaclinic.ru/lazernaya-kosmetologiya/lazernaya-epilyaciya/</x:v>
      </x:c>
      <x:c r="B455" s="12" t="str">
        <x:v>женская лазерная эпиляция</x:v>
      </x:c>
      <x:c r="C455" s="30" t="n">
        <x:v>0</x:v>
      </x:c>
      <x:c r="D455" s="30" t="n">
        <x:v>2</x:v>
      </x:c>
      <x:c r="E455" s="32" t="n">
        <x:f>IF(D455&gt;0,C455/D455,"")</x:f>
        <x:v>0</x:v>
      </x:c>
      <x:c r="F455" s="34" t="n">
        <x:v>11.5</x:v>
      </x:c>
    </x:row>
    <x:row r="456" ht="42" customHeight="1">
      <x:c r="A456" s="14" t="str">
        <x:v>https://kozhaclinic.ru/lazernaya-kosmetologiya/lazernaya-epilyaciya/</x:v>
      </x:c>
      <x:c r="B456" s="14" t="str">
        <x:v>лазерная эпиляция для мужчин сургут</x:v>
      </x:c>
      <x:c r="C456" s="31" t="n">
        <x:v>0</x:v>
      </x:c>
      <x:c r="D456" s="31" t="n">
        <x:v>2</x:v>
      </x:c>
      <x:c r="E456" s="33" t="n">
        <x:f>IF(D456&gt;0,C456/D456,"")</x:f>
        <x:v>0</x:v>
      </x:c>
      <x:c r="F456" s="35" t="n">
        <x:v>25</x:v>
      </x:c>
    </x:row>
    <x:row r="457" ht="42" customHeight="1">
      <x:c r="A457" s="12" t="str">
        <x:v>https://kozhaclinic.ru/lazernaya-kosmetologiya/lazernaya-epilyaciya/</x:v>
      </x:c>
      <x:c r="B457" s="12" t="str">
        <x:v>эпиляция для мужчин сургут</x:v>
      </x:c>
      <x:c r="C457" s="30" t="n">
        <x:v>0</x:v>
      </x:c>
      <x:c r="D457" s="30" t="n">
        <x:v>2</x:v>
      </x:c>
      <x:c r="E457" s="32" t="n">
        <x:f>IF(D457&gt;0,C457/D457,"")</x:f>
        <x:v>0</x:v>
      </x:c>
      <x:c r="F457" s="34" t="n">
        <x:v>28</x:v>
      </x:c>
    </x:row>
    <x:row r="458" ht="42" customHeight="1">
      <x:c r="A458" s="14" t="str">
        <x:v>https://kozhaclinic.ru/lazernaya-kosmetologiya/lazernaya-epilyaciya/</x:v>
      </x:c>
      <x:c r="B458" s="14" t="str">
        <x:v>qool эпиляция сколько стоит</x:v>
      </x:c>
      <x:c r="C458" s="31" t="n">
        <x:v>0</x:v>
      </x:c>
      <x:c r="D458" s="31" t="n">
        <x:v>2</x:v>
      </x:c>
      <x:c r="E458" s="33" t="n">
        <x:f>IF(D458&gt;0,C458/D458,"")</x:f>
        <x:v>0</x:v>
      </x:c>
      <x:c r="F458" s="35" t="n">
        <x:v>33</x:v>
      </x:c>
    </x:row>
    <x:row r="459" ht="42" customHeight="1">
      <x:c r="A459" s="12" t="str">
        <x:v>https://kozhaclinic.ru/lazernaya-kosmetologiya/lazernaya-epilyaciya/</x:v>
      </x:c>
      <x:c r="B459" s="12" t="str">
        <x:v>лазерная кул эпиляция</x:v>
      </x:c>
      <x:c r="C459" s="30" t="n">
        <x:v>0</x:v>
      </x:c>
      <x:c r="D459" s="30" t="n">
        <x:v>2</x:v>
      </x:c>
      <x:c r="E459" s="32" t="n">
        <x:f>IF(D459&gt;0,C459/D459,"")</x:f>
        <x:v>0</x:v>
      </x:c>
      <x:c r="F459" s="34" t="n">
        <x:v>56.5</x:v>
      </x:c>
    </x:row>
    <x:row r="460" ht="42" customHeight="1">
      <x:c r="A460" s="14" t="str">
        <x:v>https://kozhaclinic.ru/lazernaya-kosmetologiya/lazernaya-epilyaciya/</x:v>
      </x:c>
      <x:c r="B460" s="14" t="str">
        <x:v>лазерная коррекция бровей цена</x:v>
      </x:c>
      <x:c r="C460" s="31" t="n">
        <x:v>0</x:v>
      </x:c>
      <x:c r="D460" s="31" t="n">
        <x:v>2</x:v>
      </x:c>
      <x:c r="E460" s="33" t="n">
        <x:f>IF(D460&gt;0,C460/D460,"")</x:f>
        <x:v>0</x:v>
      </x:c>
      <x:c r="F460" s="35" t="n">
        <x:v>61.5</x:v>
      </x:c>
    </x:row>
    <x:row r="461" ht="42" customHeight="1">
      <x:c r="A461" s="12" t="str">
        <x:v>https://kozhaclinic.ru/lazernaya-kosmetologiya/lazernaya-epilyaciya/</x:v>
      </x:c>
      <x:c r="B461" s="12" t="str">
        <x:v>лазерное удаление волос в зоне бикини цена</x:v>
      </x:c>
      <x:c r="C461" s="30" t="n">
        <x:v>0</x:v>
      </x:c>
      <x:c r="D461" s="30" t="n">
        <x:v>2</x:v>
      </x:c>
      <x:c r="E461" s="32" t="n">
        <x:f>IF(D461&gt;0,C461/D461,"")</x:f>
        <x:v>0</x:v>
      </x:c>
      <x:c r="F461" s="34" t="n">
        <x:v>63.5</x:v>
      </x:c>
    </x:row>
    <x:row r="462" ht="42" customHeight="1">
      <x:c r="A462" s="14" t="str">
        <x:v>https://kozhaclinic.ru/lazernaya-kosmetologiya/lazernaya-epilyaciya/</x:v>
      </x:c>
      <x:c r="B462" s="14" t="str">
        <x:v>цены на эпиляцию бровей</x:v>
      </x:c>
      <x:c r="C462" s="31" t="n">
        <x:v>0</x:v>
      </x:c>
      <x:c r="D462" s="31" t="n">
        <x:v>2</x:v>
      </x:c>
      <x:c r="E462" s="33" t="n">
        <x:f>IF(D462&gt;0,C462/D462,"")</x:f>
        <x:v>0</x:v>
      </x:c>
      <x:c r="F462" s="35" t="n">
        <x:v>78</x:v>
      </x:c>
    </x:row>
    <x:row r="463" ht="42" customHeight="1">
      <x:c r="A463" s="12" t="str">
        <x:v>https://kozhaclinic.ru/lazernaya-kosmetologiya/lazernaya-epilyaciya/</x:v>
      </x:c>
      <x:c r="B463" s="12" t="str">
        <x:v>лазерная эпиляция стоимость процедуры</x:v>
      </x:c>
      <x:c r="C463" s="30" t="n">
        <x:v>0</x:v>
      </x:c>
      <x:c r="D463" s="30" t="n">
        <x:v>2</x:v>
      </x:c>
      <x:c r="E463" s="32" t="n">
        <x:f>IF(D463&gt;0,C463/D463,"")</x:f>
        <x:v>0</x:v>
      </x:c>
      <x:c r="F463" s="34" t="n">
        <x:v>83.5</x:v>
      </x:c>
    </x:row>
    <x:row r="464" ht="42" customHeight="1">
      <x:c r="A464" s="14" t="str">
        <x:v>https://kozhaclinic.ru/lazernaya-kosmetologiya/lazernaya-epilyaciya/</x:v>
      </x:c>
      <x:c r="B464" s="14" t="str">
        <x:v>световая эпиляция цена</x:v>
      </x:c>
      <x:c r="C464" s="31" t="n">
        <x:v>0</x:v>
      </x:c>
      <x:c r="D464" s="31" t="n">
        <x:v>2</x:v>
      </x:c>
      <x:c r="E464" s="33" t="n">
        <x:f>IF(D464&gt;0,C464/D464,"")</x:f>
        <x:v>0</x:v>
      </x:c>
      <x:c r="F464" s="35" t="n">
        <x:v>98</x:v>
      </x:c>
    </x:row>
    <x:row r="465" ht="42" customHeight="1">
      <x:c r="A465" s="12" t="str">
        <x:v>https://kozhaclinic.ru/lazernaya-kosmetologiya/lazernaya-epilyaciya/</x:v>
      </x:c>
      <x:c r="B465" s="12" t="str">
        <x:v>лазерная эпиляция бровей у женщин</x:v>
      </x:c>
      <x:c r="C465" s="30" t="n">
        <x:v>0</x:v>
      </x:c>
      <x:c r="D465" s="30" t="n">
        <x:v>1</x:v>
      </x:c>
      <x:c r="E465" s="32" t="n">
        <x:f>IF(D465&gt;0,C465/D465,"")</x:f>
        <x:v>0</x:v>
      </x:c>
      <x:c r="F465" s="34" t="n">
        <x:v>1</x:v>
      </x:c>
    </x:row>
    <x:row r="466" ht="42" customHeight="1">
      <x:c r="A466" s="14" t="str">
        <x:v>https://kozhaclinic.ru/lazernaya-kosmetologiya/lazernaya-epilyaciya/</x:v>
      </x:c>
      <x:c r="B466" s="14" t="str">
        <x:v>лазерная эпиляция плечи</x:v>
      </x:c>
      <x:c r="C466" s="31" t="n">
        <x:v>0</x:v>
      </x:c>
      <x:c r="D466" s="31" t="n">
        <x:v>1</x:v>
      </x:c>
      <x:c r="E466" s="33" t="n">
        <x:f>IF(D466&gt;0,C466/D466,"")</x:f>
        <x:v>0</x:v>
      </x:c>
      <x:c r="F466" s="35" t="n">
        <x:v>1</x:v>
      </x:c>
    </x:row>
    <x:row r="467" ht="42" customHeight="1">
      <x:c r="A467" s="12" t="str">
        <x:v>https://kozhaclinic.ru/lazernaya-kosmetologiya/lazernaya-epilyaciya/</x:v>
      </x:c>
      <x:c r="B467" s="12" t="str">
        <x:v>лазерное удаление волос на лице у женщин</x:v>
      </x:c>
      <x:c r="C467" s="30" t="n">
        <x:v>0</x:v>
      </x:c>
      <x:c r="D467" s="30" t="n">
        <x:v>1</x:v>
      </x:c>
      <x:c r="E467" s="32" t="n">
        <x:f>IF(D467&gt;0,C467/D467,"")</x:f>
        <x:v>0</x:v>
      </x:c>
      <x:c r="F467" s="34" t="n">
        <x:v>1</x:v>
      </x:c>
    </x:row>
    <x:row r="468" ht="42" customHeight="1">
      <x:c r="A468" s="14" t="str">
        <x:v>https://kozhaclinic.ru/lazernaya-kosmetologiya/lazernaya-epilyaciya/</x:v>
      </x:c>
      <x:c r="B468" s="14" t="str">
        <x:v>сколько стоит удаление волос лазером</x:v>
      </x:c>
      <x:c r="C468" s="31" t="n">
        <x:v>0</x:v>
      </x:c>
      <x:c r="D468" s="31" t="n">
        <x:v>1</x:v>
      </x:c>
      <x:c r="E468" s="33" t="n">
        <x:f>IF(D468&gt;0,C468/D468,"")</x:f>
        <x:v>0</x:v>
      </x:c>
      <x:c r="F468" s="35" t="n">
        <x:v>1</x:v>
      </x:c>
    </x:row>
    <x:row r="469" ht="42" customHeight="1">
      <x:c r="A469" s="12" t="str">
        <x:v>https://kozhaclinic.ru/lazernaya-kosmetologiya/lazernaya-epilyaciya/</x:v>
      </x:c>
      <x:c r="B469" s="12" t="str">
        <x:v>стоимость лазерной эпиляции</x:v>
      </x:c>
      <x:c r="C469" s="30" t="n">
        <x:v>0</x:v>
      </x:c>
      <x:c r="D469" s="30" t="n">
        <x:v>1</x:v>
      </x:c>
      <x:c r="E469" s="32" t="n">
        <x:f>IF(D469&gt;0,C469/D469,"")</x:f>
        <x:v>0</x:v>
      </x:c>
      <x:c r="F469" s="34" t="n">
        <x:v>1</x:v>
      </x:c>
    </x:row>
    <x:row r="470" ht="42" customHeight="1">
      <x:c r="A470" s="14" t="str">
        <x:v>https://kozhaclinic.ru/lazernaya-kosmetologiya/lazernaya-epilyaciya/</x:v>
      </x:c>
      <x:c r="B470" s="14" t="str">
        <x:v>цена лазерной эпиляции</x:v>
      </x:c>
      <x:c r="C470" s="31" t="n">
        <x:v>0</x:v>
      </x:c>
      <x:c r="D470" s="31" t="n">
        <x:v>1</x:v>
      </x:c>
      <x:c r="E470" s="33" t="n">
        <x:f>IF(D470&gt;0,C470/D470,"")</x:f>
        <x:v>0</x:v>
      </x:c>
      <x:c r="F470" s="35" t="n">
        <x:v>1</x:v>
      </x:c>
    </x:row>
    <x:row r="471" ht="42" customHeight="1">
      <x:c r="A471" s="12" t="str">
        <x:v>https://kozhaclinic.ru/lazernaya-kosmetologiya/lazernaya-epilyaciya/</x:v>
      </x:c>
      <x:c r="B471" s="12" t="str">
        <x:v>лазерная эпиляция бикини клиника</x:v>
      </x:c>
      <x:c r="C471" s="30" t="n">
        <x:v>0</x:v>
      </x:c>
      <x:c r="D471" s="30" t="n">
        <x:v>1</x:v>
      </x:c>
      <x:c r="E471" s="32" t="n">
        <x:f>IF(D471&gt;0,C471/D471,"")</x:f>
        <x:v>0</x:v>
      </x:c>
      <x:c r="F471" s="34" t="n">
        <x:v>2</x:v>
      </x:c>
    </x:row>
    <x:row r="472" ht="42" customHeight="1">
      <x:c r="A472" s="14" t="str">
        <x:v>https://kozhaclinic.ru/lazernaya-kosmetologiya/lazernaya-epilyaciya/</x:v>
      </x:c>
      <x:c r="B472" s="14" t="str">
        <x:v>сколько стоит 1 сеанс лазерной эпиляции</x:v>
      </x:c>
      <x:c r="C472" s="31" t="n">
        <x:v>0</x:v>
      </x:c>
      <x:c r="D472" s="31" t="n">
        <x:v>1</x:v>
      </x:c>
      <x:c r="E472" s="33" t="n">
        <x:f>IF(D472&gt;0,C472/D472,"")</x:f>
        <x:v>0</x:v>
      </x:c>
      <x:c r="F472" s="35" t="n">
        <x:v>2</x:v>
      </x:c>
    </x:row>
    <x:row r="473" ht="42" customHeight="1">
      <x:c r="A473" s="12" t="str">
        <x:v>https://kozhaclinic.ru/lazernaya-kosmetologiya/lazernaya-epilyaciya/</x:v>
      </x:c>
      <x:c r="B473" s="12" t="str">
        <x:v>удаление волос на лице</x:v>
      </x:c>
      <x:c r="C473" s="30" t="n">
        <x:v>0</x:v>
      </x:c>
      <x:c r="D473" s="30" t="n">
        <x:v>1</x:v>
      </x:c>
      <x:c r="E473" s="32" t="n">
        <x:f>IF(D473&gt;0,C473/D473,"")</x:f>
        <x:v>0</x:v>
      </x:c>
      <x:c r="F473" s="34" t="n">
        <x:v>2</x:v>
      </x:c>
    </x:row>
    <x:row r="474" ht="42" customHeight="1">
      <x:c r="A474" s="14" t="str">
        <x:v>https://kozhaclinic.ru/lazernaya-kosmetologiya/lazernaya-epilyaciya/</x:v>
      </x:c>
      <x:c r="B474" s="14" t="str">
        <x:v>лазерная депиляция всего тела</x:v>
      </x:c>
      <x:c r="C474" s="31" t="n">
        <x:v>0</x:v>
      </x:c>
      <x:c r="D474" s="31" t="n">
        <x:v>1</x:v>
      </x:c>
      <x:c r="E474" s="33" t="n">
        <x:f>IF(D474&gt;0,C474/D474,"")</x:f>
        <x:v>0</x:v>
      </x:c>
      <x:c r="F474" s="35" t="n">
        <x:v>3</x:v>
      </x:c>
    </x:row>
    <x:row r="475" ht="42" customHeight="1">
      <x:c r="A475" s="12" t="str">
        <x:v>https://kozhaclinic.ru/lazernaya-kosmetologiya/lazernaya-epilyaciya/</x:v>
      </x:c>
      <x:c r="B475" s="12" t="str">
        <x:v>сколько стоит лазер всего тела</x:v>
      </x:c>
      <x:c r="C475" s="30" t="n">
        <x:v>0</x:v>
      </x:c>
      <x:c r="D475" s="30" t="n">
        <x:v>1</x:v>
      </x:c>
      <x:c r="E475" s="32" t="n">
        <x:f>IF(D475&gt;0,C475/D475,"")</x:f>
        <x:v>0</x:v>
      </x:c>
      <x:c r="F475" s="34" t="n">
        <x:v>3</x:v>
      </x:c>
    </x:row>
    <x:row r="476" ht="42" customHeight="1">
      <x:c r="A476" s="14" t="str">
        <x:v>https://kozhaclinic.ru/lazernaya-kosmetologiya/lazernaya-epilyaciya/</x:v>
      </x:c>
      <x:c r="B476" s="14" t="str">
        <x:v>электроэпиляция сургут</x:v>
      </x:c>
      <x:c r="C476" s="31" t="n">
        <x:v>0</x:v>
      </x:c>
      <x:c r="D476" s="31" t="n">
        <x:v>1</x:v>
      </x:c>
      <x:c r="E476" s="33" t="n">
        <x:f>IF(D476&gt;0,C476/D476,"")</x:f>
        <x:v>0</x:v>
      </x:c>
      <x:c r="F476" s="35" t="n">
        <x:v>3</x:v>
      </x:c>
    </x:row>
    <x:row r="477" ht="42" customHeight="1">
      <x:c r="A477" s="12" t="str">
        <x:v>https://kozhaclinic.ru/lazernaya-kosmetologiya/lazernaya-epilyaciya/</x:v>
      </x:c>
      <x:c r="B477" s="12" t="str">
        <x:v>эпиляция ног полностью цена</x:v>
      </x:c>
      <x:c r="C477" s="30" t="n">
        <x:v>0</x:v>
      </x:c>
      <x:c r="D477" s="30" t="n">
        <x:v>1</x:v>
      </x:c>
      <x:c r="E477" s="32" t="n">
        <x:f>IF(D477&gt;0,C477/D477,"")</x:f>
        <x:v>0</x:v>
      </x:c>
      <x:c r="F477" s="34" t="n">
        <x:v>3</x:v>
      </x:c>
    </x:row>
    <x:row r="478" ht="42" customHeight="1">
      <x:c r="A478" s="14" t="str">
        <x:v>https://kozhaclinic.ru/lazernaya-kosmetologiya/lazernaya-epilyaciya/</x:v>
      </x:c>
      <x:c r="B478" s="14" t="str">
        <x:v>лазерная эпиляция ног</x:v>
      </x:c>
      <x:c r="C478" s="31" t="n">
        <x:v>0</x:v>
      </x:c>
      <x:c r="D478" s="31" t="n">
        <x:v>1</x:v>
      </x:c>
      <x:c r="E478" s="33" t="n">
        <x:f>IF(D478&gt;0,C478/D478,"")</x:f>
        <x:v>0</x:v>
      </x:c>
      <x:c r="F478" s="35" t="n">
        <x:v>4</x:v>
      </x:c>
    </x:row>
    <x:row r="479" ht="42" customHeight="1">
      <x:c r="A479" s="12" t="str">
        <x:v>https://kozhaclinic.ru/lazernaya-kosmetologiya/lazernaya-epilyaciya/</x:v>
      </x:c>
      <x:c r="B479" s="12" t="str">
        <x:v>сколько стоит лазерная эпиляция рук</x:v>
      </x:c>
      <x:c r="C479" s="30" t="n">
        <x:v>0</x:v>
      </x:c>
      <x:c r="D479" s="30" t="n">
        <x:v>1</x:v>
      </x:c>
      <x:c r="E479" s="32" t="n">
        <x:f>IF(D479&gt;0,C479/D479,"")</x:f>
        <x:v>0</x:v>
      </x:c>
      <x:c r="F479" s="34" t="n">
        <x:v>4</x:v>
      </x:c>
    </x:row>
    <x:row r="480" ht="42" customHeight="1">
      <x:c r="A480" s="14" t="str">
        <x:v>https://kozhaclinic.ru/lazernaya-kosmetologiya/lazernaya-epilyaciya/</x:v>
      </x:c>
      <x:c r="B480" s="14" t="str">
        <x:v>стоимость эпиляции</x:v>
      </x:c>
      <x:c r="C480" s="31" t="n">
        <x:v>0</x:v>
      </x:c>
      <x:c r="D480" s="31" t="n">
        <x:v>1</x:v>
      </x:c>
      <x:c r="E480" s="33" t="n">
        <x:f>IF(D480&gt;0,C480/D480,"")</x:f>
        <x:v>0</x:v>
      </x:c>
      <x:c r="F480" s="35" t="n">
        <x:v>4</x:v>
      </x:c>
    </x:row>
    <x:row r="481" ht="42" customHeight="1">
      <x:c r="A481" s="12" t="str">
        <x:v>https://kozhaclinic.ru/lazernaya-kosmetologiya/lazernaya-epilyaciya/</x:v>
      </x:c>
      <x:c r="B481" s="12" t="str">
        <x:v>лазерная эпиляция волос на теле</x:v>
      </x:c>
      <x:c r="C481" s="30" t="n">
        <x:v>0</x:v>
      </x:c>
      <x:c r="D481" s="30" t="n">
        <x:v>1</x:v>
      </x:c>
      <x:c r="E481" s="32" t="n">
        <x:f>IF(D481&gt;0,C481/D481,"")</x:f>
        <x:v>0</x:v>
      </x:c>
      <x:c r="F481" s="34" t="n">
        <x:v>5</x:v>
      </x:c>
    </x:row>
    <x:row r="482" ht="42" customHeight="1">
      <x:c r="A482" s="14" t="str">
        <x:v>https://kozhaclinic.ru/lazernaya-kosmetologiya/lazernaya-epilyaciya/</x:v>
      </x:c>
      <x:c r="B482" s="14" t="str">
        <x:v>лазерная эпиляция ног полностью цена</x:v>
      </x:c>
      <x:c r="C482" s="31" t="n">
        <x:v>0</x:v>
      </x:c>
      <x:c r="D482" s="31" t="n">
        <x:v>1</x:v>
      </x:c>
      <x:c r="E482" s="33" t="n">
        <x:f>IF(D482&gt;0,C482/D482,"")</x:f>
        <x:v>0</x:v>
      </x:c>
      <x:c r="F482" s="35" t="n">
        <x:v>5</x:v>
      </x:c>
    </x:row>
    <x:row r="483" ht="42" customHeight="1">
      <x:c r="A483" s="12" t="str">
        <x:v>https://kozhaclinic.ru/lazernaya-kosmetologiya/lazernaya-epilyaciya/</x:v>
      </x:c>
      <x:c r="B483" s="12" t="str">
        <x:v>лазерная эпиляция рук и ног</x:v>
      </x:c>
      <x:c r="C483" s="30" t="n">
        <x:v>0</x:v>
      </x:c>
      <x:c r="D483" s="30" t="n">
        <x:v>1</x:v>
      </x:c>
      <x:c r="E483" s="32" t="n">
        <x:f>IF(D483&gt;0,C483/D483,"")</x:f>
        <x:v>0</x:v>
      </x:c>
      <x:c r="F483" s="34" t="n">
        <x:v>5</x:v>
      </x:c>
    </x:row>
    <x:row r="484" ht="42" customHeight="1">
      <x:c r="A484" s="14" t="str">
        <x:v>https://kozhaclinic.ru/lazernaya-kosmetologiya/lazernaya-epilyaciya/</x:v>
      </x:c>
      <x:c r="B484" s="14" t="str">
        <x:v>лазерная эпиляция рядом</x:v>
      </x:c>
      <x:c r="C484" s="31" t="n">
        <x:v>0</x:v>
      </x:c>
      <x:c r="D484" s="31" t="n">
        <x:v>1</x:v>
      </x:c>
      <x:c r="E484" s="33" t="n">
        <x:f>IF(D484&gt;0,C484/D484,"")</x:f>
        <x:v>0</x:v>
      </x:c>
      <x:c r="F484" s="35" t="n">
        <x:v>5</x:v>
      </x:c>
    </x:row>
    <x:row r="485" ht="42" customHeight="1">
      <x:c r="A485" s="12" t="str">
        <x:v>https://kozhaclinic.ru/lazernaya-kosmetologiya/lazernaya-epilyaciya/</x:v>
      </x:c>
      <x:c r="B485" s="12" t="str">
        <x:v>лазерная эпиляция удаление</x:v>
      </x:c>
      <x:c r="C485" s="30" t="n">
        <x:v>0</x:v>
      </x:c>
      <x:c r="D485" s="30" t="n">
        <x:v>1</x:v>
      </x:c>
      <x:c r="E485" s="32" t="n">
        <x:f>IF(D485&gt;0,C485/D485,"")</x:f>
        <x:v>0</x:v>
      </x:c>
      <x:c r="F485" s="34" t="n">
        <x:v>5</x:v>
      </x:c>
    </x:row>
    <x:row r="486" ht="42" customHeight="1">
      <x:c r="A486" s="14" t="str">
        <x:v>https://kozhaclinic.ru/lazernaya-kosmetologiya/lazernaya-epilyaciya/</x:v>
      </x:c>
      <x:c r="B486" s="14" t="str">
        <x:v>лазерная эпиляция быстро</x:v>
      </x:c>
      <x:c r="C486" s="31" t="n">
        <x:v>0</x:v>
      </x:c>
      <x:c r="D486" s="31" t="n">
        <x:v>1</x:v>
      </x:c>
      <x:c r="E486" s="33" t="n">
        <x:f>IF(D486&gt;0,C486/D486,"")</x:f>
        <x:v>0</x:v>
      </x:c>
      <x:c r="F486" s="35" t="n">
        <x:v>6</x:v>
      </x:c>
    </x:row>
    <x:row r="487" ht="42" customHeight="1">
      <x:c r="A487" s="12" t="str">
        <x:v>https://kozhaclinic.ru/lazernaya-kosmetologiya/lazernaya-epilyaciya/</x:v>
      </x:c>
      <x:c r="B487" s="12" t="str">
        <x:v>лазерная эпиляция всего тела сургут</x:v>
      </x:c>
      <x:c r="C487" s="30" t="n">
        <x:v>0</x:v>
      </x:c>
      <x:c r="D487" s="30" t="n">
        <x:v>1</x:v>
      </x:c>
      <x:c r="E487" s="32" t="n">
        <x:f>IF(D487&gt;0,C487/D487,"")</x:f>
        <x:v>0</x:v>
      </x:c>
      <x:c r="F487" s="34" t="n">
        <x:v>6</x:v>
      </x:c>
    </x:row>
    <x:row r="488" ht="42" customHeight="1">
      <x:c r="A488" s="14" t="str">
        <x:v>https://kozhaclinic.ru/lazernaya-kosmetologiya/lazernaya-epilyaciya/</x:v>
      </x:c>
      <x:c r="B488" s="14" t="str">
        <x:v>лазерная эпиляция лба</x:v>
      </x:c>
      <x:c r="C488" s="31" t="n">
        <x:v>0</x:v>
      </x:c>
      <x:c r="D488" s="31" t="n">
        <x:v>1</x:v>
      </x:c>
      <x:c r="E488" s="33" t="n">
        <x:f>IF(D488&gt;0,C488/D488,"")</x:f>
        <x:v>0</x:v>
      </x:c>
      <x:c r="F488" s="35" t="n">
        <x:v>6</x:v>
      </x:c>
    </x:row>
    <x:row r="489" ht="42" customHeight="1">
      <x:c r="A489" s="12" t="str">
        <x:v>https://kozhaclinic.ru/lazernaya-kosmetologiya/lazernaya-epilyaciya/</x:v>
      </x:c>
      <x:c r="B489" s="12" t="str">
        <x:v>лазерная эпиляция ноги бикини</x:v>
      </x:c>
      <x:c r="C489" s="30" t="n">
        <x:v>0</x:v>
      </x:c>
      <x:c r="D489" s="30" t="n">
        <x:v>1</x:v>
      </x:c>
      <x:c r="E489" s="32" t="n">
        <x:f>IF(D489&gt;0,C489/D489,"")</x:f>
        <x:v>0</x:v>
      </x:c>
      <x:c r="F489" s="34" t="n">
        <x:v>6</x:v>
      </x:c>
    </x:row>
    <x:row r="490" ht="42" customHeight="1">
      <x:c r="A490" s="14" t="str">
        <x:v>https://kozhaclinic.ru/lazernaya-kosmetologiya/lazernaya-epilyaciya/</x:v>
      </x:c>
      <x:c r="B490" s="14" t="str">
        <x:v>лазерный эпиляция</x:v>
      </x:c>
      <x:c r="C490" s="31" t="n">
        <x:v>0</x:v>
      </x:c>
      <x:c r="D490" s="31" t="n">
        <x:v>1</x:v>
      </x:c>
      <x:c r="E490" s="33" t="n">
        <x:f>IF(D490&gt;0,C490/D490,"")</x:f>
        <x:v>0</x:v>
      </x:c>
      <x:c r="F490" s="35" t="n">
        <x:v>6</x:v>
      </x:c>
    </x:row>
    <x:row r="491" ht="42" customHeight="1">
      <x:c r="A491" s="12" t="str">
        <x:v>https://kozhaclinic.ru/lazernaya-kosmetologiya/lazernaya-epilyaciya/</x:v>
      </x:c>
      <x:c r="B491" s="12" t="str">
        <x:v>лазерный эпиляция бикини</x:v>
      </x:c>
      <x:c r="C491" s="30" t="n">
        <x:v>0</x:v>
      </x:c>
      <x:c r="D491" s="30" t="n">
        <x:v>1</x:v>
      </x:c>
      <x:c r="E491" s="32" t="n">
        <x:f>IF(D491&gt;0,C491/D491,"")</x:f>
        <x:v>0</x:v>
      </x:c>
      <x:c r="F491" s="34" t="n">
        <x:v>6</x:v>
      </x:c>
    </x:row>
    <x:row r="492" ht="42" customHeight="1">
      <x:c r="A492" s="14" t="str">
        <x:v>https://kozhaclinic.ru/lazernaya-kosmetologiya/lazernaya-epilyaciya/</x:v>
      </x:c>
      <x:c r="B492" s="14" t="str">
        <x:v>сколько стоит полный курс лазерной эпиляции</x:v>
      </x:c>
      <x:c r="C492" s="31" t="n">
        <x:v>0</x:v>
      </x:c>
      <x:c r="D492" s="31" t="n">
        <x:v>1</x:v>
      </x:c>
      <x:c r="E492" s="33" t="n">
        <x:f>IF(D492&gt;0,C492/D492,"")</x:f>
        <x:v>0</x:v>
      </x:c>
      <x:c r="F492" s="35" t="n">
        <x:v>6</x:v>
      </x:c>
    </x:row>
    <x:row r="493" ht="42" customHeight="1">
      <x:c r="A493" s="12" t="str">
        <x:v>https://kozhaclinic.ru/lazernaya-kosmetologiya/lazernaya-epilyaciya/</x:v>
      </x:c>
      <x:c r="B493" s="12" t="str">
        <x:v>эпиляция всего тела</x:v>
      </x:c>
      <x:c r="C493" s="30" t="n">
        <x:v>0</x:v>
      </x:c>
      <x:c r="D493" s="30" t="n">
        <x:v>1</x:v>
      </x:c>
      <x:c r="E493" s="32" t="n">
        <x:f>IF(D493&gt;0,C493/D493,"")</x:f>
        <x:v>0</x:v>
      </x:c>
      <x:c r="F493" s="34" t="n">
        <x:v>6</x:v>
      </x:c>
    </x:row>
    <x:row r="494" ht="42" customHeight="1">
      <x:c r="A494" s="14" t="str">
        <x:v>https://kozhaclinic.ru/lazernaya-kosmetologiya/lazernaya-epilyaciya/</x:v>
      </x:c>
      <x:c r="B494" s="14" t="str">
        <x:v>эпиляция ног цена</x:v>
      </x:c>
      <x:c r="C494" s="31" t="n">
        <x:v>0</x:v>
      </x:c>
      <x:c r="D494" s="31" t="n">
        <x:v>1</x:v>
      </x:c>
      <x:c r="E494" s="33" t="n">
        <x:f>IF(D494&gt;0,C494/D494,"")</x:f>
        <x:v>0</x:v>
      </x:c>
      <x:c r="F494" s="35" t="n">
        <x:v>6</x:v>
      </x:c>
    </x:row>
    <x:row r="495" ht="42" customHeight="1">
      <x:c r="A495" s="12" t="str">
        <x:v>https://kozhaclinic.ru/lazernaya-kosmetologiya/lazernaya-epilyaciya/</x:v>
      </x:c>
      <x:c r="B495" s="12" t="str">
        <x:v>интимная лазерная эпиляция</x:v>
      </x:c>
      <x:c r="C495" s="30" t="n">
        <x:v>0</x:v>
      </x:c>
      <x:c r="D495" s="30" t="n">
        <x:v>1</x:v>
      </x:c>
      <x:c r="E495" s="32" t="n">
        <x:f>IF(D495&gt;0,C495/D495,"")</x:f>
        <x:v>0</x:v>
      </x:c>
      <x:c r="F495" s="34" t="n">
        <x:v>7</x:v>
      </x:c>
    </x:row>
    <x:row r="496" ht="42" customHeight="1">
      <x:c r="A496" s="14" t="str">
        <x:v>https://kozhaclinic.ru/lazernaya-kosmetologiya/lazernaya-epilyaciya/</x:v>
      </x:c>
      <x:c r="B496" s="14" t="str">
        <x:v>лазерная эпиляция бикини</x:v>
      </x:c>
      <x:c r="C496" s="31" t="n">
        <x:v>0</x:v>
      </x:c>
      <x:c r="D496" s="31" t="n">
        <x:v>1</x:v>
      </x:c>
      <x:c r="E496" s="33" t="n">
        <x:f>IF(D496&gt;0,C496/D496,"")</x:f>
        <x:v>0</x:v>
      </x:c>
      <x:c r="F496" s="35" t="n">
        <x:v>7</x:v>
      </x:c>
    </x:row>
    <x:row r="497" ht="42" customHeight="1">
      <x:c r="A497" s="12" t="str">
        <x:v>https://kozhaclinic.ru/lazernaya-kosmetologiya/lazernaya-epilyaciya/</x:v>
      </x:c>
      <x:c r="B497" s="12" t="str">
        <x:v>лазерная эпиляция спина полностью</x:v>
      </x:c>
      <x:c r="C497" s="30" t="n">
        <x:v>0</x:v>
      </x:c>
      <x:c r="D497" s="30" t="n">
        <x:v>1</x:v>
      </x:c>
      <x:c r="E497" s="32" t="n">
        <x:f>IF(D497&gt;0,C497/D497,"")</x:f>
        <x:v>0</x:v>
      </x:c>
      <x:c r="F497" s="34" t="n">
        <x:v>7</x:v>
      </x:c>
    </x:row>
    <x:row r="498" ht="42" customHeight="1">
      <x:c r="A498" s="14" t="str">
        <x:v>https://kozhaclinic.ru/lazernaya-kosmetologiya/lazernaya-epilyaciya/</x:v>
      </x:c>
      <x:c r="B498" s="14" t="str">
        <x:v>лазерная эпиляция шея</x:v>
      </x:c>
      <x:c r="C498" s="31" t="n">
        <x:v>0</x:v>
      </x:c>
      <x:c r="D498" s="31" t="n">
        <x:v>1</x:v>
      </x:c>
      <x:c r="E498" s="33" t="n">
        <x:f>IF(D498&gt;0,C498/D498,"")</x:f>
        <x:v>0</x:v>
      </x:c>
      <x:c r="F498" s="35" t="n">
        <x:v>7</x:v>
      </x:c>
    </x:row>
    <x:row r="499" ht="42" customHeight="1">
      <x:c r="A499" s="12" t="str">
        <x:v>https://kozhaclinic.ru/lazernaya-kosmetologiya/lazernaya-epilyaciya/</x:v>
      </x:c>
      <x:c r="B499" s="12" t="str">
        <x:v>оазерная эпиляция</x:v>
      </x:c>
      <x:c r="C499" s="30" t="n">
        <x:v>0</x:v>
      </x:c>
      <x:c r="D499" s="30" t="n">
        <x:v>1</x:v>
      </x:c>
      <x:c r="E499" s="32" t="n">
        <x:f>IF(D499&gt;0,C499/D499,"")</x:f>
        <x:v>0</x:v>
      </x:c>
      <x:c r="F499" s="34" t="n">
        <x:v>7</x:v>
      </x:c>
    </x:row>
    <x:row r="500" ht="42" customHeight="1">
      <x:c r="A500" s="14" t="str">
        <x:v>https://kozhaclinic.ru/lazernaya-kosmetologiya/lazernaya-epilyaciya/</x:v>
      </x:c>
      <x:c r="B500" s="14" t="str">
        <x:v>сколько стоит лазерная эпиляция глубокого бикини</x:v>
      </x:c>
      <x:c r="C500" s="31" t="n">
        <x:v>0</x:v>
      </x:c>
      <x:c r="D500" s="31" t="n">
        <x:v>1</x:v>
      </x:c>
      <x:c r="E500" s="33" t="n">
        <x:f>IF(D500&gt;0,C500/D500,"")</x:f>
        <x:v>0</x:v>
      </x:c>
      <x:c r="F500" s="35" t="n">
        <x:v>7</x:v>
      </x:c>
    </x:row>
    <x:row r="501" ht="42" customHeight="1">
      <x:c r="A501" s="12" t="str">
        <x:v>https://kozhaclinic.ru/lazernaya-kosmetologiya/lazernaya-epilyaciya/</x:v>
      </x:c>
      <x:c r="B501" s="12" t="str">
        <x:v>что такое лазерная эпиляция</x:v>
      </x:c>
      <x:c r="C501" s="30" t="n">
        <x:v>0</x:v>
      </x:c>
      <x:c r="D501" s="30" t="n">
        <x:v>1</x:v>
      </x:c>
      <x:c r="E501" s="32" t="n">
        <x:f>IF(D501&gt;0,C501/D501,"")</x:f>
        <x:v>0</x:v>
      </x:c>
      <x:c r="F501" s="34" t="n">
        <x:v>7</x:v>
      </x:c>
    </x:row>
    <x:row r="502" ht="42" customHeight="1">
      <x:c r="A502" s="14" t="str">
        <x:v>https://kozhaclinic.ru/lazernaya-kosmetologiya/lazernaya-epilyaciya/</x:v>
      </x:c>
      <x:c r="B502" s="14" t="str">
        <x:v>эпиляция лазером</x:v>
      </x:c>
      <x:c r="C502" s="31" t="n">
        <x:v>0</x:v>
      </x:c>
      <x:c r="D502" s="31" t="n">
        <x:v>1</x:v>
      </x:c>
      <x:c r="E502" s="33" t="n">
        <x:f>IF(D502&gt;0,C502/D502,"")</x:f>
        <x:v>0</x:v>
      </x:c>
      <x:c r="F502" s="35" t="n">
        <x:v>7</x:v>
      </x:c>
    </x:row>
    <x:row r="503" ht="42" customHeight="1">
      <x:c r="A503" s="12" t="str">
        <x:v>https://kozhaclinic.ru/lazernaya-kosmetologiya/lazernaya-epilyaciya/</x:v>
      </x:c>
      <x:c r="B503" s="12" t="str">
        <x:v>эпиляция межбровья</x:v>
      </x:c>
      <x:c r="C503" s="30" t="n">
        <x:v>0</x:v>
      </x:c>
      <x:c r="D503" s="30" t="n">
        <x:v>1</x:v>
      </x:c>
      <x:c r="E503" s="32" t="n">
        <x:f>IF(D503&gt;0,C503/D503,"")</x:f>
        <x:v>0</x:v>
      </x:c>
      <x:c r="F503" s="34" t="n">
        <x:v>7</x:v>
      </x:c>
    </x:row>
    <x:row r="504" ht="42" customHeight="1">
      <x:c r="A504" s="14" t="str">
        <x:v>https://kozhaclinic.ru/lazernaya-kosmetologiya/lazernaya-epilyaciya/</x:v>
      </x:c>
      <x:c r="B504" s="14" t="str">
        <x:v>эпиляция подбородка цена</x:v>
      </x:c>
      <x:c r="C504" s="31" t="n">
        <x:v>0</x:v>
      </x:c>
      <x:c r="D504" s="31" t="n">
        <x:v>1</x:v>
      </x:c>
      <x:c r="E504" s="33" t="n">
        <x:f>IF(D504&gt;0,C504/D504,"")</x:f>
        <x:v>0</x:v>
      </x:c>
      <x:c r="F504" s="35" t="n">
        <x:v>7</x:v>
      </x:c>
    </x:row>
    <x:row r="505" ht="42" customHeight="1">
      <x:c r="A505" s="12" t="str">
        <x:v>https://kozhaclinic.ru/lazernaya-kosmetologiya/lazernaya-epilyaciya/</x:v>
      </x:c>
      <x:c r="B505" s="12" t="str">
        <x:v>эпиляция рук цены</x:v>
      </x:c>
      <x:c r="C505" s="30" t="n">
        <x:v>0</x:v>
      </x:c>
      <x:c r="D505" s="30" t="n">
        <x:v>1</x:v>
      </x:c>
      <x:c r="E505" s="32" t="n">
        <x:f>IF(D505&gt;0,C505/D505,"")</x:f>
        <x:v>0</x:v>
      </x:c>
      <x:c r="F505" s="34" t="n">
        <x:v>7</x:v>
      </x:c>
    </x:row>
    <x:row r="506" ht="42" customHeight="1">
      <x:c r="A506" s="14" t="str">
        <x:v>https://kozhaclinic.ru/lazernaya-kosmetologiya/lazernaya-epilyaciya/</x:v>
      </x:c>
      <x:c r="B506" s="14" t="str">
        <x:v>лазерная депиляция бикини</x:v>
      </x:c>
      <x:c r="C506" s="31" t="n">
        <x:v>0</x:v>
      </x:c>
      <x:c r="D506" s="31" t="n">
        <x:v>1</x:v>
      </x:c>
      <x:c r="E506" s="33" t="n">
        <x:f>IF(D506&gt;0,C506/D506,"")</x:f>
        <x:v>0</x:v>
      </x:c>
      <x:c r="F506" s="35" t="n">
        <x:v>8</x:v>
      </x:c>
    </x:row>
    <x:row r="507" ht="42" customHeight="1">
      <x:c r="A507" s="12" t="str">
        <x:v>https://kozhaclinic.ru/lazernaya-kosmetologiya/lazernaya-epilyaciya/</x:v>
      </x:c>
      <x:c r="B507" s="12" t="str">
        <x:v>лазерная депиляция подбородка</x:v>
      </x:c>
      <x:c r="C507" s="30" t="n">
        <x:v>0</x:v>
      </x:c>
      <x:c r="D507" s="30" t="n">
        <x:v>1</x:v>
      </x:c>
      <x:c r="E507" s="32" t="n">
        <x:f>IF(D507&gt;0,C507/D507,"")</x:f>
        <x:v>0</x:v>
      </x:c>
      <x:c r="F507" s="34" t="n">
        <x:v>8</x:v>
      </x:c>
    </x:row>
    <x:row r="508" ht="42" customHeight="1">
      <x:c r="A508" s="14" t="str">
        <x:v>https://kozhaclinic.ru/lazernaya-kosmetologiya/lazernaya-epilyaciya/</x:v>
      </x:c>
      <x:c r="B508" s="14" t="str">
        <x:v>лазерная депиляция спины</x:v>
      </x:c>
      <x:c r="C508" s="31" t="n">
        <x:v>0</x:v>
      </x:c>
      <x:c r="D508" s="31" t="n">
        <x:v>1</x:v>
      </x:c>
      <x:c r="E508" s="33" t="n">
        <x:f>IF(D508&gt;0,C508/D508,"")</x:f>
        <x:v>0</x:v>
      </x:c>
      <x:c r="F508" s="35" t="n">
        <x:v>8</x:v>
      </x:c>
    </x:row>
    <x:row r="509" ht="42" customHeight="1">
      <x:c r="A509" s="12" t="str">
        <x:v>https://kozhaclinic.ru/lazernaya-kosmetologiya/lazernaya-epilyaciya/</x:v>
      </x:c>
      <x:c r="B509" s="12" t="str">
        <x:v>лазерная эпиляция подбородка</x:v>
      </x:c>
      <x:c r="C509" s="30" t="n">
        <x:v>0</x:v>
      </x:c>
      <x:c r="D509" s="30" t="n">
        <x:v>1</x:v>
      </x:c>
      <x:c r="E509" s="32" t="n">
        <x:f>IF(D509&gt;0,C509/D509,"")</x:f>
        <x:v>0</x:v>
      </x:c>
      <x:c r="F509" s="34" t="n">
        <x:v>8</x:v>
      </x:c>
    </x:row>
    <x:row r="510" ht="42" customHeight="1">
      <x:c r="A510" s="14" t="str">
        <x:v>https://kozhaclinic.ru/lazernaya-kosmetologiya/lazernaya-epilyaciya/</x:v>
      </x:c>
      <x:c r="B510" s="14" t="str">
        <x:v>лазерная эпиляция усов</x:v>
      </x:c>
      <x:c r="C510" s="31" t="n">
        <x:v>0</x:v>
      </x:c>
      <x:c r="D510" s="31" t="n">
        <x:v>1</x:v>
      </x:c>
      <x:c r="E510" s="33" t="n">
        <x:f>IF(D510&gt;0,C510/D510,"")</x:f>
        <x:v>0</x:v>
      </x:c>
      <x:c r="F510" s="35" t="n">
        <x:v>8</x:v>
      </x:c>
    </x:row>
    <x:row r="511" ht="42" customHeight="1">
      <x:c r="A511" s="12" t="str">
        <x:v>https://kozhaclinic.ru/lazernaya-kosmetologiya/lazernaya-epilyaciya/</x:v>
      </x:c>
      <x:c r="B511" s="12" t="str">
        <x:v>студия лазерной эпиляции бикини</x:v>
      </x:c>
      <x:c r="C511" s="30" t="n">
        <x:v>0</x:v>
      </x:c>
      <x:c r="D511" s="30" t="n">
        <x:v>1</x:v>
      </x:c>
      <x:c r="E511" s="32" t="n">
        <x:f>IF(D511&gt;0,C511/D511,"")</x:f>
        <x:v>0</x:v>
      </x:c>
      <x:c r="F511" s="34" t="n">
        <x:v>8</x:v>
      </x:c>
    </x:row>
    <x:row r="512" ht="42" customHeight="1">
      <x:c r="A512" s="14" t="str">
        <x:v>https://kozhaclinic.ru/lazernaya-kosmetologiya/lazernaya-epilyaciya/</x:v>
      </x:c>
      <x:c r="B512" s="14" t="str">
        <x:v>эпиляция тела для женщин</x:v>
      </x:c>
      <x:c r="C512" s="31" t="n">
        <x:v>0</x:v>
      </x:c>
      <x:c r="D512" s="31" t="n">
        <x:v>1</x:v>
      </x:c>
      <x:c r="E512" s="33" t="n">
        <x:f>IF(D512&gt;0,C512/D512,"")</x:f>
        <x:v>0</x:v>
      </x:c>
      <x:c r="F512" s="35" t="n">
        <x:v>8</x:v>
      </x:c>
    </x:row>
    <x:row r="513" ht="42" customHeight="1">
      <x:c r="A513" s="12" t="str">
        <x:v>https://kozhaclinic.ru/lazernaya-kosmetologiya/lazernaya-epilyaciya/</x:v>
      </x:c>
      <x:c r="B513" s="12" t="str">
        <x:v>лазерная эпиляция бедра</x:v>
      </x:c>
      <x:c r="C513" s="30" t="n">
        <x:v>0</x:v>
      </x:c>
      <x:c r="D513" s="30" t="n">
        <x:v>1</x:v>
      </x:c>
      <x:c r="E513" s="32" t="n">
        <x:f>IF(D513&gt;0,C513/D513,"")</x:f>
        <x:v>0</x:v>
      </x:c>
      <x:c r="F513" s="34" t="n">
        <x:v>10</x:v>
      </x:c>
    </x:row>
    <x:row r="514" ht="42" customHeight="1">
      <x:c r="A514" s="14" t="str">
        <x:v>https://kozhaclinic.ru/lazernaya-kosmetologiya/lazernaya-epilyaciya/</x:v>
      </x:c>
      <x:c r="B514" s="14" t="str">
        <x:v>сколько стоит лазерная эпиляция всего тела для женщин</x:v>
      </x:c>
      <x:c r="C514" s="31" t="n">
        <x:v>0</x:v>
      </x:c>
      <x:c r="D514" s="31" t="n">
        <x:v>1</x:v>
      </x:c>
      <x:c r="E514" s="33" t="n">
        <x:f>IF(D514&gt;0,C514/D514,"")</x:f>
        <x:v>0</x:v>
      </x:c>
      <x:c r="F514" s="35" t="n">
        <x:v>10</x:v>
      </x:c>
    </x:row>
    <x:row r="515" ht="42" customHeight="1">
      <x:c r="A515" s="12" t="str">
        <x:v>https://kozhaclinic.ru/lazernaya-kosmetologiya/lazernaya-epilyaciya/</x:v>
      </x:c>
      <x:c r="B515" s="12" t="str">
        <x:v>цена на лазерную эпиляцию лица</x:v>
      </x:c>
      <x:c r="C515" s="30" t="n">
        <x:v>0</x:v>
      </x:c>
      <x:c r="D515" s="30" t="n">
        <x:v>1</x:v>
      </x:c>
      <x:c r="E515" s="32" t="n">
        <x:f>IF(D515&gt;0,C515/D515,"")</x:f>
        <x:v>0</x:v>
      </x:c>
      <x:c r="F515" s="34" t="n">
        <x:v>10</x:v>
      </x:c>
    </x:row>
    <x:row r="516" ht="42" customHeight="1">
      <x:c r="A516" s="14" t="str">
        <x:v>https://kozhaclinic.ru/lazernaya-kosmetologiya/lazernaya-epilyaciya/</x:v>
      </x:c>
      <x:c r="B516" s="14" t="str">
        <x:v>эпиляция зоны бикини стоимость</x:v>
      </x:c>
      <x:c r="C516" s="31" t="n">
        <x:v>0</x:v>
      </x:c>
      <x:c r="D516" s="31" t="n">
        <x:v>1</x:v>
      </x:c>
      <x:c r="E516" s="33" t="n">
        <x:f>IF(D516&gt;0,C516/D516,"")</x:f>
        <x:v>0</x:v>
      </x:c>
      <x:c r="F516" s="35" t="n">
        <x:v>10</x:v>
      </x:c>
    </x:row>
    <x:row r="517" ht="42" customHeight="1">
      <x:c r="A517" s="12" t="str">
        <x:v>https://kozhaclinic.ru/lazernaya-kosmetologiya/lazernaya-epilyaciya/</x:v>
      </x:c>
      <x:c r="B517" s="12" t="str">
        <x:v>женская эпиляция</x:v>
      </x:c>
      <x:c r="C517" s="30" t="n">
        <x:v>0</x:v>
      </x:c>
      <x:c r="D517" s="30" t="n">
        <x:v>1</x:v>
      </x:c>
      <x:c r="E517" s="32" t="n">
        <x:f>IF(D517&gt;0,C517/D517,"")</x:f>
        <x:v>0</x:v>
      </x:c>
      <x:c r="F517" s="34" t="n">
        <x:v>11</x:v>
      </x:c>
    </x:row>
    <x:row r="518" ht="42" customHeight="1">
      <x:c r="A518" s="14" t="str">
        <x:v>https://kozhaclinic.ru/lazernaya-kosmetologiya/lazernaya-epilyaciya/</x:v>
      </x:c>
      <x:c r="B518" s="14" t="str">
        <x:v>лазерная депиляция подмышек цена</x:v>
      </x:c>
      <x:c r="C518" s="31" t="n">
        <x:v>0</x:v>
      </x:c>
      <x:c r="D518" s="31" t="n">
        <x:v>1</x:v>
      </x:c>
      <x:c r="E518" s="33" t="n">
        <x:f>IF(D518&gt;0,C518/D518,"")</x:f>
        <x:v>0</x:v>
      </x:c>
      <x:c r="F518" s="35" t="n">
        <x:v>11</x:v>
      </x:c>
    </x:row>
    <x:row r="519" ht="42" customHeight="1">
      <x:c r="A519" s="12" t="str">
        <x:v>https://kozhaclinic.ru/lazernaya-kosmetologiya/lazernaya-epilyaciya/</x:v>
      </x:c>
      <x:c r="B519" s="12" t="str">
        <x:v>лазерная эпиляция подмышки стоимость</x:v>
      </x:c>
      <x:c r="C519" s="30" t="n">
        <x:v>0</x:v>
      </x:c>
      <x:c r="D519" s="30" t="n">
        <x:v>1</x:v>
      </x:c>
      <x:c r="E519" s="32" t="n">
        <x:f>IF(D519&gt;0,C519/D519,"")</x:f>
        <x:v>0</x:v>
      </x:c>
      <x:c r="F519" s="34" t="n">
        <x:v>11</x:v>
      </x:c>
    </x:row>
    <x:row r="520" ht="42" customHeight="1">
      <x:c r="A520" s="14" t="str">
        <x:v>https://kozhaclinic.ru/lazernaya-kosmetologiya/lazernaya-epilyaciya/</x:v>
      </x:c>
      <x:c r="B520" s="14" t="str">
        <x:v>лазерная эпиляция процедура волос</x:v>
      </x:c>
      <x:c r="C520" s="31" t="n">
        <x:v>0</x:v>
      </x:c>
      <x:c r="D520" s="31" t="n">
        <x:v>1</x:v>
      </x:c>
      <x:c r="E520" s="33" t="n">
        <x:f>IF(D520&gt;0,C520/D520,"")</x:f>
        <x:v>0</x:v>
      </x:c>
      <x:c r="F520" s="35" t="n">
        <x:v>11</x:v>
      </x:c>
    </x:row>
    <x:row r="521" ht="42" customHeight="1">
      <x:c r="A521" s="12" t="str">
        <x:v>https://kozhaclinic.ru/lazernaya-kosmetologiya/lazernaya-epilyaciya/</x:v>
      </x:c>
      <x:c r="B521" s="12" t="str">
        <x:v>лазерное удаление волос</x:v>
      </x:c>
      <x:c r="C521" s="30" t="n">
        <x:v>0</x:v>
      </x:c>
      <x:c r="D521" s="30" t="n">
        <x:v>1</x:v>
      </x:c>
      <x:c r="E521" s="32" t="n">
        <x:f>IF(D521&gt;0,C521/D521,"")</x:f>
        <x:v>0</x:v>
      </x:c>
      <x:c r="F521" s="34" t="n">
        <x:v>11</x:v>
      </x:c>
    </x:row>
    <x:row r="522" ht="42" customHeight="1">
      <x:c r="A522" s="14" t="str">
        <x:v>https://kozhaclinic.ru/lazernaya-kosmetologiya/lazernaya-epilyaciya/</x:v>
      </x:c>
      <x:c r="B522" s="14" t="str">
        <x:v>ультразвуковая эпиляция</x:v>
      </x:c>
      <x:c r="C522" s="31" t="n">
        <x:v>0</x:v>
      </x:c>
      <x:c r="D522" s="31" t="n">
        <x:v>1</x:v>
      </x:c>
      <x:c r="E522" s="33" t="n">
        <x:f>IF(D522&gt;0,C522/D522,"")</x:f>
        <x:v>0</x:v>
      </x:c>
      <x:c r="F522" s="35" t="n">
        <x:v>11</x:v>
      </x:c>
    </x:row>
    <x:row r="523" ht="42" customHeight="1">
      <x:c r="A523" s="12" t="str">
        <x:v>https://kozhaclinic.ru/lazernaya-kosmetologiya/lazernaya-epilyaciya/</x:v>
      </x:c>
      <x:c r="B523" s="12" t="str">
        <x:v>цена лазерной эпиляции над губой</x:v>
      </x:c>
      <x:c r="C523" s="30" t="n">
        <x:v>0</x:v>
      </x:c>
      <x:c r="D523" s="30" t="n">
        <x:v>1</x:v>
      </x:c>
      <x:c r="E523" s="32" t="n">
        <x:f>IF(D523&gt;0,C523/D523,"")</x:f>
        <x:v>0</x:v>
      </x:c>
      <x:c r="F523" s="34" t="n">
        <x:v>11</x:v>
      </x:c>
    </x:row>
    <x:row r="524" ht="42" customHeight="1">
      <x:c r="A524" s="14" t="str">
        <x:v>https://kozhaclinic.ru/lazernaya-kosmetologiya/lazernaya-epilyaciya/</x:v>
      </x:c>
      <x:c r="B524" s="14" t="str">
        <x:v>эпиляция бикини цена</x:v>
      </x:c>
      <x:c r="C524" s="31" t="n">
        <x:v>0</x:v>
      </x:c>
      <x:c r="D524" s="31" t="n">
        <x:v>1</x:v>
      </x:c>
      <x:c r="E524" s="33" t="n">
        <x:f>IF(D524&gt;0,C524/D524,"")</x:f>
        <x:v>0</x:v>
      </x:c>
      <x:c r="F524" s="35" t="n">
        <x:v>11</x:v>
      </x:c>
    </x:row>
    <x:row r="525" ht="42" customHeight="1">
      <x:c r="A525" s="12" t="str">
        <x:v>https://kozhaclinic.ru/lazernaya-kosmetologiya/lazernaya-epilyaciya/</x:v>
      </x:c>
      <x:c r="B525" s="12" t="str">
        <x:v>лазер эпиляция бикини</x:v>
      </x:c>
      <x:c r="C525" s="30" t="n">
        <x:v>0</x:v>
      </x:c>
      <x:c r="D525" s="30" t="n">
        <x:v>1</x:v>
      </x:c>
      <x:c r="E525" s="32" t="n">
        <x:f>IF(D525&gt;0,C525/D525,"")</x:f>
        <x:v>0</x:v>
      </x:c>
      <x:c r="F525" s="34" t="n">
        <x:v>12</x:v>
      </x:c>
    </x:row>
    <x:row r="526" ht="42" customHeight="1">
      <x:c r="A526" s="14" t="str">
        <x:v>https://kozhaclinic.ru/lazernaya-kosmetologiya/lazernaya-epilyaciya/</x:v>
      </x:c>
      <x:c r="B526" s="14" t="str">
        <x:v>лазерный эпиляция для женщин</x:v>
      </x:c>
      <x:c r="C526" s="31" t="n">
        <x:v>0</x:v>
      </x:c>
      <x:c r="D526" s="31" t="n">
        <x:v>1</x:v>
      </x:c>
      <x:c r="E526" s="33" t="n">
        <x:f>IF(D526&gt;0,C526/D526,"")</x:f>
        <x:v>0</x:v>
      </x:c>
      <x:c r="F526" s="35" t="n">
        <x:v>12</x:v>
      </x:c>
    </x:row>
    <x:row r="527" ht="42" customHeight="1">
      <x:c r="A527" s="12" t="str">
        <x:v>https://kozhaclinic.ru/lazernaya-kosmetologiya/lazernaya-epilyaciya/</x:v>
      </x:c>
      <x:c r="B527" s="12" t="str">
        <x:v>сургут</x:v>
      </x:c>
      <x:c r="C527" s="30" t="n">
        <x:v>0</x:v>
      </x:c>
      <x:c r="D527" s="30" t="n">
        <x:v>1</x:v>
      </x:c>
      <x:c r="E527" s="32" t="n">
        <x:f>IF(D527&gt;0,C527/D527,"")</x:f>
        <x:v>0</x:v>
      </x:c>
      <x:c r="F527" s="34" t="n">
        <x:v>12</x:v>
      </x:c>
    </x:row>
    <x:row r="528" ht="42" customHeight="1">
      <x:c r="A528" s="14" t="str">
        <x:v>https://kozhaclinic.ru/lazernaya-kosmetologiya/lazernaya-epilyaciya/</x:v>
      </x:c>
      <x:c r="B528" s="14" t="str">
        <x:v>эпиляция клиники</x:v>
      </x:c>
      <x:c r="C528" s="31" t="n">
        <x:v>0</x:v>
      </x:c>
      <x:c r="D528" s="31" t="n">
        <x:v>1</x:v>
      </x:c>
      <x:c r="E528" s="33" t="n">
        <x:f>IF(D528&gt;0,C528/D528,"")</x:f>
        <x:v>0</x:v>
      </x:c>
      <x:c r="F528" s="35" t="n">
        <x:v>14</x:v>
      </x:c>
    </x:row>
    <x:row r="529" ht="42" customHeight="1">
      <x:c r="A529" s="12" t="str">
        <x:v>https://kozhaclinic.ru/lazernaya-kosmetologiya/lazernaya-epilyaciya/</x:v>
      </x:c>
      <x:c r="B529" s="12" t="str">
        <x:v>цена на лазерное удаление волос на лице</x:v>
      </x:c>
      <x:c r="C529" s="30" t="n">
        <x:v>0</x:v>
      </x:c>
      <x:c r="D529" s="30" t="n">
        <x:v>1</x:v>
      </x:c>
      <x:c r="E529" s="32" t="n">
        <x:f>IF(D529&gt;0,C529/D529,"")</x:f>
        <x:v>0</x:v>
      </x:c>
      <x:c r="F529" s="34" t="n">
        <x:v>21</x:v>
      </x:c>
    </x:row>
    <x:row r="530" ht="42" customHeight="1">
      <x:c r="A530" s="14" t="str">
        <x:v>https://kozhaclinic.ru/lazernaya-kosmetologiya/lazernaya-epilyaciya/</x:v>
      </x:c>
      <x:c r="B530" s="14" t="str">
        <x:v>лазерная эпиляция лица стоимость</x:v>
      </x:c>
      <x:c r="C530" s="31" t="n">
        <x:v>0</x:v>
      </x:c>
      <x:c r="D530" s="31" t="n">
        <x:v>1</x:v>
      </x:c>
      <x:c r="E530" s="33" t="n">
        <x:f>IF(D530&gt;0,C530/D530,"")</x:f>
        <x:v>0</x:v>
      </x:c>
      <x:c r="F530" s="35" t="n">
        <x:v>25</x:v>
      </x:c>
    </x:row>
    <x:row r="531" ht="42" customHeight="1">
      <x:c r="A531" s="12" t="str">
        <x:v>https://kozhaclinic.ru/lazernaya-kosmetologiya/lazernaya-epilyaciya/</x:v>
      </x:c>
      <x:c r="B531" s="12" t="str">
        <x:v>лазерная эпиляция сколько стоит процедура одна</x:v>
      </x:c>
      <x:c r="C531" s="30" t="n">
        <x:v>0</x:v>
      </x:c>
      <x:c r="D531" s="30" t="n">
        <x:v>1</x:v>
      </x:c>
      <x:c r="E531" s="32" t="n">
        <x:f>IF(D531&gt;0,C531/D531,"")</x:f>
        <x:v>0</x:v>
      </x:c>
      <x:c r="F531" s="34" t="n">
        <x:v>25</x:v>
      </x:c>
    </x:row>
    <x:row r="532" ht="42" customHeight="1">
      <x:c r="A532" s="14" t="str">
        <x:v>https://kozhaclinic.ru/lazernaya-kosmetologiya/lazernaya-epilyaciya/</x:v>
      </x:c>
      <x:c r="B532" s="14" t="str">
        <x:v>лазерная эпиляция цена за 1 сеанс</x:v>
      </x:c>
      <x:c r="C532" s="31" t="n">
        <x:v>0</x:v>
      </x:c>
      <x:c r="D532" s="31" t="n">
        <x:v>1</x:v>
      </x:c>
      <x:c r="E532" s="33" t="n">
        <x:f>IF(D532&gt;0,C532/D532,"")</x:f>
        <x:v>0</x:v>
      </x:c>
      <x:c r="F532" s="35" t="n">
        <x:v>25</x:v>
      </x:c>
    </x:row>
    <x:row r="533" ht="42" customHeight="1">
      <x:c r="A533" s="12" t="str">
        <x:v>https://kozhaclinic.ru/lazernaya-kosmetologiya/lazernaya-epilyaciya/</x:v>
      </x:c>
      <x:c r="B533" s="12" t="str">
        <x:v>лазерная эпиляция цена процедуры</x:v>
      </x:c>
      <x:c r="C533" s="30" t="n">
        <x:v>0</x:v>
      </x:c>
      <x:c r="D533" s="30" t="n">
        <x:v>1</x:v>
      </x:c>
      <x:c r="E533" s="32" t="n">
        <x:f>IF(D533&gt;0,C533/D533,"")</x:f>
        <x:v>0</x:v>
      </x:c>
      <x:c r="F533" s="34" t="n">
        <x:v>27</x:v>
      </x:c>
    </x:row>
    <x:row r="534" ht="42" customHeight="1">
      <x:c r="A534" s="14" t="str">
        <x:v>https://kozhaclinic.ru/lazernaya-kosmetologiya/lazernaya-epilyaciya/</x:v>
      </x:c>
      <x:c r="B534" s="14" t="str">
        <x:v>клиника лазерной эпиляции и косметологии</x:v>
      </x:c>
      <x:c r="C534" s="31" t="n">
        <x:v>0</x:v>
      </x:c>
      <x:c r="D534" s="31" t="n">
        <x:v>1</x:v>
      </x:c>
      <x:c r="E534" s="33" t="n">
        <x:f>IF(D534&gt;0,C534/D534,"")</x:f>
        <x:v>0</x:v>
      </x:c>
      <x:c r="F534" s="35" t="n">
        <x:v>28</x:v>
      </x:c>
    </x:row>
    <x:row r="535" ht="42" customHeight="1">
      <x:c r="A535" s="12" t="str">
        <x:v>https://kozhaclinic.ru/lazernaya-kosmetologiya/lazernaya-epilyaciya/</x:v>
      </x:c>
      <x:c r="B535" s="12" t="str">
        <x:v>лазерная депиляция стоимость</x:v>
      </x:c>
      <x:c r="C535" s="30" t="n">
        <x:v>0</x:v>
      </x:c>
      <x:c r="D535" s="30" t="n">
        <x:v>1</x:v>
      </x:c>
      <x:c r="E535" s="32" t="n">
        <x:f>IF(D535&gt;0,C535/D535,"")</x:f>
        <x:v>0</x:v>
      </x:c>
      <x:c r="F535" s="34" t="n">
        <x:v>35</x:v>
      </x:c>
    </x:row>
    <x:row r="536" ht="42" customHeight="1">
      <x:c r="A536" s="14" t="str">
        <x:v>https://kozhaclinic.ru/lazernaya-kosmetologiya/lazernaya-epilyaciya/</x:v>
      </x:c>
      <x:c r="B536" s="14" t="str">
        <x:v>удаление усов лазером цена</x:v>
      </x:c>
      <x:c r="C536" s="31" t="n">
        <x:v>0</x:v>
      </x:c>
      <x:c r="D536" s="31" t="n">
        <x:v>1</x:v>
      </x:c>
      <x:c r="E536" s="33" t="n">
        <x:f>IF(D536&gt;0,C536/D536,"")</x:f>
        <x:v>0</x:v>
      </x:c>
      <x:c r="F536" s="35" t="n">
        <x:v>36</x:v>
      </x:c>
    </x:row>
    <x:row r="537" ht="42" customHeight="1">
      <x:c r="A537" s="12" t="str">
        <x:v>https://kozhaclinic.ru/lazernaya-kosmetologiya/lazernaya-epilyaciya/</x:v>
      </x:c>
      <x:c r="B537" s="12" t="str">
        <x:v>qool эпиляция цена</x:v>
      </x:c>
      <x:c r="C537" s="30" t="n">
        <x:v>0</x:v>
      </x:c>
      <x:c r="D537" s="30" t="n">
        <x:v>1</x:v>
      </x:c>
      <x:c r="E537" s="32" t="n">
        <x:f>IF(D537&gt;0,C537/D537,"")</x:f>
        <x:v>0</x:v>
      </x:c>
      <x:c r="F537" s="34" t="n">
        <x:v>43</x:v>
      </x:c>
    </x:row>
    <x:row r="538" ht="42" customHeight="1">
      <x:c r="A538" s="14" t="str">
        <x:v>https://kozhaclinic.ru/lazernaya-kosmetologiya/lazernaya-epilyaciya/</x:v>
      </x:c>
      <x:c r="B538" s="14" t="str">
        <x:v>лазерная эпиляция волос цены</x:v>
      </x:c>
      <x:c r="C538" s="31" t="n">
        <x:v>0</x:v>
      </x:c>
      <x:c r="D538" s="31" t="n">
        <x:v>1</x:v>
      </x:c>
      <x:c r="E538" s="33" t="n">
        <x:f>IF(D538&gt;0,C538/D538,"")</x:f>
        <x:v>0</x:v>
      </x:c>
      <x:c r="F538" s="35" t="n">
        <x:v>46</x:v>
      </x:c>
    </x:row>
    <x:row r="539" ht="42" customHeight="1">
      <x:c r="A539" s="12" t="str">
        <x:v>https://kozhaclinic.ru/lazernaya-kosmetologiya/lazernaya-epilyaciya/</x:v>
      </x:c>
      <x:c r="B539" s="12" t="str">
        <x:v>сколько стоит эпиляция</x:v>
      </x:c>
      <x:c r="C539" s="30" t="n">
        <x:v>0</x:v>
      </x:c>
      <x:c r="D539" s="30" t="n">
        <x:v>1</x:v>
      </x:c>
      <x:c r="E539" s="32" t="n">
        <x:f>IF(D539&gt;0,C539/D539,"")</x:f>
        <x:v>0</x:v>
      </x:c>
      <x:c r="F539" s="34" t="n">
        <x:v>86</x:v>
      </x:c>
    </x:row>
    <x:row r="540" ht="42" customHeight="1">
      <x:c r="A540" s="14" t="str">
        <x:v>https://kozhaclinic.ru/lazernaya-kosmetologiya/lazernaya-epilyaciya/</x:v>
      </x:c>
      <x:c r="B540" s="14" t="str">
        <x:v>сколько стоит эпиляция лазером</x:v>
      </x:c>
      <x:c r="C540" s="31" t="n">
        <x:v>0</x:v>
      </x:c>
      <x:c r="D540" s="31" t="n">
        <x:v>1</x:v>
      </x:c>
      <x:c r="E540" s="33" t="n">
        <x:f>IF(D540&gt;0,C540/D540,"")</x:f>
        <x:v>0</x:v>
      </x:c>
      <x:c r="F540" s="35" t="n">
        <x:v>86</x:v>
      </x:c>
    </x:row>
    <x:row r="541" ht="42" customHeight="1">
      <x:c r="A541" s="12" t="str">
        <x:v>https://kozhaclinic.ru/lazernaya-kosmetologiya/lazernaya-epilyaciya/</x:v>
      </x:c>
      <x:c r="B541" s="12" t="str">
        <x:v>сколько стоит лазерная эпиляция всего тела</x:v>
      </x:c>
      <x:c r="C541" s="30" t="n">
        <x:v>0</x:v>
      </x:c>
      <x:c r="D541" s="30" t="n">
        <x:v>1</x:v>
      </x:c>
      <x:c r="E541" s="32" t="n">
        <x:f>IF(D541&gt;0,C541/D541,"")</x:f>
        <x:v>0</x:v>
      </x:c>
      <x:c r="F541" s="34" t="n">
        <x:v>95</x:v>
      </x:c>
    </x:row>
    <x:row r="542" ht="42" customHeight="1">
      <x:c r="A542" s="14" t="str">
        <x:v>https://kozhaclinic.ru/lazernaya-kosmetologiya/lazernaya-epilyaciya/</x:v>
      </x:c>
      <x:c r="B542" s="14" t="str">
        <x:v>удаление волос лазером стоимость</x:v>
      </x:c>
      <x:c r="C542" s="31" t="n">
        <x:v>0</x:v>
      </x:c>
      <x:c r="D542" s="31" t="n">
        <x:v>1</x:v>
      </x:c>
      <x:c r="E542" s="33" t="n">
        <x:f>IF(D542&gt;0,C542/D542,"")</x:f>
        <x:v>0</x:v>
      </x:c>
      <x:c r="F542" s="35" t="n">
        <x:v>95</x:v>
      </x:c>
    </x:row>
    <x:row r="543" ht="42" customHeight="1">
      <x:c r="A543" s="12" t="str">
        <x:v>https://kozhaclinic.ru/lazernaya-kosmetologiya/lazernaya-epilyaciya/</x:v>
      </x:c>
      <x:c r="B543" s="12" t="str">
        <x:v>цены на эпиляцию</x:v>
      </x:c>
      <x:c r="C543" s="30" t="n">
        <x:v>0</x:v>
      </x:c>
      <x:c r="D543" s="30" t="n">
        <x:v>1</x:v>
      </x:c>
      <x:c r="E543" s="32" t="n">
        <x:f>IF(D543&gt;0,C543/D543,"")</x:f>
        <x:v>0</x:v>
      </x:c>
      <x:c r="F543" s="34" t="n">
        <x:v>102</x:v>
      </x:c>
    </x:row>
    <x:row r="544" ht="42" customHeight="1">
      <x:c r="A544" s="14" t="str">
        <x:v>https://kozhaclinic.ru/lazernaya-kosmetologiya/lazernaya-epilyaciya/</x:v>
      </x:c>
      <x:c r="B544" s="14" t="str">
        <x:v>эпиляция сколько стоит</x:v>
      </x:c>
      <x:c r="C544" s="31" t="n">
        <x:v>0</x:v>
      </x:c>
      <x:c r="D544" s="31" t="n">
        <x:v>1</x:v>
      </x:c>
      <x:c r="E544" s="33" t="n">
        <x:f>IF(D544&gt;0,C544/D544,"")</x:f>
        <x:v>0</x:v>
      </x:c>
      <x:c r="F544" s="35" t="n">
        <x:v>103</x:v>
      </x:c>
    </x:row>
    <x:row r="545" ht="42" customHeight="1">
      <x:c r="A545" s="12" t="str">
        <x:v>https://kozhaclinic.ru/lazernaya-kosmetologiya/lazernaya-epilyaciya/</x:v>
      </x:c>
      <x:c r="B545" s="12" t="str">
        <x:v>лазерная эпиляция усов цена</x:v>
      </x:c>
      <x:c r="C545" s="30" t="n">
        <x:v>0</x:v>
      </x:c>
      <x:c r="D545" s="30" t="n">
        <x:v>1</x:v>
      </x:c>
      <x:c r="E545" s="32" t="n">
        <x:f>IF(D545&gt;0,C545/D545,"")</x:f>
        <x:v>0</x:v>
      </x:c>
      <x:c r="F545" s="34" t="n">
        <x:v>107</x:v>
      </x:c>
    </x:row>
    <x:row r="546" ht="42" customHeight="1">
      <x:c r="A546" s="14" t="str">
        <x:v>https://kozhaclinic.ru/inekcionnaya-kosmetologiya/lipolitiki/</x:v>
      </x:c>
      <x:c r="B546" s="14" t="str">
        <x:v>липолитики в подбородок цена</x:v>
      </x:c>
      <x:c r="C546" s="31" t="n">
        <x:v>1</x:v>
      </x:c>
      <x:c r="D546" s="31" t="n">
        <x:v>2</x:v>
      </x:c>
      <x:c r="E546" s="33" t="n">
        <x:f>IF(D546&gt;0,C546/D546,"")</x:f>
        <x:v>0.5</x:v>
      </x:c>
      <x:c r="F546" s="35" t="n">
        <x:v>2</x:v>
      </x:c>
    </x:row>
    <x:row r="547" ht="42" customHeight="1">
      <x:c r="A547" s="12" t="str">
        <x:v>https://kozhaclinic.ru/inekcionnaya-kosmetologiya/lipolitiki/</x:v>
      </x:c>
      <x:c r="B547" s="12" t="str">
        <x:v>липолитики в лицо цена</x:v>
      </x:c>
      <x:c r="C547" s="30" t="n">
        <x:v>0</x:v>
      </x:c>
      <x:c r="D547" s="30" t="n">
        <x:v>3</x:v>
      </x:c>
      <x:c r="E547" s="32" t="n">
        <x:f>IF(D547&gt;0,C547/D547,"")</x:f>
        <x:v>0</x:v>
      </x:c>
      <x:c r="F547" s="34" t="n">
        <x:v>1.33</x:v>
      </x:c>
    </x:row>
    <x:row r="548" ht="42" customHeight="1">
      <x:c r="A548" s="14" t="str">
        <x:v>https://kozhaclinic.ru/inekcionnaya-kosmetologiya/lipolitiki/</x:v>
      </x:c>
      <x:c r="B548" s="14" t="str">
        <x:v>липолитики от целлюлита</x:v>
      </x:c>
      <x:c r="C548" s="31" t="n">
        <x:v>0</x:v>
      </x:c>
      <x:c r="D548" s="31" t="n">
        <x:v>2</x:v>
      </x:c>
      <x:c r="E548" s="33" t="n">
        <x:f>IF(D548&gt;0,C548/D548,"")</x:f>
        <x:v>0</x:v>
      </x:c>
      <x:c r="F548" s="35" t="n">
        <x:v>57</x:v>
      </x:c>
    </x:row>
    <x:row r="549" ht="42" customHeight="1">
      <x:c r="A549" s="12" t="str">
        <x:v>https://kozhaclinic.ru/inekcionnaya-kosmetologiya/lipolitiki/</x:v>
      </x:c>
      <x:c r="B549" s="12" t="str">
        <x:v>липолитики в живот цена</x:v>
      </x:c>
      <x:c r="C549" s="30" t="n">
        <x:v>0</x:v>
      </x:c>
      <x:c r="D549" s="30" t="n">
        <x:v>1</x:v>
      </x:c>
      <x:c r="E549" s="32" t="n">
        <x:f>IF(D549&gt;0,C549/D549,"")</x:f>
        <x:v>0</x:v>
      </x:c>
      <x:c r="F549" s="34" t="n">
        <x:v>1</x:v>
      </x:c>
    </x:row>
    <x:row r="550" ht="42" customHeight="1">
      <x:c r="A550" s="14" t="str">
        <x:v>https://kozhaclinic.ru/inekcionnaya-kosmetologiya/lipolitiki/</x:v>
      </x:c>
      <x:c r="B550" s="14" t="str">
        <x:v>липолитики в руки цена</x:v>
      </x:c>
      <x:c r="C550" s="31" t="n">
        <x:v>0</x:v>
      </x:c>
      <x:c r="D550" s="31" t="n">
        <x:v>1</x:v>
      </x:c>
      <x:c r="E550" s="33" t="n">
        <x:f>IF(D550&gt;0,C550/D550,"")</x:f>
        <x:v>0</x:v>
      </x:c>
      <x:c r="F550" s="35" t="n">
        <x:v>1</x:v>
      </x:c>
    </x:row>
    <x:row r="551" ht="42" customHeight="1">
      <x:c r="A551" s="12" t="str">
        <x:v>https://kozhaclinic.ru/inekcionnaya-kosmetologiya/lipolitiki/</x:v>
      </x:c>
      <x:c r="B551" s="12" t="str">
        <x:v>сколько стоит липолитики</x:v>
      </x:c>
      <x:c r="C551" s="30" t="n">
        <x:v>0</x:v>
      </x:c>
      <x:c r="D551" s="30" t="n">
        <x:v>1</x:v>
      </x:c>
      <x:c r="E551" s="32" t="n">
        <x:f>IF(D551&gt;0,C551/D551,"")</x:f>
        <x:v>0</x:v>
      </x:c>
      <x:c r="F551" s="34" t="n">
        <x:v>1</x:v>
      </x:c>
    </x:row>
    <x:row r="552" ht="42" customHeight="1">
      <x:c r="A552" s="14" t="str">
        <x:v>https://kozhaclinic.ru/inekcionnaya-kosmetologiya/lipolitiki/</x:v>
      </x:c>
      <x:c r="B552" s="14" t="str">
        <x:v>живот</x:v>
      </x:c>
      <x:c r="C552" s="31" t="n">
        <x:v>0</x:v>
      </x:c>
      <x:c r="D552" s="31" t="n">
        <x:v>1</x:v>
      </x:c>
      <x:c r="E552" s="33" t="n">
        <x:f>IF(D552&gt;0,C552/D552,"")</x:f>
        <x:v>0</x:v>
      </x:c>
      <x:c r="F552" s="35" t="n">
        <x:v>2</x:v>
      </x:c>
    </x:row>
    <x:row r="553" ht="42" customHeight="1">
      <x:c r="A553" s="12" t="str">
        <x:v>https://kozhaclinic.ru/inekcionnaya-kosmetologiya/lipolitiki/</x:v>
      </x:c>
      <x:c r="B553" s="12" t="str">
        <x:v>липолитик стоимость</x:v>
      </x:c>
      <x:c r="C553" s="30" t="n">
        <x:v>0</x:v>
      </x:c>
      <x:c r="D553" s="30" t="n">
        <x:v>1</x:v>
      </x:c>
      <x:c r="E553" s="32" t="n">
        <x:f>IF(D553&gt;0,C553/D553,"")</x:f>
        <x:v>0</x:v>
      </x:c>
      <x:c r="F553" s="34" t="n">
        <x:v>2</x:v>
      </x:c>
    </x:row>
    <x:row r="554" ht="42" customHeight="1">
      <x:c r="A554" s="14" t="str">
        <x:v>https://kozhaclinic.ru/inekcionnaya-kosmetologiya/lipolitiki/</x:v>
      </x:c>
      <x:c r="B554" s="14" t="str">
        <x:v>сколько стоит курс липолитиков</x:v>
      </x:c>
      <x:c r="C554" s="31" t="n">
        <x:v>0</x:v>
      </x:c>
      <x:c r="D554" s="31" t="n">
        <x:v>1</x:v>
      </x:c>
      <x:c r="E554" s="33" t="n">
        <x:f>IF(D554&gt;0,C554/D554,"")</x:f>
        <x:v>0</x:v>
      </x:c>
      <x:c r="F554" s="35" t="n">
        <x:v>2</x:v>
      </x:c>
    </x:row>
    <x:row r="555" ht="42" customHeight="1">
      <x:c r="A555" s="12" t="str">
        <x:v>https://kozhaclinic.ru/inekcionnaya-kosmetologiya/lipolitiki/</x:v>
      </x:c>
      <x:c r="B555" s="12" t="str">
        <x:v>сколько стоит укол липолитика в подбородок</x:v>
      </x:c>
      <x:c r="C555" s="30" t="n">
        <x:v>0</x:v>
      </x:c>
      <x:c r="D555" s="30" t="n">
        <x:v>1</x:v>
      </x:c>
      <x:c r="E555" s="32" t="n">
        <x:f>IF(D555&gt;0,C555/D555,"")</x:f>
        <x:v>0</x:v>
      </x:c>
      <x:c r="F555" s="34" t="n">
        <x:v>2</x:v>
      </x:c>
    </x:row>
    <x:row r="556" ht="42" customHeight="1">
      <x:c r="A556" s="14" t="str">
        <x:v>https://kozhaclinic.ru/inekcionnaya-kosmetologiya/lipolitiki/</x:v>
      </x:c>
      <x:c r="B556" s="14" t="str">
        <x:v>липолитики кисловодск</x:v>
      </x:c>
      <x:c r="C556" s="31" t="n">
        <x:v>0</x:v>
      </x:c>
      <x:c r="D556" s="31" t="n">
        <x:v>1</x:v>
      </x:c>
      <x:c r="E556" s="33" t="n">
        <x:f>IF(D556&gt;0,C556/D556,"")</x:f>
        <x:v>0</x:v>
      </x:c>
      <x:c r="F556" s="35" t="n">
        <x:v>4</x:v>
      </x:c>
    </x:row>
    <x:row r="557" ht="42" customHeight="1">
      <x:c r="A557" s="12" t="str">
        <x:v>https://kozhaclinic.ru/inekcionnaya-kosmetologiya/lipolitiki/</x:v>
      </x:c>
      <x:c r="B557" s="12" t="str">
        <x:v>липолептики</x:v>
      </x:c>
      <x:c r="C557" s="30" t="n">
        <x:v>0</x:v>
      </x:c>
      <x:c r="D557" s="30" t="n">
        <x:v>1</x:v>
      </x:c>
      <x:c r="E557" s="32" t="n">
        <x:f>IF(D557&gt;0,C557/D557,"")</x:f>
        <x:v>0</x:v>
      </x:c>
      <x:c r="F557" s="34" t="n">
        <x:v>5</x:v>
      </x:c>
    </x:row>
    <x:row r="558" ht="42" customHeight="1">
      <x:c r="A558" s="14" t="str">
        <x:v>https://kozhaclinic.ru/inekcionnaya-kosmetologiya/lipolitiki/</x:v>
      </x:c>
      <x:c r="B558" s="14" t="str">
        <x:v>липолитики цена</x:v>
      </x:c>
      <x:c r="C558" s="31" t="n">
        <x:v>0</x:v>
      </x:c>
      <x:c r="D558" s="31" t="n">
        <x:v>1</x:v>
      </x:c>
      <x:c r="E558" s="33" t="n">
        <x:f>IF(D558&gt;0,C558/D558,"")</x:f>
        <x:v>0</x:v>
      </x:c>
      <x:c r="F558" s="35" t="n">
        <x:v>5</x:v>
      </x:c>
    </x:row>
    <x:row r="559" ht="42" customHeight="1">
      <x:c r="A559" s="12" t="str">
        <x:v>https://kozhaclinic.ru/inekcionnaya-kosmetologiya/lipolitiki/</x:v>
      </x:c>
      <x:c r="B559" s="12" t="str">
        <x:v>липолитики в подмышки отзывы</x:v>
      </x:c>
      <x:c r="C559" s="30" t="n">
        <x:v>0</x:v>
      </x:c>
      <x:c r="D559" s="30" t="n">
        <x:v>1</x:v>
      </x:c>
      <x:c r="E559" s="32" t="n">
        <x:f>IF(D559&gt;0,C559/D559,"")</x:f>
        <x:v>0</x:v>
      </x:c>
      <x:c r="F559" s="34" t="n">
        <x:v>11</x:v>
      </x:c>
    </x:row>
    <x:row r="560" ht="42" customHeight="1">
      <x:c r="A560" s="14" t="str">
        <x:v>https://kozhaclinic.ru/inekcionnaya-kosmetologiya/lipolitiki/</x:v>
      </x:c>
      <x:c r="B560" s="14" t="str">
        <x:v>инъекция липолитиков</x:v>
      </x:c>
      <x:c r="C560" s="31" t="n">
        <x:v>0</x:v>
      </x:c>
      <x:c r="D560" s="31" t="n">
        <x:v>1</x:v>
      </x:c>
      <x:c r="E560" s="33" t="n">
        <x:f>IF(D560&gt;0,C560/D560,"")</x:f>
        <x:v>0</x:v>
      </x:c>
      <x:c r="F560" s="35" t="n">
        <x:v>18</x:v>
      </x:c>
    </x:row>
    <x:row r="561" ht="42" customHeight="1">
      <x:c r="A561" s="12" t="str">
        <x:v>https://kozhaclinic.ru/inekcionnaya-kosmetologiya/lipolitiki/</x:v>
      </x:c>
      <x:c r="B561" s="12" t="str">
        <x:v>инъекции липолитиков цена</x:v>
      </x:c>
      <x:c r="C561" s="30" t="n">
        <x:v>0</x:v>
      </x:c>
      <x:c r="D561" s="30" t="n">
        <x:v>1</x:v>
      </x:c>
      <x:c r="E561" s="32" t="n">
        <x:f>IF(D561&gt;0,C561/D561,"")</x:f>
        <x:v>0</x:v>
      </x:c>
      <x:c r="F561" s="34" t="n">
        <x:v>29</x:v>
      </x:c>
    </x:row>
    <x:row r="562" ht="42" customHeight="1">
      <x:c r="A562" s="14" t="str">
        <x:v>https://kozhaclinic.ru/inekcionnaya-kosmetologiya/konturnaya-plastika/uvlazhnenie-gub/</x:v>
      </x:c>
      <x:c r="B562" s="14" t="str">
        <x:v>увлажнение губ</x:v>
      </x:c>
      <x:c r="C562" s="31" t="n">
        <x:v>6</x:v>
      </x:c>
      <x:c r="D562" s="31" t="n">
        <x:v>912</x:v>
      </x:c>
      <x:c r="E562" s="33" t="n">
        <x:f>IF(D562&gt;0,C562/D562,"")</x:f>
        <x:v>0.006578947368421052</x:v>
      </x:c>
      <x:c r="F562" s="35" t="n">
        <x:v>5.28</x:v>
      </x:c>
    </x:row>
    <x:row r="563" ht="42" customHeight="1">
      <x:c r="A563" s="12" t="str">
        <x:v>https://kozhaclinic.ru/inekcionnaya-kosmetologiya/konturnaya-plastika/uvlazhnenie-gub/</x:v>
      </x:c>
      <x:c r="B563" s="12" t="str">
        <x:v>увлажнение губ гиалуроновой кислотой</x:v>
      </x:c>
      <x:c r="C563" s="30" t="n">
        <x:v>2</x:v>
      </x:c>
      <x:c r="D563" s="30" t="n">
        <x:v>338</x:v>
      </x:c>
      <x:c r="E563" s="32" t="n">
        <x:f>IF(D563&gt;0,C563/D563,"")</x:f>
        <x:v>0.005917159763313609</x:v>
      </x:c>
      <x:c r="F563" s="34" t="n">
        <x:v>6.97</x:v>
      </x:c>
    </x:row>
    <x:row r="564" ht="42" customHeight="1">
      <x:c r="A564" s="14" t="str">
        <x:v>https://kozhaclinic.ru/inekcionnaya-kosmetologiya/konturnaya-plastika/uvlazhnenie-gub/</x:v>
      </x:c>
      <x:c r="B564" s="14" t="str">
        <x:v>увлажнение губ процедура</x:v>
      </x:c>
      <x:c r="C564" s="31" t="n">
        <x:v>1</x:v>
      </x:c>
      <x:c r="D564" s="31" t="n">
        <x:v>113</x:v>
      </x:c>
      <x:c r="E564" s="33" t="n">
        <x:f>IF(D564&gt;0,C564/D564,"")</x:f>
        <x:v>0.008849557522123894</x:v>
      </x:c>
      <x:c r="F564" s="35" t="n">
        <x:v>6.03</x:v>
      </x:c>
    </x:row>
    <x:row r="565" ht="42" customHeight="1">
      <x:c r="A565" s="12" t="str">
        <x:v>https://kozhaclinic.ru/inekcionnaya-kosmetologiya/konturnaya-plastika/uvlazhnenie-gub/</x:v>
      </x:c>
      <x:c r="B565" s="12" t="str">
        <x:v>увлажнение губ косметология</x:v>
      </x:c>
      <x:c r="C565" s="30" t="n">
        <x:v>1</x:v>
      </x:c>
      <x:c r="D565" s="30" t="n">
        <x:v>42</x:v>
      </x:c>
      <x:c r="E565" s="32" t="n">
        <x:f>IF(D565&gt;0,C565/D565,"")</x:f>
        <x:v>0.023809523809523808</x:v>
      </x:c>
      <x:c r="F565" s="34" t="n">
        <x:v>5.95</x:v>
      </x:c>
    </x:row>
    <x:row r="566" ht="42" customHeight="1">
      <x:c r="A566" s="14" t="str">
        <x:v>https://kozhaclinic.ru/inekcionnaya-kosmetologiya/konturnaya-plastika/uvlazhnenie-gub/</x:v>
      </x:c>
      <x:c r="B566" s="14" t="str">
        <x:v>что такое увлажнение губ</x:v>
      </x:c>
      <x:c r="C566" s="31" t="n">
        <x:v>1</x:v>
      </x:c>
      <x:c r="D566" s="31" t="n">
        <x:v>39</x:v>
      </x:c>
      <x:c r="E566" s="33" t="n">
        <x:f>IF(D566&gt;0,C566/D566,"")</x:f>
        <x:v>0.02564102564102564</x:v>
      </x:c>
      <x:c r="F566" s="35" t="n">
        <x:v>3.44</x:v>
      </x:c>
    </x:row>
    <x:row r="567" ht="42" customHeight="1">
      <x:c r="A567" s="12" t="str">
        <x:v>https://kozhaclinic.ru/inekcionnaya-kosmetologiya/konturnaya-plastika/uvlazhnenie-gub/</x:v>
      </x:c>
      <x:c r="B567" s="12" t="str">
        <x:v>омоложение губ без увеличения</x:v>
      </x:c>
      <x:c r="C567" s="30" t="n">
        <x:v>1</x:v>
      </x:c>
      <x:c r="D567" s="30" t="n">
        <x:v>31</x:v>
      </x:c>
      <x:c r="E567" s="32" t="n">
        <x:f>IF(D567&gt;0,C567/D567,"")</x:f>
        <x:v>0.03225806451612903</x:v>
      </x:c>
      <x:c r="F567" s="34" t="n">
        <x:v>7.55</x:v>
      </x:c>
    </x:row>
    <x:row r="568" ht="42" customHeight="1">
      <x:c r="A568" s="14" t="str">
        <x:v>https://kozhaclinic.ru/inekcionnaya-kosmetologiya/konturnaya-plastika/uvlazhnenie-gub/</x:v>
      </x:c>
      <x:c r="B568" s="14" t="str">
        <x:v>процедура увлажнение губ это</x:v>
      </x:c>
      <x:c r="C568" s="31" t="n">
        <x:v>1</x:v>
      </x:c>
      <x:c r="D568" s="31" t="n">
        <x:v>29</x:v>
      </x:c>
      <x:c r="E568" s="33" t="n">
        <x:f>IF(D568&gt;0,C568/D568,"")</x:f>
        <x:v>0.034482758620689655</x:v>
      </x:c>
      <x:c r="F568" s="35" t="n">
        <x:v>3.28</x:v>
      </x:c>
    </x:row>
    <x:row r="569" ht="42" customHeight="1">
      <x:c r="A569" s="12" t="str">
        <x:v>https://kozhaclinic.ru/inekcionnaya-kosmetologiya/konturnaya-plastika/uvlazhnenie-gub/</x:v>
      </x:c>
      <x:c r="B569" s="12" t="str">
        <x:v>увлажнение губ гиалуроновой кислотой цена</x:v>
      </x:c>
      <x:c r="C569" s="30" t="n">
        <x:v>1</x:v>
      </x:c>
      <x:c r="D569" s="30" t="n">
        <x:v>3</x:v>
      </x:c>
      <x:c r="E569" s="32" t="n">
        <x:f>IF(D569&gt;0,C569/D569,"")</x:f>
        <x:v>0.3333333333333333</x:v>
      </x:c>
      <x:c r="F569" s="34" t="n">
        <x:v>1</x:v>
      </x:c>
    </x:row>
    <x:row r="570" ht="42" customHeight="1">
      <x:c r="A570" s="14" t="str">
        <x:v>https://kozhaclinic.ru/inekcionnaya-kosmetologiya/konturnaya-plastika/uvlazhnenie-gub/</x:v>
      </x:c>
      <x:c r="B570" s="14" t="str">
        <x:v>что колят для увлажнения губ</x:v>
      </x:c>
      <x:c r="C570" s="31" t="n">
        <x:v>1</x:v>
      </x:c>
      <x:c r="D570" s="31" t="n">
        <x:v>3</x:v>
      </x:c>
      <x:c r="E570" s="33" t="n">
        <x:f>IF(D570&gt;0,C570/D570,"")</x:f>
        <x:v>0.3333333333333333</x:v>
      </x:c>
      <x:c r="F570" s="35" t="n">
        <x:v>7</x:v>
      </x:c>
    </x:row>
    <x:row r="571" ht="42" customHeight="1">
      <x:c r="A571" s="12" t="str">
        <x:v>https://kozhaclinic.ru/inekcionnaya-kosmetologiya/konturnaya-plastika/uvlazhnenie-gub/</x:v>
      </x:c>
      <x:c r="B571" s="12" t="str">
        <x:v>увлажнение губ без увеличения</x:v>
      </x:c>
      <x:c r="C571" s="30" t="n">
        <x:v>0</x:v>
      </x:c>
      <x:c r="D571" s="30" t="n">
        <x:v>229</x:v>
      </x:c>
      <x:c r="E571" s="32" t="n">
        <x:f>IF(D571&gt;0,C571/D571,"")</x:f>
        <x:v>0</x:v>
      </x:c>
      <x:c r="F571" s="34" t="n">
        <x:v>5.17</x:v>
      </x:c>
    </x:row>
    <x:row r="572" ht="42" customHeight="1">
      <x:c r="A572" s="14" t="str">
        <x:v>https://kozhaclinic.ru/inekcionnaya-kosmetologiya/konturnaya-plastika/uvlazhnenie-gub/</x:v>
      </x:c>
      <x:c r="B572" s="14" t="str">
        <x:v>процедура увлажнения губ</x:v>
      </x:c>
      <x:c r="C572" s="31" t="n">
        <x:v>0</x:v>
      </x:c>
      <x:c r="D572" s="31" t="n">
        <x:v>121</x:v>
      </x:c>
      <x:c r="E572" s="33" t="n">
        <x:f>IF(D572&gt;0,C572/D572,"")</x:f>
        <x:v>0</x:v>
      </x:c>
      <x:c r="F572" s="35" t="n">
        <x:v>6.31</x:v>
      </x:c>
    </x:row>
    <x:row r="573" ht="42" customHeight="1">
      <x:c r="A573" s="12" t="str">
        <x:v>https://kozhaclinic.ru/inekcionnaya-kosmetologiya/konturnaya-plastika/uvlazhnenie-gub/</x:v>
      </x:c>
      <x:c r="B573" s="12" t="str">
        <x:v>увлажнение губ гиалуроновой кислотой без увеличения</x:v>
      </x:c>
      <x:c r="C573" s="30" t="n">
        <x:v>0</x:v>
      </x:c>
      <x:c r="D573" s="30" t="n">
        <x:v>78</x:v>
      </x:c>
      <x:c r="E573" s="32" t="n">
        <x:f>IF(D573&gt;0,C573/D573,"")</x:f>
        <x:v>0</x:v>
      </x:c>
      <x:c r="F573" s="34" t="n">
        <x:v>5.04</x:v>
      </x:c>
    </x:row>
    <x:row r="574" ht="42" customHeight="1">
      <x:c r="A574" s="14" t="str">
        <x:v>https://kozhaclinic.ru/inekcionnaya-kosmetologiya/konturnaya-plastika/uvlazhnenie-gub/</x:v>
      </x:c>
      <x:c r="B574" s="14" t="str">
        <x:v>что колят в губы для увлажнения</x:v>
      </x:c>
      <x:c r="C574" s="31" t="n">
        <x:v>0</x:v>
      </x:c>
      <x:c r="D574" s="31" t="n">
        <x:v>62</x:v>
      </x:c>
      <x:c r="E574" s="33" t="n">
        <x:f>IF(D574&gt;0,C574/D574,"")</x:f>
        <x:v>0</x:v>
      </x:c>
      <x:c r="F574" s="35" t="n">
        <x:v>8.45</x:v>
      </x:c>
    </x:row>
    <x:row r="575" ht="42" customHeight="1">
      <x:c r="A575" s="12" t="str">
        <x:v>https://kozhaclinic.ru/inekcionnaya-kosmetologiya/konturnaya-plastika/uvlazhnenie-gub/</x:v>
      </x:c>
      <x:c r="B575" s="12" t="str">
        <x:v>гиалуронка в губы для увлажнения</x:v>
      </x:c>
      <x:c r="C575" s="30" t="n">
        <x:v>0</x:v>
      </x:c>
      <x:c r="D575" s="30" t="n">
        <x:v>55</x:v>
      </x:c>
      <x:c r="E575" s="32" t="n">
        <x:f>IF(D575&gt;0,C575/D575,"")</x:f>
        <x:v>0</x:v>
      </x:c>
      <x:c r="F575" s="34" t="n">
        <x:v>7.96</x:v>
      </x:c>
    </x:row>
    <x:row r="576" ht="42" customHeight="1">
      <x:c r="A576" s="14" t="str">
        <x:v>https://kozhaclinic.ru/inekcionnaya-kosmetologiya/konturnaya-plastika/uvlazhnenie-gub/</x:v>
      </x:c>
      <x:c r="B576" s="14" t="str">
        <x:v>гиалуроновая кислота в губы для увлажнения</x:v>
      </x:c>
      <x:c r="C576" s="31" t="n">
        <x:v>0</x:v>
      </x:c>
      <x:c r="D576" s="31" t="n">
        <x:v>48</x:v>
      </x:c>
      <x:c r="E576" s="33" t="n">
        <x:f>IF(D576&gt;0,C576/D576,"")</x:f>
        <x:v>0</x:v>
      </x:c>
      <x:c r="F576" s="35" t="n">
        <x:v>6.94</x:v>
      </x:c>
    </x:row>
    <x:row r="577" ht="42" customHeight="1">
      <x:c r="A577" s="12" t="str">
        <x:v>https://kozhaclinic.ru/inekcionnaya-kosmetologiya/konturnaya-plastika/uvlazhnenie-gub/</x:v>
      </x:c>
      <x:c r="B577" s="12" t="str">
        <x:v>увлажнение губ что за процедура</x:v>
      </x:c>
      <x:c r="C577" s="30" t="n">
        <x:v>0</x:v>
      </x:c>
      <x:c r="D577" s="30" t="n">
        <x:v>40</x:v>
      </x:c>
      <x:c r="E577" s="32" t="n">
        <x:f>IF(D577&gt;0,C577/D577,"")</x:f>
        <x:v>0</x:v>
      </x:c>
      <x:c r="F577" s="34" t="n">
        <x:v>5.55</x:v>
      </x:c>
    </x:row>
    <x:row r="578" ht="42" customHeight="1">
      <x:c r="A578" s="14" t="str">
        <x:v>https://kozhaclinic.ru/inekcionnaya-kosmetologiya/konturnaya-plastika/uvlazhnenie-gub/</x:v>
      </x:c>
      <x:c r="B578" s="14" t="str">
        <x:v>увлажнение губ до и после</x:v>
      </x:c>
      <x:c r="C578" s="31" t="n">
        <x:v>0</x:v>
      </x:c>
      <x:c r="D578" s="31" t="n">
        <x:v>38</x:v>
      </x:c>
      <x:c r="E578" s="33" t="n">
        <x:f>IF(D578&gt;0,C578/D578,"")</x:f>
        <x:v>0</x:v>
      </x:c>
      <x:c r="F578" s="35" t="n">
        <x:v>9.39</x:v>
      </x:c>
    </x:row>
    <x:row r="579" ht="42" customHeight="1">
      <x:c r="A579" s="12" t="str">
        <x:v>https://kozhaclinic.ru/inekcionnaya-kosmetologiya/konturnaya-plastika/uvlazhnenie-gub/</x:v>
      </x:c>
      <x:c r="B579" s="12" t="str">
        <x:v>увлажнение губ без увеличения до и после</x:v>
      </x:c>
      <x:c r="C579" s="30" t="n">
        <x:v>0</x:v>
      </x:c>
      <x:c r="D579" s="30" t="n">
        <x:v>33</x:v>
      </x:c>
      <x:c r="E579" s="32" t="n">
        <x:f>IF(D579&gt;0,C579/D579,"")</x:f>
        <x:v>0</x:v>
      </x:c>
      <x:c r="F579" s="34" t="n">
        <x:v>5.55</x:v>
      </x:c>
    </x:row>
    <x:row r="580" ht="42" customHeight="1">
      <x:c r="A580" s="14" t="str">
        <x:v>https://kozhaclinic.ru/inekcionnaya-kosmetologiya/konturnaya-plastika/uvlazhnenie-gub/</x:v>
      </x:c>
      <x:c r="B580" s="14" t="str">
        <x:v>увлажнение губ инъекции</x:v>
      </x:c>
      <x:c r="C580" s="31" t="n">
        <x:v>0</x:v>
      </x:c>
      <x:c r="D580" s="31" t="n">
        <x:v>32</x:v>
      </x:c>
      <x:c r="E580" s="33" t="n">
        <x:f>IF(D580&gt;0,C580/D580,"")</x:f>
        <x:v>0</x:v>
      </x:c>
      <x:c r="F580" s="35" t="n">
        <x:v>5.22</x:v>
      </x:c>
    </x:row>
    <x:row r="581" ht="42" customHeight="1">
      <x:c r="A581" s="12" t="str">
        <x:v>https://kozhaclinic.ru/inekcionnaya-kosmetologiya/konturnaya-plastika/uvlazhnenie-gub/</x:v>
      </x:c>
      <x:c r="B581" s="12" t="str">
        <x:v>коррекция контура губ без увеличения</x:v>
      </x:c>
      <x:c r="C581" s="30" t="n">
        <x:v>0</x:v>
      </x:c>
      <x:c r="D581" s="30" t="n">
        <x:v>32</x:v>
      </x:c>
      <x:c r="E581" s="32" t="n">
        <x:f>IF(D581&gt;0,C581/D581,"")</x:f>
        <x:v>0</x:v>
      </x:c>
      <x:c r="F581" s="34" t="n">
        <x:v>7.66</x:v>
      </x:c>
    </x:row>
    <x:row r="582" ht="42" customHeight="1">
      <x:c r="A582" s="14" t="str">
        <x:v>https://kozhaclinic.ru/inekcionnaya-kosmetologiya/konturnaya-plastika/uvlazhnenie-gub/</x:v>
      </x:c>
      <x:c r="B582" s="14" t="str">
        <x:v>чем отличается увлажнение губ от увеличения</x:v>
      </x:c>
      <x:c r="C582" s="31" t="n">
        <x:v>0</x:v>
      </x:c>
      <x:c r="D582" s="31" t="n">
        <x:v>31</x:v>
      </x:c>
      <x:c r="E582" s="33" t="n">
        <x:f>IF(D582&gt;0,C582/D582,"")</x:f>
        <x:v>0</x:v>
      </x:c>
      <x:c r="F582" s="35" t="n">
        <x:v>5.48</x:v>
      </x:c>
    </x:row>
    <x:row r="583" ht="42" customHeight="1">
      <x:c r="A583" s="12" t="str">
        <x:v>https://kozhaclinic.ru/inekcionnaya-kosmetologiya/konturnaya-plastika/uvlazhnenie-gub/</x:v>
      </x:c>
      <x:c r="B583" s="12" t="str">
        <x:v>увлажнение губ гиалуроновой</x:v>
      </x:c>
      <x:c r="C583" s="30" t="n">
        <x:v>0</x:v>
      </x:c>
      <x:c r="D583" s="30" t="n">
        <x:v>30</x:v>
      </x:c>
      <x:c r="E583" s="32" t="n">
        <x:f>IF(D583&gt;0,C583/D583,"")</x:f>
        <x:v>0</x:v>
      </x:c>
      <x:c r="F583" s="34" t="n">
        <x:v>6.37</x:v>
      </x:c>
    </x:row>
    <x:row r="584" ht="42" customHeight="1">
      <x:c r="A584" s="14" t="str">
        <x:v>https://kozhaclinic.ru/inekcionnaya-kosmetologiya/konturnaya-plastika/uvlazhnenie-gub/</x:v>
      </x:c>
      <x:c r="B584" s="14" t="str">
        <x:v>процедура увлажнение губ</x:v>
      </x:c>
      <x:c r="C584" s="31" t="n">
        <x:v>0</x:v>
      </x:c>
      <x:c r="D584" s="31" t="n">
        <x:v>28</x:v>
      </x:c>
      <x:c r="E584" s="33" t="n">
        <x:f>IF(D584&gt;0,C584/D584,"")</x:f>
        <x:v>0</x:v>
      </x:c>
      <x:c r="F584" s="35" t="n">
        <x:v>5.64</x:v>
      </x:c>
    </x:row>
    <x:row r="585" ht="42" customHeight="1">
      <x:c r="A585" s="12" t="str">
        <x:v>https://kozhaclinic.ru/inekcionnaya-kosmetologiya/konturnaya-plastika/uvlazhnenie-gub/</x:v>
      </x:c>
      <x:c r="B585" s="12" t="str">
        <x:v>увлажнения губ</x:v>
      </x:c>
      <x:c r="C585" s="30" t="n">
        <x:v>0</x:v>
      </x:c>
      <x:c r="D585" s="30" t="n">
        <x:v>23</x:v>
      </x:c>
      <x:c r="E585" s="32" t="n">
        <x:f>IF(D585&gt;0,C585/D585,"")</x:f>
        <x:v>0</x:v>
      </x:c>
      <x:c r="F585" s="34" t="n">
        <x:v>4.78</x:v>
      </x:c>
    </x:row>
    <x:row r="586" ht="42" customHeight="1">
      <x:c r="A586" s="14" t="str">
        <x:v>https://kozhaclinic.ru/inekcionnaya-kosmetologiya/konturnaya-plastika/uvlazhnenie-gub/</x:v>
      </x:c>
      <x:c r="B586" s="14" t="str">
        <x:v>можно ли увлажнить губы без увеличения</x:v>
      </x:c>
      <x:c r="C586" s="31" t="n">
        <x:v>0</x:v>
      </x:c>
      <x:c r="D586" s="31" t="n">
        <x:v>22</x:v>
      </x:c>
      <x:c r="E586" s="33" t="n">
        <x:f>IF(D586&gt;0,C586/D586,"")</x:f>
        <x:v>0</x:v>
      </x:c>
      <x:c r="F586" s="35" t="n">
        <x:v>6.05</x:v>
      </x:c>
    </x:row>
    <x:row r="587" ht="42" customHeight="1">
      <x:c r="A587" s="12" t="str">
        <x:v>https://kozhaclinic.ru/inekcionnaya-kosmetologiya/konturnaya-plastika/uvlazhnenie-gub/</x:v>
      </x:c>
      <x:c r="B587" s="12" t="str">
        <x:v>процедура увлажнения губ гиалуроновой кислотой</x:v>
      </x:c>
      <x:c r="C587" s="30" t="n">
        <x:v>0</x:v>
      </x:c>
      <x:c r="D587" s="30" t="n">
        <x:v>21</x:v>
      </x:c>
      <x:c r="E587" s="32" t="n">
        <x:f>IF(D587&gt;0,C587/D587,"")</x:f>
        <x:v>0</x:v>
      </x:c>
      <x:c r="F587" s="34" t="n">
        <x:v>6.29</x:v>
      </x:c>
    </x:row>
    <x:row r="588" ht="42" customHeight="1">
      <x:c r="A588" s="14" t="str">
        <x:v>https://kozhaclinic.ru/inekcionnaya-kosmetologiya/konturnaya-plastika/uvlazhnenie-gub/</x:v>
      </x:c>
      <x:c r="B588" s="14" t="str">
        <x:v>сколько стоит увлажнение губ</x:v>
      </x:c>
      <x:c r="C588" s="31" t="n">
        <x:v>0</x:v>
      </x:c>
      <x:c r="D588" s="31" t="n">
        <x:v>21</x:v>
      </x:c>
      <x:c r="E588" s="33" t="n">
        <x:f>IF(D588&gt;0,C588/D588,"")</x:f>
        <x:v>0</x:v>
      </x:c>
      <x:c r="F588" s="35" t="n">
        <x:v>6.76</x:v>
      </x:c>
    </x:row>
    <x:row r="589" ht="42" customHeight="1">
      <x:c r="A589" s="12" t="str">
        <x:v>https://kozhaclinic.ru/inekcionnaya-kosmetologiya/konturnaya-plastika/uvlazhnenie-gub/</x:v>
      </x:c>
      <x:c r="B589" s="12" t="str">
        <x:v>гиалурон в губы для увлажнения</x:v>
      </x:c>
      <x:c r="C589" s="30" t="n">
        <x:v>0</x:v>
      </x:c>
      <x:c r="D589" s="30" t="n">
        <x:v>21</x:v>
      </x:c>
      <x:c r="E589" s="32" t="n">
        <x:f>IF(D589&gt;0,C589/D589,"")</x:f>
        <x:v>0</x:v>
      </x:c>
      <x:c r="F589" s="34" t="n">
        <x:v>7.05</x:v>
      </x:c>
    </x:row>
    <x:row r="590" ht="42" customHeight="1">
      <x:c r="A590" s="14" t="str">
        <x:v>https://kozhaclinic.ru/inekcionnaya-kosmetologiya/konturnaya-plastika/uvlazhnenie-gub/</x:v>
      </x:c>
      <x:c r="B590" s="14" t="str">
        <x:v>увлажнение губ в косметологии</x:v>
      </x:c>
      <x:c r="C590" s="31" t="n">
        <x:v>0</x:v>
      </x:c>
      <x:c r="D590" s="31" t="n">
        <x:v>20</x:v>
      </x:c>
      <x:c r="E590" s="33" t="n">
        <x:f>IF(D590&gt;0,C590/D590,"")</x:f>
        <x:v>0</x:v>
      </x:c>
      <x:c r="F590" s="35" t="n">
        <x:v>4.35</x:v>
      </x:c>
    </x:row>
    <x:row r="591" ht="42" customHeight="1">
      <x:c r="A591" s="12" t="str">
        <x:v>https://kozhaclinic.ru/inekcionnaya-kosmetologiya/konturnaya-plastika/uvlazhnenie-gub/</x:v>
      </x:c>
      <x:c r="B591" s="12" t="str">
        <x:v>как увлажнить губы без увеличения</x:v>
      </x:c>
      <x:c r="C591" s="30" t="n">
        <x:v>0</x:v>
      </x:c>
      <x:c r="D591" s="30" t="n">
        <x:v>20</x:v>
      </x:c>
      <x:c r="E591" s="32" t="n">
        <x:f>IF(D591&gt;0,C591/D591,"")</x:f>
        <x:v>0</x:v>
      </x:c>
      <x:c r="F591" s="34" t="n">
        <x:v>9.8</x:v>
      </x:c>
    </x:row>
    <x:row r="592" ht="42" customHeight="1">
      <x:c r="A592" s="14" t="str">
        <x:v>https://kozhaclinic.ru/inekcionnaya-kosmetologiya/konturnaya-plastika/uvlazhnenie-gub/</x:v>
      </x:c>
      <x:c r="B592" s="14" t="str">
        <x:v>увлажнение губ это</x:v>
      </x:c>
      <x:c r="C592" s="31" t="n">
        <x:v>0</x:v>
      </x:c>
      <x:c r="D592" s="31" t="n">
        <x:v>17</x:v>
      </x:c>
      <x:c r="E592" s="33" t="n">
        <x:f>IF(D592&gt;0,C592/D592,"")</x:f>
        <x:v>0</x:v>
      </x:c>
      <x:c r="F592" s="35" t="n">
        <x:v>2.71</x:v>
      </x:c>
    </x:row>
    <x:row r="593" ht="42" customHeight="1">
      <x:c r="A593" s="12" t="str">
        <x:v>https://kozhaclinic.ru/inekcionnaya-kosmetologiya/konturnaya-plastika/uvlazhnenie-gub/</x:v>
      </x:c>
      <x:c r="B593" s="12" t="str">
        <x:v>как делают увлажнение губ</x:v>
      </x:c>
      <x:c r="C593" s="30" t="n">
        <x:v>0</x:v>
      </x:c>
      <x:c r="D593" s="30" t="n">
        <x:v>17</x:v>
      </x:c>
      <x:c r="E593" s="32" t="n">
        <x:f>IF(D593&gt;0,C593/D593,"")</x:f>
        <x:v>0</x:v>
      </x:c>
      <x:c r="F593" s="34" t="n">
        <x:v>4.29</x:v>
      </x:c>
    </x:row>
    <x:row r="594" ht="42" customHeight="1">
      <x:c r="A594" s="14" t="str">
        <x:v>https://kozhaclinic.ru/inekcionnaya-kosmetologiya/konturnaya-plastika/uvlazhnenie-gub/</x:v>
      </x:c>
      <x:c r="B594" s="14" t="str">
        <x:v>увлажнение губ уколами</x:v>
      </x:c>
      <x:c r="C594" s="31" t="n">
        <x:v>0</x:v>
      </x:c>
      <x:c r="D594" s="31" t="n">
        <x:v>17</x:v>
      </x:c>
      <x:c r="E594" s="33" t="n">
        <x:f>IF(D594&gt;0,C594/D594,"")</x:f>
        <x:v>0</x:v>
      </x:c>
      <x:c r="F594" s="35" t="n">
        <x:v>6.59</x:v>
      </x:c>
    </x:row>
    <x:row r="595" ht="42" customHeight="1">
      <x:c r="A595" s="12" t="str">
        <x:v>https://kozhaclinic.ru/inekcionnaya-kosmetologiya/konturnaya-plastika/uvlazhnenie-gub/</x:v>
      </x:c>
      <x:c r="B595" s="12" t="str">
        <x:v>уколы в губы для увлажнения</x:v>
      </x:c>
      <x:c r="C595" s="30" t="n">
        <x:v>0</x:v>
      </x:c>
      <x:c r="D595" s="30" t="n">
        <x:v>17</x:v>
      </x:c>
      <x:c r="E595" s="32" t="n">
        <x:f>IF(D595&gt;0,C595/D595,"")</x:f>
        <x:v>0</x:v>
      </x:c>
      <x:c r="F595" s="34" t="n">
        <x:v>7.65</x:v>
      </x:c>
    </x:row>
    <x:row r="596" ht="42" customHeight="1">
      <x:c r="A596" s="14" t="str">
        <x:v>https://kozhaclinic.ru/inekcionnaya-kosmetologiya/konturnaya-plastika/uvlazhnenie-gub/</x:v>
      </x:c>
      <x:c r="B596" s="14" t="str">
        <x:v>увлажнить губы без увеличения</x:v>
      </x:c>
      <x:c r="C596" s="31" t="n">
        <x:v>0</x:v>
      </x:c>
      <x:c r="D596" s="31" t="n">
        <x:v>16</x:v>
      </x:c>
      <x:c r="E596" s="33" t="n">
        <x:f>IF(D596&gt;0,C596/D596,"")</x:f>
        <x:v>0</x:v>
      </x:c>
      <x:c r="F596" s="35" t="n">
        <x:v>6.94</x:v>
      </x:c>
    </x:row>
    <x:row r="597" ht="42" customHeight="1">
      <x:c r="A597" s="12" t="str">
        <x:v>https://kozhaclinic.ru/inekcionnaya-kosmetologiya/konturnaya-plastika/uvlazhnenie-gub/</x:v>
      </x:c>
      <x:c r="B597" s="12" t="str">
        <x:v>как увлажнить губы у косметолога</x:v>
      </x:c>
      <x:c r="C597" s="30" t="n">
        <x:v>0</x:v>
      </x:c>
      <x:c r="D597" s="30" t="n">
        <x:v>16</x:v>
      </x:c>
      <x:c r="E597" s="32" t="n">
        <x:f>IF(D597&gt;0,C597/D597,"")</x:f>
        <x:v>0</x:v>
      </x:c>
      <x:c r="F597" s="34" t="n">
        <x:v>7.12</x:v>
      </x:c>
    </x:row>
    <x:row r="598" ht="42" customHeight="1">
      <x:c r="A598" s="14" t="str">
        <x:v>https://kozhaclinic.ru/inekcionnaya-kosmetologiya/konturnaya-plastika/uvlazhnenie-gub/</x:v>
      </x:c>
      <x:c r="B598" s="14" t="str">
        <x:v>увлажнение губ у косметолога</x:v>
      </x:c>
      <x:c r="C598" s="31" t="n">
        <x:v>0</x:v>
      </x:c>
      <x:c r="D598" s="31" t="n">
        <x:v>16</x:v>
      </x:c>
      <x:c r="E598" s="33" t="n">
        <x:f>IF(D598&gt;0,C598/D598,"")</x:f>
        <x:v>0</x:v>
      </x:c>
      <x:c r="F598" s="35" t="n">
        <x:v>7.44</x:v>
      </x:c>
    </x:row>
    <x:row r="599" ht="42" customHeight="1">
      <x:c r="A599" s="12" t="str">
        <x:v>https://kozhaclinic.ru/inekcionnaya-kosmetologiya/konturnaya-plastika/uvlazhnenie-gub/</x:v>
      </x:c>
      <x:c r="B599" s="12" t="str">
        <x:v>увлажнение губ гиалуроновой кислотой до и после</x:v>
      </x:c>
      <x:c r="C599" s="30" t="n">
        <x:v>0</x:v>
      </x:c>
      <x:c r="D599" s="30" t="n">
        <x:v>16</x:v>
      </x:c>
      <x:c r="E599" s="32" t="n">
        <x:f>IF(D599&gt;0,C599/D599,"")</x:f>
        <x:v>0</x:v>
      </x:c>
      <x:c r="F599" s="34" t="n">
        <x:v>7.75</x:v>
      </x:c>
    </x:row>
    <x:row r="600" ht="42" customHeight="1">
      <x:c r="A600" s="14" t="str">
        <x:v>https://kozhaclinic.ru/inekcionnaya-kosmetologiya/konturnaya-plastika/uvlazhnenie-gub/</x:v>
      </x:c>
      <x:c r="B600" s="14" t="str">
        <x:v>что за процедура увлажнение губ</x:v>
      </x:c>
      <x:c r="C600" s="31" t="n">
        <x:v>0</x:v>
      </x:c>
      <x:c r="D600" s="31" t="n">
        <x:v>15</x:v>
      </x:c>
      <x:c r="E600" s="33" t="n">
        <x:f>IF(D600&gt;0,C600/D600,"")</x:f>
        <x:v>0</x:v>
      </x:c>
      <x:c r="F600" s="35" t="n">
        <x:v>5.47</x:v>
      </x:c>
    </x:row>
    <x:row r="601" ht="42" customHeight="1">
      <x:c r="A601" s="12" t="str">
        <x:v>https://kozhaclinic.ru/inekcionnaya-kosmetologiya/konturnaya-plastika/uvlazhnenie-gub/</x:v>
      </x:c>
      <x:c r="B601" s="12" t="str">
        <x:v>для увлажнения губ</x:v>
      </x:c>
      <x:c r="C601" s="30" t="n">
        <x:v>0</x:v>
      </x:c>
      <x:c r="D601" s="30" t="n">
        <x:v>15</x:v>
      </x:c>
      <x:c r="E601" s="32" t="n">
        <x:f>IF(D601&gt;0,C601/D601,"")</x:f>
        <x:v>0</x:v>
      </x:c>
      <x:c r="F601" s="34" t="n">
        <x:v>16.6</x:v>
      </x:c>
    </x:row>
    <x:row r="602" ht="42" customHeight="1">
      <x:c r="A602" s="14" t="str">
        <x:v>https://kozhaclinic.ru/inekcionnaya-kosmetologiya/konturnaya-plastika/uvlazhnenie-gub/</x:v>
      </x:c>
      <x:c r="B602" s="14" t="str">
        <x:v>гиалуроновая кислота для губ увлажнение</x:v>
      </x:c>
      <x:c r="C602" s="31" t="n">
        <x:v>0</x:v>
      </x:c>
      <x:c r="D602" s="31" t="n">
        <x:v>14</x:v>
      </x:c>
      <x:c r="E602" s="33" t="n">
        <x:f>IF(D602&gt;0,C602/D602,"")</x:f>
        <x:v>0</x:v>
      </x:c>
      <x:c r="F602" s="35" t="n">
        <x:v>7.5</x:v>
      </x:c>
    </x:row>
    <x:row r="603" ht="42" customHeight="1">
      <x:c r="A603" s="12" t="str">
        <x:v>https://kozhaclinic.ru/inekcionnaya-kosmetologiya/konturnaya-plastika/uvlazhnenie-gub/</x:v>
      </x:c>
      <x:c r="B603" s="12" t="str">
        <x:v>процедура увлажнения губ гиалуроновой</x:v>
      </x:c>
      <x:c r="C603" s="30" t="n">
        <x:v>0</x:v>
      </x:c>
      <x:c r="D603" s="30" t="n">
        <x:v>13</x:v>
      </x:c>
      <x:c r="E603" s="32" t="n">
        <x:f>IF(D603&gt;0,C603/D603,"")</x:f>
        <x:v>0</x:v>
      </x:c>
      <x:c r="F603" s="34" t="n">
        <x:v>6.38</x:v>
      </x:c>
    </x:row>
    <x:row r="604" ht="42" customHeight="1">
      <x:c r="A604" s="14" t="str">
        <x:v>https://kozhaclinic.ru/inekcionnaya-kosmetologiya/konturnaya-plastika/uvlazhnenie-gub/</x:v>
      </x:c>
      <x:c r="B604" s="14" t="str">
        <x:v>инъекционное увлажнение губ</x:v>
      </x:c>
      <x:c r="C604" s="31" t="n">
        <x:v>0</x:v>
      </x:c>
      <x:c r="D604" s="31" t="n">
        <x:v>13</x:v>
      </x:c>
      <x:c r="E604" s="33" t="n">
        <x:f>IF(D604&gt;0,C604/D604,"")</x:f>
        <x:v>0</x:v>
      </x:c>
      <x:c r="F604" s="35" t="n">
        <x:v>6.62</x:v>
      </x:c>
    </x:row>
    <x:row r="605" ht="42" customHeight="1">
      <x:c r="A605" s="12" t="str">
        <x:v>https://kozhaclinic.ru/inekcionnaya-kosmetologiya/konturnaya-plastika/uvlazhnenie-gub/</x:v>
      </x:c>
      <x:c r="B605" s="12" t="str">
        <x:v>гиалуронка для увлажнения губ</x:v>
      </x:c>
      <x:c r="C605" s="30" t="n">
        <x:v>0</x:v>
      </x:c>
      <x:c r="D605" s="30" t="n">
        <x:v>13</x:v>
      </x:c>
      <x:c r="E605" s="32" t="n">
        <x:f>IF(D605&gt;0,C605/D605,"")</x:f>
        <x:v>0</x:v>
      </x:c>
      <x:c r="F605" s="34" t="n">
        <x:v>9.62</x:v>
      </x:c>
    </x:row>
    <x:row r="606" ht="42" customHeight="1">
      <x:c r="A606" s="14" t="str">
        <x:v>https://kozhaclinic.ru/inekcionnaya-kosmetologiya/konturnaya-plastika/uvlazhnenie-gub/</x:v>
      </x:c>
      <x:c r="B606" s="14" t="str">
        <x:v>процедура для увлажнения губ</x:v>
      </x:c>
      <x:c r="C606" s="31" t="n">
        <x:v>0</x:v>
      </x:c>
      <x:c r="D606" s="31" t="n">
        <x:v>12</x:v>
      </x:c>
      <x:c r="E606" s="33" t="n">
        <x:f>IF(D606&gt;0,C606/D606,"")</x:f>
        <x:v>0</x:v>
      </x:c>
      <x:c r="F606" s="35" t="n">
        <x:v>5</x:v>
      </x:c>
    </x:row>
    <x:row r="607" ht="42" customHeight="1">
      <x:c r="A607" s="12" t="str">
        <x:v>https://kozhaclinic.ru/inekcionnaya-kosmetologiya/konturnaya-plastika/uvlazhnenie-gub/</x:v>
      </x:c>
      <x:c r="B607" s="12" t="str">
        <x:v>как выглядит увлажнение губ</x:v>
      </x:c>
      <x:c r="C607" s="30" t="n">
        <x:v>0</x:v>
      </x:c>
      <x:c r="D607" s="30" t="n">
        <x:v>11</x:v>
      </x:c>
      <x:c r="E607" s="32" t="n">
        <x:f>IF(D607&gt;0,C607/D607,"")</x:f>
        <x:v>0</x:v>
      </x:c>
      <x:c r="F607" s="34" t="n">
        <x:v>5.55</x:v>
      </x:c>
    </x:row>
    <x:row r="608" ht="42" customHeight="1">
      <x:c r="A608" s="14" t="str">
        <x:v>https://kozhaclinic.ru/inekcionnaya-kosmetologiya/konturnaya-plastika/uvlazhnenie-gub/</x:v>
      </x:c>
      <x:c r="B608" s="14" t="str">
        <x:v>увлажнить губы гиалуронкой</x:v>
      </x:c>
      <x:c r="C608" s="31" t="n">
        <x:v>0</x:v>
      </x:c>
      <x:c r="D608" s="31" t="n">
        <x:v>11</x:v>
      </x:c>
      <x:c r="E608" s="33" t="n">
        <x:f>IF(D608&gt;0,C608/D608,"")</x:f>
        <x:v>0</x:v>
      </x:c>
      <x:c r="F608" s="35" t="n">
        <x:v>7.36</x:v>
      </x:c>
    </x:row>
    <x:row r="609" ht="42" customHeight="1">
      <x:c r="A609" s="12" t="str">
        <x:v>https://kozhaclinic.ru/inekcionnaya-kosmetologiya/konturnaya-plastika/uvlazhnenie-gub/</x:v>
      </x:c>
      <x:c r="B609" s="12" t="str">
        <x:v>чем увлажняют губы инъекционно</x:v>
      </x:c>
      <x:c r="C609" s="30" t="n">
        <x:v>0</x:v>
      </x:c>
      <x:c r="D609" s="30" t="n">
        <x:v>11</x:v>
      </x:c>
      <x:c r="E609" s="32" t="n">
        <x:f>IF(D609&gt;0,C609/D609,"")</x:f>
        <x:v>0</x:v>
      </x:c>
      <x:c r="F609" s="34" t="n">
        <x:v>7.55</x:v>
      </x:c>
    </x:row>
    <x:row r="610" ht="42" customHeight="1">
      <x:c r="A610" s="14" t="str">
        <x:v>https://kozhaclinic.ru/inekcionnaya-kosmetologiya/konturnaya-plastika/uvlazhnenie-gub/</x:v>
      </x:c>
      <x:c r="B610" s="14" t="str">
        <x:v>увлажнение для губ</x:v>
      </x:c>
      <x:c r="C610" s="31" t="n">
        <x:v>0</x:v>
      </x:c>
      <x:c r="D610" s="31" t="n">
        <x:v>11</x:v>
      </x:c>
      <x:c r="E610" s="33" t="n">
        <x:f>IF(D610&gt;0,C610/D610,"")</x:f>
        <x:v>0</x:v>
      </x:c>
      <x:c r="F610" s="35" t="n">
        <x:v>11.36</x:v>
      </x:c>
    </x:row>
    <x:row r="611" ht="42" customHeight="1">
      <x:c r="A611" s="12" t="str">
        <x:v>https://kozhaclinic.ru/inekcionnaya-kosmetologiya/konturnaya-plastika/uvlazhnenie-gub/</x:v>
      </x:c>
      <x:c r="B611" s="12" t="str">
        <x:v>увлажнение губ филлером без увеличения</x:v>
      </x:c>
      <x:c r="C611" s="30" t="n">
        <x:v>0</x:v>
      </x:c>
      <x:c r="D611" s="30" t="n">
        <x:v>10</x:v>
      </x:c>
      <x:c r="E611" s="32" t="n">
        <x:f>IF(D611&gt;0,C611/D611,"")</x:f>
        <x:v>0</x:v>
      </x:c>
      <x:c r="F611" s="34" t="n">
        <x:v>5.4</x:v>
      </x:c>
    </x:row>
    <x:row r="612" ht="42" customHeight="1">
      <x:c r="A612" s="14" t="str">
        <x:v>https://kozhaclinic.ru/inekcionnaya-kosmetologiya/konturnaya-plastika/uvlazhnenie-gub/</x:v>
      </x:c>
      <x:c r="B612" s="14" t="str">
        <x:v>гиалуроновая кислота для увлажнения губ</x:v>
      </x:c>
      <x:c r="C612" s="31" t="n">
        <x:v>0</x:v>
      </x:c>
      <x:c r="D612" s="31" t="n">
        <x:v>10</x:v>
      </x:c>
      <x:c r="E612" s="33" t="n">
        <x:f>IF(D612&gt;0,C612/D612,"")</x:f>
        <x:v>0</x:v>
      </x:c>
      <x:c r="F612" s="35" t="n">
        <x:v>7.6</x:v>
      </x:c>
    </x:row>
    <x:row r="613" ht="42" customHeight="1">
      <x:c r="A613" s="12" t="str">
        <x:v>https://kozhaclinic.ru/inekcionnaya-kosmetologiya/konturnaya-plastika/uvlazhnenie-gub/</x:v>
      </x:c>
      <x:c r="B613" s="12" t="str">
        <x:v>гиалуроновое увлажнение губ</x:v>
      </x:c>
      <x:c r="C613" s="30" t="n">
        <x:v>0</x:v>
      </x:c>
      <x:c r="D613" s="30" t="n">
        <x:v>9</x:v>
      </x:c>
      <x:c r="E613" s="32" t="n">
        <x:f>IF(D613&gt;0,C613/D613,"")</x:f>
        <x:v>0</x:v>
      </x:c>
      <x:c r="F613" s="34" t="n">
        <x:v>7.11</x:v>
      </x:c>
    </x:row>
    <x:row r="614" ht="42" customHeight="1">
      <x:c r="A614" s="14" t="str">
        <x:v>https://kozhaclinic.ru/inekcionnaya-kosmetologiya/konturnaya-plastika/uvlazhnenie-gub/</x:v>
      </x:c>
      <x:c r="B614" s="14" t="str">
        <x:v>как увлажнить губы гиалуронкой</x:v>
      </x:c>
      <x:c r="C614" s="31" t="n">
        <x:v>0</x:v>
      </x:c>
      <x:c r="D614" s="31" t="n">
        <x:v>9</x:v>
      </x:c>
      <x:c r="E614" s="33" t="n">
        <x:f>IF(D614&gt;0,C614/D614,"")</x:f>
        <x:v>0</x:v>
      </x:c>
      <x:c r="F614" s="35" t="n">
        <x:v>8.11</x:v>
      </x:c>
    </x:row>
    <x:row r="615" ht="42" customHeight="1">
      <x:c r="A615" s="12" t="str">
        <x:v>https://kozhaclinic.ru/inekcionnaya-kosmetologiya/konturnaya-plastika/uvlazhnenie-gub/</x:v>
      </x:c>
      <x:c r="B615" s="12" t="str">
        <x:v>инъекции для увлажнения губ</x:v>
      </x:c>
      <x:c r="C615" s="30" t="n">
        <x:v>0</x:v>
      </x:c>
      <x:c r="D615" s="30" t="n">
        <x:v>9</x:v>
      </x:c>
      <x:c r="E615" s="32" t="n">
        <x:f>IF(D615&gt;0,C615/D615,"")</x:f>
        <x:v>0</x:v>
      </x:c>
      <x:c r="F615" s="34" t="n">
        <x:v>8.78</x:v>
      </x:c>
    </x:row>
    <x:row r="616" ht="42" customHeight="1">
      <x:c r="A616" s="14" t="str">
        <x:v>https://kozhaclinic.ru/inekcionnaya-kosmetologiya/konturnaya-plastika/uvlazhnenie-gub/</x:v>
      </x:c>
      <x:c r="B616" s="14" t="str">
        <x:v>увлажнение губ сколько держится</x:v>
      </x:c>
      <x:c r="C616" s="31" t="n">
        <x:v>0</x:v>
      </x:c>
      <x:c r="D616" s="31" t="n">
        <x:v>9</x:v>
      </x:c>
      <x:c r="E616" s="33" t="n">
        <x:f>IF(D616&gt;0,C616/D616,"")</x:f>
        <x:v>0</x:v>
      </x:c>
      <x:c r="F616" s="35" t="n">
        <x:v>9.22</x:v>
      </x:c>
    </x:row>
    <x:row r="617" ht="42" customHeight="1">
      <x:c r="A617" s="12" t="str">
        <x:v>https://kozhaclinic.ru/inekcionnaya-kosmetologiya/konturnaya-plastika/uvlazhnenie-gub/</x:v>
      </x:c>
      <x:c r="B617" s="12" t="str">
        <x:v>увлажнители для губ</x:v>
      </x:c>
      <x:c r="C617" s="30" t="n">
        <x:v>0</x:v>
      </x:c>
      <x:c r="D617" s="30" t="n">
        <x:v>9</x:v>
      </x:c>
      <x:c r="E617" s="32" t="n">
        <x:f>IF(D617&gt;0,C617/D617,"")</x:f>
        <x:v>0</x:v>
      </x:c>
      <x:c r="F617" s="34" t="n">
        <x:v>27.56</x:v>
      </x:c>
    </x:row>
    <x:row r="618" ht="42" customHeight="1">
      <x:c r="A618" s="14" t="str">
        <x:v>https://kozhaclinic.ru/inekcionnaya-kosmetologiya/konturnaya-plastika/uvlazhnenie-gub/</x:v>
      </x:c>
      <x:c r="B618" s="14" t="str">
        <x:v>уколы для увлажнения губ</x:v>
      </x:c>
      <x:c r="C618" s="31" t="n">
        <x:v>0</x:v>
      </x:c>
      <x:c r="D618" s="31" t="n">
        <x:v>8</x:v>
      </x:c>
      <x:c r="E618" s="33" t="n">
        <x:f>IF(D618&gt;0,C618/D618,"")</x:f>
        <x:v>0</x:v>
      </x:c>
      <x:c r="F618" s="35" t="n">
        <x:v>4.12</x:v>
      </x:c>
    </x:row>
    <x:row r="619" ht="42" customHeight="1">
      <x:c r="A619" s="12" t="str">
        <x:v>https://kozhaclinic.ru/inekcionnaya-kosmetologiya/konturnaya-plastika/uvlazhnenie-gub/</x:v>
      </x:c>
      <x:c r="B619" s="12" t="str">
        <x:v>уколы в губы для увлажнения без увеличения</x:v>
      </x:c>
      <x:c r="C619" s="30" t="n">
        <x:v>0</x:v>
      </x:c>
      <x:c r="D619" s="30" t="n">
        <x:v>8</x:v>
      </x:c>
      <x:c r="E619" s="32" t="n">
        <x:f>IF(D619&gt;0,C619/D619,"")</x:f>
        <x:v>0</x:v>
      </x:c>
      <x:c r="F619" s="34" t="n">
        <x:v>5</x:v>
      </x:c>
    </x:row>
    <x:row r="620" ht="42" customHeight="1">
      <x:c r="A620" s="14" t="str">
        <x:v>https://kozhaclinic.ru/inekcionnaya-kosmetologiya/konturnaya-plastika/uvlazhnenie-gub/</x:v>
      </x:c>
      <x:c r="B620" s="14" t="str">
        <x:v>увеличение губ увлажнение</x:v>
      </x:c>
      <x:c r="C620" s="31" t="n">
        <x:v>0</x:v>
      </x:c>
      <x:c r="D620" s="31" t="n">
        <x:v>8</x:v>
      </x:c>
      <x:c r="E620" s="33" t="n">
        <x:f>IF(D620&gt;0,C620/D620,"")</x:f>
        <x:v>0</x:v>
      </x:c>
      <x:c r="F620" s="35" t="n">
        <x:v>5.88</x:v>
      </x:c>
    </x:row>
    <x:row r="621" ht="42" customHeight="1">
      <x:c r="A621" s="12" t="str">
        <x:v>https://kozhaclinic.ru/inekcionnaya-kosmetologiya/konturnaya-plastika/uvlazhnenie-gub/</x:v>
      </x:c>
      <x:c r="B621" s="12" t="str">
        <x:v>омоложение губ без увеличения объема</x:v>
      </x:c>
      <x:c r="C621" s="30" t="n">
        <x:v>0</x:v>
      </x:c>
      <x:c r="D621" s="30" t="n">
        <x:v>8</x:v>
      </x:c>
      <x:c r="E621" s="32" t="n">
        <x:f>IF(D621&gt;0,C621/D621,"")</x:f>
        <x:v>0</x:v>
      </x:c>
      <x:c r="F621" s="34" t="n">
        <x:v>6.5</x:v>
      </x:c>
    </x:row>
    <x:row r="622" ht="42" customHeight="1">
      <x:c r="A622" s="14" t="str">
        <x:v>https://kozhaclinic.ru/inekcionnaya-kosmetologiya/konturnaya-plastika/uvlazhnenie-gub/</x:v>
      </x:c>
      <x:c r="B622" s="14" t="str">
        <x:v>контурная пластика губ без увеличения</x:v>
      </x:c>
      <x:c r="C622" s="31" t="n">
        <x:v>0</x:v>
      </x:c>
      <x:c r="D622" s="31" t="n">
        <x:v>8</x:v>
      </x:c>
      <x:c r="E622" s="33" t="n">
        <x:f>IF(D622&gt;0,C622/D622,"")</x:f>
        <x:v>0</x:v>
      </x:c>
      <x:c r="F622" s="35" t="n">
        <x:v>7.12</x:v>
      </x:c>
    </x:row>
    <x:row r="623" ht="42" customHeight="1">
      <x:c r="A623" s="12" t="str">
        <x:v>https://kozhaclinic.ru/inekcionnaya-kosmetologiya/konturnaya-plastika/uvlazhnenie-gub/</x:v>
      </x:c>
      <x:c r="B623" s="12" t="str">
        <x:v>увлажнение губ без объема</x:v>
      </x:c>
      <x:c r="C623" s="30" t="n">
        <x:v>0</x:v>
      </x:c>
      <x:c r="D623" s="30" t="n">
        <x:v>7</x:v>
      </x:c>
      <x:c r="E623" s="32" t="n">
        <x:f>IF(D623&gt;0,C623/D623,"")</x:f>
        <x:v>0</x:v>
      </x:c>
      <x:c r="F623" s="34" t="n">
        <x:v>4.29</x:v>
      </x:c>
    </x:row>
    <x:row r="624" ht="42" customHeight="1">
      <x:c r="A624" s="14" t="str">
        <x:v>https://kozhaclinic.ru/inekcionnaya-kosmetologiya/konturnaya-plastika/uvlazhnenie-gub/</x:v>
      </x:c>
      <x:c r="B624" s="14" t="str">
        <x:v>увлажнение губ как делают</x:v>
      </x:c>
      <x:c r="C624" s="31" t="n">
        <x:v>0</x:v>
      </x:c>
      <x:c r="D624" s="31" t="n">
        <x:v>7</x:v>
      </x:c>
      <x:c r="E624" s="33" t="n">
        <x:f>IF(D624&gt;0,C624/D624,"")</x:f>
        <x:v>0</x:v>
      </x:c>
      <x:c r="F624" s="35" t="n">
        <x:v>4.57</x:v>
      </x:c>
    </x:row>
    <x:row r="625" ht="42" customHeight="1">
      <x:c r="A625" s="12" t="str">
        <x:v>https://kozhaclinic.ru/inekcionnaya-kosmetologiya/konturnaya-plastika/uvlazhnenie-gub/</x:v>
      </x:c>
      <x:c r="B625" s="12" t="str">
        <x:v>гиалуроновое увлажнение губ без увеличения</x:v>
      </x:c>
      <x:c r="C625" s="30" t="n">
        <x:v>0</x:v>
      </x:c>
      <x:c r="D625" s="30" t="n">
        <x:v>7</x:v>
      </x:c>
      <x:c r="E625" s="32" t="n">
        <x:f>IF(D625&gt;0,C625/D625,"")</x:f>
        <x:v>0</x:v>
      </x:c>
      <x:c r="F625" s="34" t="n">
        <x:v>4.86</x:v>
      </x:c>
    </x:row>
    <x:row r="626" ht="42" customHeight="1">
      <x:c r="A626" s="14" t="str">
        <x:v>https://kozhaclinic.ru/inekcionnaya-kosmetologiya/konturnaya-plastika/uvlazhnenie-gub/</x:v>
      </x:c>
      <x:c r="B626" s="14" t="str">
        <x:v>увлажнение губ цена</x:v>
      </x:c>
      <x:c r="C626" s="31" t="n">
        <x:v>0</x:v>
      </x:c>
      <x:c r="D626" s="31" t="n">
        <x:v>6</x:v>
      </x:c>
      <x:c r="E626" s="33" t="n">
        <x:f>IF(D626&gt;0,C626/D626,"")</x:f>
        <x:v>0</x:v>
      </x:c>
      <x:c r="F626" s="35" t="n">
        <x:v>5.33</x:v>
      </x:c>
    </x:row>
    <x:row r="627" ht="42" customHeight="1">
      <x:c r="A627" s="12" t="str">
        <x:v>https://kozhaclinic.ru/inekcionnaya-kosmetologiya/konturnaya-plastika/uvlazhnenie-gub/</x:v>
      </x:c>
      <x:c r="B627" s="12" t="str">
        <x:v>увлажнение для губ уколы</x:v>
      </x:c>
      <x:c r="C627" s="30" t="n">
        <x:v>0</x:v>
      </x:c>
      <x:c r="D627" s="30" t="n">
        <x:v>6</x:v>
      </x:c>
      <x:c r="E627" s="32" t="n">
        <x:f>IF(D627&gt;0,C627/D627,"")</x:f>
        <x:v>0</x:v>
      </x:c>
      <x:c r="F627" s="34" t="n">
        <x:v>5.83</x:v>
      </x:c>
    </x:row>
    <x:row r="628" ht="42" customHeight="1">
      <x:c r="A628" s="14" t="str">
        <x:v>https://kozhaclinic.ru/inekcionnaya-kosmetologiya/konturnaya-plastika/uvlazhnenie-gub/</x:v>
      </x:c>
      <x:c r="B628" s="14" t="str">
        <x:v>гиалуронка в губы для увлажнения без увеличения</x:v>
      </x:c>
      <x:c r="C628" s="31" t="n">
        <x:v>0</x:v>
      </x:c>
      <x:c r="D628" s="31" t="n">
        <x:v>6</x:v>
      </x:c>
      <x:c r="E628" s="33" t="n">
        <x:f>IF(D628&gt;0,C628/D628,"")</x:f>
        <x:v>0</x:v>
      </x:c>
      <x:c r="F628" s="35" t="n">
        <x:v>6</x:v>
      </x:c>
    </x:row>
    <x:row r="629" ht="42" customHeight="1">
      <x:c r="A629" s="12" t="str">
        <x:v>https://kozhaclinic.ru/inekcionnaya-kosmetologiya/konturnaya-plastika/uvlazhnenie-gub/</x:v>
      </x:c>
      <x:c r="B629" s="12" t="str">
        <x:v>чем увлажняют губы косметологи</x:v>
      </x:c>
      <x:c r="C629" s="30" t="n">
        <x:v>0</x:v>
      </x:c>
      <x:c r="D629" s="30" t="n">
        <x:v>6</x:v>
      </x:c>
      <x:c r="E629" s="32" t="n">
        <x:f>IF(D629&gt;0,C629/D629,"")</x:f>
        <x:v>0</x:v>
      </x:c>
      <x:c r="F629" s="34" t="n">
        <x:v>6.5</x:v>
      </x:c>
    </x:row>
    <x:row r="630" ht="42" customHeight="1">
      <x:c r="A630" s="14" t="str">
        <x:v>https://kozhaclinic.ru/inekcionnaya-kosmetologiya/konturnaya-plastika/uvlazhnenie-gub/</x:v>
      </x:c>
      <x:c r="B630" s="14" t="str">
        <x:v>увлажненные губы</x:v>
      </x:c>
      <x:c r="C630" s="31" t="n">
        <x:v>0</x:v>
      </x:c>
      <x:c r="D630" s="31" t="n">
        <x:v>6</x:v>
      </x:c>
      <x:c r="E630" s="33" t="n">
        <x:f>IF(D630&gt;0,C630/D630,"")</x:f>
        <x:v>0</x:v>
      </x:c>
      <x:c r="F630" s="35" t="n">
        <x:v>7.33</x:v>
      </x:c>
    </x:row>
    <x:row r="631" ht="42" customHeight="1">
      <x:c r="A631" s="12" t="str">
        <x:v>https://kozhaclinic.ru/inekcionnaya-kosmetologiya/konturnaya-plastika/uvlazhnenie-gub/</x:v>
      </x:c>
      <x:c r="B631" s="12" t="str">
        <x:v>процедуры для губ для увлажнения</x:v>
      </x:c>
      <x:c r="C631" s="30" t="n">
        <x:v>0</x:v>
      </x:c>
      <x:c r="D631" s="30" t="n">
        <x:v>6</x:v>
      </x:c>
      <x:c r="E631" s="32" t="n">
        <x:f>IF(D631&gt;0,C631/D631,"")</x:f>
        <x:v>0</x:v>
      </x:c>
      <x:c r="F631" s="34" t="n">
        <x:v>8.67</x:v>
      </x:c>
    </x:row>
    <x:row r="632" ht="42" customHeight="1">
      <x:c r="A632" s="14" t="str">
        <x:v>https://kozhaclinic.ru/inekcionnaya-kosmetologiya/konturnaya-plastika/uvlazhnenie-gub/</x:v>
      </x:c>
      <x:c r="B632" s="14" t="str">
        <x:v>биоревитализация губ без увеличения объема</x:v>
      </x:c>
      <x:c r="C632" s="31" t="n">
        <x:v>0</x:v>
      </x:c>
      <x:c r="D632" s="31" t="n">
        <x:v>6</x:v>
      </x:c>
      <x:c r="E632" s="33" t="n">
        <x:f>IF(D632&gt;0,C632/D632,"")</x:f>
        <x:v>0</x:v>
      </x:c>
      <x:c r="F632" s="35" t="n">
        <x:v>13.33</x:v>
      </x:c>
    </x:row>
    <x:row r="633" ht="42" customHeight="1">
      <x:c r="A633" s="12" t="str">
        <x:v>https://kozhaclinic.ru/inekcionnaya-kosmetologiya/konturnaya-plastika/uvlazhnenie-gub/</x:v>
      </x:c>
      <x:c r="B633" s="12" t="str">
        <x:v>увлажнение губ гиалуронкой</x:v>
      </x:c>
      <x:c r="C633" s="30" t="n">
        <x:v>0</x:v>
      </x:c>
      <x:c r="D633" s="30" t="n">
        <x:v>6</x:v>
      </x:c>
      <x:c r="E633" s="32" t="n">
        <x:f>IF(D633&gt;0,C633/D633,"")</x:f>
        <x:v>0</x:v>
      </x:c>
      <x:c r="F633" s="34" t="n">
        <x:v>27.33</x:v>
      </x:c>
    </x:row>
    <x:row r="634" ht="42" customHeight="1">
      <x:c r="A634" s="14" t="str">
        <x:v>https://kozhaclinic.ru/inekcionnaya-kosmetologiya/konturnaya-plastika/uvlazhnenie-gub/</x:v>
      </x:c>
      <x:c r="B634" s="14" t="str">
        <x:v>увеличение губ для увлажнения</x:v>
      </x:c>
      <x:c r="C634" s="31" t="n">
        <x:v>0</x:v>
      </x:c>
      <x:c r="D634" s="31" t="n">
        <x:v>5</x:v>
      </x:c>
      <x:c r="E634" s="33" t="n">
        <x:f>IF(D634&gt;0,C634/D634,"")</x:f>
        <x:v>0</x:v>
      </x:c>
      <x:c r="F634" s="35" t="n">
        <x:v>2</x:v>
      </x:c>
    </x:row>
    <x:row r="635" ht="42" customHeight="1">
      <x:c r="A635" s="12" t="str">
        <x:v>https://kozhaclinic.ru/inekcionnaya-kosmetologiya/konturnaya-plastika/uvlazhnenie-gub/</x:v>
      </x:c>
      <x:c r="B635" s="12" t="str">
        <x:v>инъекции в губы для увлажнения</x:v>
      </x:c>
      <x:c r="C635" s="30" t="n">
        <x:v>0</x:v>
      </x:c>
      <x:c r="D635" s="30" t="n">
        <x:v>5</x:v>
      </x:c>
      <x:c r="E635" s="32" t="n">
        <x:f>IF(D635&gt;0,C635/D635,"")</x:f>
        <x:v>0</x:v>
      </x:c>
      <x:c r="F635" s="34" t="n">
        <x:v>3.8</x:v>
      </x:c>
    </x:row>
    <x:row r="636" ht="42" customHeight="1">
      <x:c r="A636" s="14" t="str">
        <x:v>https://kozhaclinic.ru/inekcionnaya-kosmetologiya/konturnaya-plastika/uvlazhnenie-gub/</x:v>
      </x:c>
      <x:c r="B636" s="14" t="str">
        <x:v>укол для увлажнения губ</x:v>
      </x:c>
      <x:c r="C636" s="31" t="n">
        <x:v>0</x:v>
      </x:c>
      <x:c r="D636" s="31" t="n">
        <x:v>5</x:v>
      </x:c>
      <x:c r="E636" s="33" t="n">
        <x:f>IF(D636&gt;0,C636/D636,"")</x:f>
        <x:v>0</x:v>
      </x:c>
      <x:c r="F636" s="35" t="n">
        <x:v>4.8</x:v>
      </x:c>
    </x:row>
    <x:row r="637" ht="42" customHeight="1">
      <x:c r="A637" s="12" t="str">
        <x:v>https://kozhaclinic.ru/inekcionnaya-kosmetologiya/konturnaya-plastika/uvlazhnenie-gub/</x:v>
      </x:c>
      <x:c r="B637" s="12" t="str">
        <x:v>увлажнение губ сургут</x:v>
      </x:c>
      <x:c r="C637" s="30" t="n">
        <x:v>0</x:v>
      </x:c>
      <x:c r="D637" s="30" t="n">
        <x:v>5</x:v>
      </x:c>
      <x:c r="E637" s="32" t="n">
        <x:f>IF(D637&gt;0,C637/D637,"")</x:f>
        <x:v>0</x:v>
      </x:c>
      <x:c r="F637" s="34" t="n">
        <x:v>5.8</x:v>
      </x:c>
    </x:row>
    <x:row r="638" ht="42" customHeight="1">
      <x:c r="A638" s="14" t="str">
        <x:v>https://kozhaclinic.ru/inekcionnaya-kosmetologiya/konturnaya-plastika/uvlazhnenie-gub/</x:v>
      </x:c>
      <x:c r="B638" s="14" t="str">
        <x:v>увлажнитель губ</x:v>
      </x:c>
      <x:c r="C638" s="31" t="n">
        <x:v>0</x:v>
      </x:c>
      <x:c r="D638" s="31" t="n">
        <x:v>5</x:v>
      </x:c>
      <x:c r="E638" s="33" t="n">
        <x:f>IF(D638&gt;0,C638/D638,"")</x:f>
        <x:v>0</x:v>
      </x:c>
      <x:c r="F638" s="35" t="n">
        <x:v>21.6</x:v>
      </x:c>
    </x:row>
    <x:row r="639" ht="42" customHeight="1">
      <x:c r="A639" s="12" t="str">
        <x:v>https://kozhaclinic.ru/inekcionnaya-kosmetologiya/konturnaya-plastika/uvlazhnenie-gub/</x:v>
      </x:c>
      <x:c r="B639" s="12" t="str">
        <x:v>сделать увлажнение губ</x:v>
      </x:c>
      <x:c r="C639" s="30" t="n">
        <x:v>0</x:v>
      </x:c>
      <x:c r="D639" s="30" t="n">
        <x:v>4</x:v>
      </x:c>
      <x:c r="E639" s="32" t="n">
        <x:f>IF(D639&gt;0,C639/D639,"")</x:f>
        <x:v>0</x:v>
      </x:c>
      <x:c r="F639" s="34" t="n">
        <x:v>2.75</x:v>
      </x:c>
    </x:row>
    <x:row r="640" ht="42" customHeight="1">
      <x:c r="A640" s="14" t="str">
        <x:v>https://kozhaclinic.ru/inekcionnaya-kosmetologiya/konturnaya-plastika/uvlazhnenie-gub/</x:v>
      </x:c>
      <x:c r="B640" s="14" t="str">
        <x:v>как увлажнить губы у косметолога без увеличения</x:v>
      </x:c>
      <x:c r="C640" s="31" t="n">
        <x:v>0</x:v>
      </x:c>
      <x:c r="D640" s="31" t="n">
        <x:v>4</x:v>
      </x:c>
      <x:c r="E640" s="33" t="n">
        <x:f>IF(D640&gt;0,C640/D640,"")</x:f>
        <x:v>0</x:v>
      </x:c>
      <x:c r="F640" s="35" t="n">
        <x:v>6.25</x:v>
      </x:c>
    </x:row>
    <x:row r="641" ht="42" customHeight="1">
      <x:c r="A641" s="12" t="str">
        <x:v>https://kozhaclinic.ru/inekcionnaya-kosmetologiya/konturnaya-plastika/uvlazhnenie-gub/</x:v>
      </x:c>
      <x:c r="B641" s="12" t="str">
        <x:v>увлажнение губ гиалуроном</x:v>
      </x:c>
      <x:c r="C641" s="30" t="n">
        <x:v>0</x:v>
      </x:c>
      <x:c r="D641" s="30" t="n">
        <x:v>4</x:v>
      </x:c>
      <x:c r="E641" s="32" t="n">
        <x:f>IF(D641&gt;0,C641/D641,"")</x:f>
        <x:v>0</x:v>
      </x:c>
      <x:c r="F641" s="34" t="n">
        <x:v>7.5</x:v>
      </x:c>
    </x:row>
    <x:row r="642" ht="42" customHeight="1">
      <x:c r="A642" s="14" t="str">
        <x:v>https://kozhaclinic.ru/inekcionnaya-kosmetologiya/konturnaya-plastika/uvlazhnenie-gub/</x:v>
      </x:c>
      <x:c r="B642" s="14" t="str">
        <x:v>увлажнение губ филлером сургут</x:v>
      </x:c>
      <x:c r="C642" s="31" t="n">
        <x:v>0</x:v>
      </x:c>
      <x:c r="D642" s="31" t="n">
        <x:v>4</x:v>
      </x:c>
      <x:c r="E642" s="33" t="n">
        <x:f>IF(D642&gt;0,C642/D642,"")</x:f>
        <x:v>0</x:v>
      </x:c>
      <x:c r="F642" s="35" t="n">
        <x:v>7.5</x:v>
      </x:c>
    </x:row>
    <x:row r="643" ht="42" customHeight="1">
      <x:c r="A643" s="12" t="str">
        <x:v>https://kozhaclinic.ru/inekcionnaya-kosmetologiya/konturnaya-plastika/uvlazhnenie-gub/</x:v>
      </x:c>
      <x:c r="B643" s="12" t="str">
        <x:v>увлажнить губы цена</x:v>
      </x:c>
      <x:c r="C643" s="30" t="n">
        <x:v>0</x:v>
      </x:c>
      <x:c r="D643" s="30" t="n">
        <x:v>4</x:v>
      </x:c>
      <x:c r="E643" s="32" t="n">
        <x:f>IF(D643&gt;0,C643/D643,"")</x:f>
        <x:v>0</x:v>
      </x:c>
      <x:c r="F643" s="34" t="n">
        <x:v>8.25</x:v>
      </x:c>
    </x:row>
    <x:row r="644" ht="42" customHeight="1">
      <x:c r="A644" s="14" t="str">
        <x:v>https://kozhaclinic.ru/inekcionnaya-kosmetologiya/konturnaya-plastika/uvlazhnenie-gub/</x:v>
      </x:c>
      <x:c r="B644" s="14" t="str">
        <x:v>увлажнение губ без увеличения отзывы</x:v>
      </x:c>
      <x:c r="C644" s="31" t="n">
        <x:v>0</x:v>
      </x:c>
      <x:c r="D644" s="31" t="n">
        <x:v>4</x:v>
      </x:c>
      <x:c r="E644" s="33" t="n">
        <x:f>IF(D644&gt;0,C644/D644,"")</x:f>
        <x:v>0</x:v>
      </x:c>
      <x:c r="F644" s="35" t="n">
        <x:v>9.25</x:v>
      </x:c>
    </x:row>
    <x:row r="645" ht="42" customHeight="1">
      <x:c r="A645" s="12" t="str">
        <x:v>https://kozhaclinic.ru/inekcionnaya-kosmetologiya/konturnaya-plastika/uvlazhnenie-gub/</x:v>
      </x:c>
      <x:c r="B645" s="12" t="str">
        <x:v>препарат для увлажнения губ</x:v>
      </x:c>
      <x:c r="C645" s="30" t="n">
        <x:v>0</x:v>
      </x:c>
      <x:c r="D645" s="30" t="n">
        <x:v>4</x:v>
      </x:c>
      <x:c r="E645" s="32" t="n">
        <x:f>IF(D645&gt;0,C645/D645,"")</x:f>
        <x:v>0</x:v>
      </x:c>
      <x:c r="F645" s="34" t="n">
        <x:v>10</x:v>
      </x:c>
    </x:row>
    <x:row r="646" ht="42" customHeight="1">
      <x:c r="A646" s="14" t="str">
        <x:v>https://kozhaclinic.ru/inekcionnaya-kosmetologiya/konturnaya-plastika/uvlazhnenie-gub/</x:v>
      </x:c>
      <x:c r="B646" s="14" t="str">
        <x:v>увеличение губ от сухости</x:v>
      </x:c>
      <x:c r="C646" s="31" t="n">
        <x:v>0</x:v>
      </x:c>
      <x:c r="D646" s="31" t="n">
        <x:v>4</x:v>
      </x:c>
      <x:c r="E646" s="33" t="n">
        <x:f>IF(D646&gt;0,C646/D646,"")</x:f>
        <x:v>0</x:v>
      </x:c>
      <x:c r="F646" s="35" t="n">
        <x:v>11.25</x:v>
      </x:c>
    </x:row>
    <x:row r="647" ht="42" customHeight="1">
      <x:c r="A647" s="12" t="str">
        <x:v>https://kozhaclinic.ru/inekcionnaya-kosmetologiya/konturnaya-plastika/uvlazhnenie-gub/</x:v>
      </x:c>
      <x:c r="B647" s="12" t="str">
        <x:v>аппаратное увлажнение губ</x:v>
      </x:c>
      <x:c r="C647" s="30" t="n">
        <x:v>0</x:v>
      </x:c>
      <x:c r="D647" s="30" t="n">
        <x:v>4</x:v>
      </x:c>
      <x:c r="E647" s="32" t="n">
        <x:f>IF(D647&gt;0,C647/D647,"")</x:f>
        <x:v>0</x:v>
      </x:c>
      <x:c r="F647" s="34" t="n">
        <x:v>24.25</x:v>
      </x:c>
    </x:row>
    <x:row r="648" ht="42" customHeight="1">
      <x:c r="A648" s="14" t="str">
        <x:v>https://kozhaclinic.ru/inekcionnaya-kosmetologiya/konturnaya-plastika/uvlazhnenie-gub/</x:v>
      </x:c>
      <x:c r="B648" s="14" t="str">
        <x:v>увлажнение губ фото до и после</x:v>
      </x:c>
      <x:c r="C648" s="31" t="n">
        <x:v>0</x:v>
      </x:c>
      <x:c r="D648" s="31" t="n">
        <x:v>3</x:v>
      </x:c>
      <x:c r="E648" s="33" t="n">
        <x:f>IF(D648&gt;0,C648/D648,"")</x:f>
        <x:v>0</x:v>
      </x:c>
      <x:c r="F648" s="35" t="n">
        <x:v>2.67</x:v>
      </x:c>
    </x:row>
    <x:row r="649" ht="42" customHeight="1">
      <x:c r="A649" s="12" t="str">
        <x:v>https://kozhaclinic.ru/inekcionnaya-kosmetologiya/konturnaya-plastika/uvlazhnenie-gub/</x:v>
      </x:c>
      <x:c r="B649" s="12" t="str">
        <x:v>увлажнение губ и увеличение разница</x:v>
      </x:c>
      <x:c r="C649" s="30" t="n">
        <x:v>0</x:v>
      </x:c>
      <x:c r="D649" s="30" t="n">
        <x:v>3</x:v>
      </x:c>
      <x:c r="E649" s="32" t="n">
        <x:f>IF(D649&gt;0,C649/D649,"")</x:f>
        <x:v>0</x:v>
      </x:c>
      <x:c r="F649" s="34" t="n">
        <x:v>6.33</x:v>
      </x:c>
    </x:row>
    <x:row r="650" ht="42" customHeight="1">
      <x:c r="A650" s="14" t="str">
        <x:v>https://kozhaclinic.ru/inekcionnaya-kosmetologiya/konturnaya-plastika/uvlazhnenie-gub/</x:v>
      </x:c>
      <x:c r="B650" s="14" t="str">
        <x:v>увлажнить губы сургут</x:v>
      </x:c>
      <x:c r="C650" s="31" t="n">
        <x:v>0</x:v>
      </x:c>
      <x:c r="D650" s="31" t="n">
        <x:v>3</x:v>
      </x:c>
      <x:c r="E650" s="33" t="n">
        <x:f>IF(D650&gt;0,C650/D650,"")</x:f>
        <x:v>0</x:v>
      </x:c>
      <x:c r="F650" s="35" t="n">
        <x:v>7</x:v>
      </x:c>
    </x:row>
    <x:row r="651" ht="42" customHeight="1">
      <x:c r="A651" s="12" t="str">
        <x:v>https://kozhaclinic.ru/inekcionnaya-kosmetologiya/konturnaya-plastika/uvlazhnenie-gub/</x:v>
      </x:c>
      <x:c r="B651" s="12" t="str">
        <x:v>увеличить губы сургут</x:v>
      </x:c>
      <x:c r="C651" s="30" t="n">
        <x:v>0</x:v>
      </x:c>
      <x:c r="D651" s="30" t="n">
        <x:v>3</x:v>
      </x:c>
      <x:c r="E651" s="32" t="n">
        <x:f>IF(D651&gt;0,C651/D651,"")</x:f>
        <x:v>0</x:v>
      </x:c>
      <x:c r="F651" s="34" t="n">
        <x:v>19.67</x:v>
      </x:c>
    </x:row>
    <x:row r="652" ht="42" customHeight="1">
      <x:c r="A652" s="14" t="str">
        <x:v>https://kozhaclinic.ru/inekcionnaya-kosmetologiya/konturnaya-plastika/uvlazhnenie-gub/</x:v>
      </x:c>
      <x:c r="B652" s="14" t="str">
        <x:v>увеличение губ сургут</x:v>
      </x:c>
      <x:c r="C652" s="31" t="n">
        <x:v>0</x:v>
      </x:c>
      <x:c r="D652" s="31" t="n">
        <x:v>3</x:v>
      </x:c>
      <x:c r="E652" s="33" t="n">
        <x:f>IF(D652&gt;0,C652/D652,"")</x:f>
        <x:v>0</x:v>
      </x:c>
      <x:c r="F652" s="35" t="n">
        <x:v>22</x:v>
      </x:c>
    </x:row>
    <x:row r="653" ht="42" customHeight="1">
      <x:c r="A653" s="12" t="str">
        <x:v>https://kozhaclinic.ru/inekcionnaya-kosmetologiya/konturnaya-plastika/uvlazhnenie-gub/</x:v>
      </x:c>
      <x:c r="B653" s="12" t="str">
        <x:v>увеличить верхнюю губу сургут</x:v>
      </x:c>
      <x:c r="C653" s="30" t="n">
        <x:v>0</x:v>
      </x:c>
      <x:c r="D653" s="30" t="n">
        <x:v>3</x:v>
      </x:c>
      <x:c r="E653" s="32" t="n">
        <x:f>IF(D653&gt;0,C653/D653,"")</x:f>
        <x:v>0</x:v>
      </x:c>
      <x:c r="F653" s="34" t="n">
        <x:v>28.67</x:v>
      </x:c>
    </x:row>
    <x:row r="654" ht="42" customHeight="1">
      <x:c r="A654" s="14" t="str">
        <x:v>https://kozhaclinic.ru/inekcionnaya-kosmetologiya/konturnaya-plastika/uvlazhnenie-gub/</x:v>
      </x:c>
      <x:c r="B654" s="14" t="str">
        <x:v>увлажнение губ процедура цена</x:v>
      </x:c>
      <x:c r="C654" s="31" t="n">
        <x:v>0</x:v>
      </x:c>
      <x:c r="D654" s="31" t="n">
        <x:v>2</x:v>
      </x:c>
      <x:c r="E654" s="33" t="n">
        <x:f>IF(D654&gt;0,C654/D654,"")</x:f>
        <x:v>0</x:v>
      </x:c>
      <x:c r="F654" s="35" t="n">
        <x:v>1</x:v>
      </x:c>
    </x:row>
    <x:row r="655" ht="42" customHeight="1">
      <x:c r="A655" s="12" t="str">
        <x:v>https://kozhaclinic.ru/inekcionnaya-kosmetologiya/konturnaya-plastika/uvlazhnenie-gub/</x:v>
      </x:c>
      <x:c r="B655" s="12" t="str">
        <x:v>увлажнение губ без уколов</x:v>
      </x:c>
      <x:c r="C655" s="30" t="n">
        <x:v>0</x:v>
      </x:c>
      <x:c r="D655" s="30" t="n">
        <x:v>2</x:v>
      </x:c>
      <x:c r="E655" s="32" t="n">
        <x:f>IF(D655&gt;0,C655/D655,"")</x:f>
        <x:v>0</x:v>
      </x:c>
      <x:c r="F655" s="34" t="n">
        <x:v>5</x:v>
      </x:c>
    </x:row>
    <x:row r="656" ht="42" customHeight="1">
      <x:c r="A656" s="14" t="str">
        <x:v>https://kozhaclinic.ru/inekcionnaya-kosmetologiya/konturnaya-plastika/uvlazhnenie-gub/</x:v>
      </x:c>
      <x:c r="B656" s="14" t="str">
        <x:v>увлажнить губы косметология сургут</x:v>
      </x:c>
      <x:c r="C656" s="31" t="n">
        <x:v>0</x:v>
      </x:c>
      <x:c r="D656" s="31" t="n">
        <x:v>2</x:v>
      </x:c>
      <x:c r="E656" s="33" t="n">
        <x:f>IF(D656&gt;0,C656/D656,"")</x:f>
        <x:v>0</x:v>
      </x:c>
      <x:c r="F656" s="35" t="n">
        <x:v>6</x:v>
      </x:c>
    </x:row>
    <x:row r="657" ht="42" customHeight="1">
      <x:c r="A657" s="12" t="str">
        <x:v>https://kozhaclinic.ru/inekcionnaya-kosmetologiya/konturnaya-plastika/uvlazhnenie-gub/</x:v>
      </x:c>
      <x:c r="B657" s="12" t="str">
        <x:v>губ</x:v>
      </x:c>
      <x:c r="C657" s="30" t="n">
        <x:v>0</x:v>
      </x:c>
      <x:c r="D657" s="30" t="n">
        <x:v>2</x:v>
      </x:c>
      <x:c r="E657" s="32" t="n">
        <x:f>IF(D657&gt;0,C657/D657,"")</x:f>
        <x:v>0</x:v>
      </x:c>
      <x:c r="F657" s="34" t="n">
        <x:v>10.5</x:v>
      </x:c>
    </x:row>
    <x:row r="658" ht="42" customHeight="1">
      <x:c r="A658" s="14" t="str">
        <x:v>https://kozhaclinic.ru/inekcionnaya-kosmetologiya/konturnaya-plastika/uvlazhnenie-gub/</x:v>
      </x:c>
      <x:c r="B658" s="14" t="str">
        <x:v>увеличить губы косметология сургут</x:v>
      </x:c>
      <x:c r="C658" s="31" t="n">
        <x:v>0</x:v>
      </x:c>
      <x:c r="D658" s="31" t="n">
        <x:v>2</x:v>
      </x:c>
      <x:c r="E658" s="33" t="n">
        <x:f>IF(D658&gt;0,C658/D658,"")</x:f>
        <x:v>0</x:v>
      </x:c>
      <x:c r="F658" s="35" t="n">
        <x:v>16.5</x:v>
      </x:c>
    </x:row>
    <x:row r="659" ht="42" customHeight="1">
      <x:c r="A659" s="12" t="str">
        <x:v>https://kozhaclinic.ru/inekcionnaya-kosmetologiya/konturnaya-plastika/uvlazhnenie-gub/</x:v>
      </x:c>
      <x:c r="B659" s="12" t="str">
        <x:v>филлеры в губы сургут</x:v>
      </x:c>
      <x:c r="C659" s="30" t="n">
        <x:v>0</x:v>
      </x:c>
      <x:c r="D659" s="30" t="n">
        <x:v>2</x:v>
      </x:c>
      <x:c r="E659" s="32" t="n">
        <x:f>IF(D659&gt;0,C659/D659,"")</x:f>
        <x:v>0</x:v>
      </x:c>
      <x:c r="F659" s="34" t="n">
        <x:v>18.5</x:v>
      </x:c>
    </x:row>
    <x:row r="660" ht="42" customHeight="1">
      <x:c r="A660" s="14" t="str">
        <x:v>https://kozhaclinic.ru/inekcionnaya-kosmetologiya/konturnaya-plastika/uvlazhnenie-gub/</x:v>
      </x:c>
      <x:c r="B660" s="14" t="str">
        <x:v>увеличение верхней губы сургут</x:v>
      </x:c>
      <x:c r="C660" s="31" t="n">
        <x:v>0</x:v>
      </x:c>
      <x:c r="D660" s="31" t="n">
        <x:v>2</x:v>
      </x:c>
      <x:c r="E660" s="33" t="n">
        <x:f>IF(D660&gt;0,C660/D660,"")</x:f>
        <x:v>0</x:v>
      </x:c>
      <x:c r="F660" s="35" t="n">
        <x:v>19.5</x:v>
      </x:c>
    </x:row>
    <x:row r="661" ht="42" customHeight="1">
      <x:c r="A661" s="12" t="str">
        <x:v>https://kozhaclinic.ru/inekcionnaya-kosmetologiya/konturnaya-plastika/uvlazhnenie-gub/</x:v>
      </x:c>
      <x:c r="B661" s="12" t="str">
        <x:v>коррекция губ филлером сургут</x:v>
      </x:c>
      <x:c r="C661" s="30" t="n">
        <x:v>0</x:v>
      </x:c>
      <x:c r="D661" s="30" t="n">
        <x:v>2</x:v>
      </x:c>
      <x:c r="E661" s="32" t="n">
        <x:f>IF(D661&gt;0,C661/D661,"")</x:f>
        <x:v>0</x:v>
      </x:c>
      <x:c r="F661" s="34" t="n">
        <x:v>20</x:v>
      </x:c>
    </x:row>
    <x:row r="662" ht="42" customHeight="1">
      <x:c r="A662" s="14" t="str">
        <x:v>https://kozhaclinic.ru/inekcionnaya-kosmetologiya/konturnaya-plastika/uvlazhnenie-gub/</x:v>
      </x:c>
      <x:c r="B662" s="14" t="str">
        <x:v>увлажнение губ в исламе</x:v>
      </x:c>
      <x:c r="C662" s="31" t="n">
        <x:v>0</x:v>
      </x:c>
      <x:c r="D662" s="31" t="n">
        <x:v>1</x:v>
      </x:c>
      <x:c r="E662" s="33" t="n">
        <x:f>IF(D662&gt;0,C662/D662,"")</x:f>
        <x:v>0</x:v>
      </x:c>
      <x:c r="F662" s="35" t="n">
        <x:v>1</x:v>
      </x:c>
    </x:row>
    <x:row r="663" ht="42" customHeight="1">
      <x:c r="A663" s="12" t="str">
        <x:v>https://kozhaclinic.ru/inekcionnaya-kosmetologiya/konturnaya-plastika/uvlazhnenie-gub/</x:v>
      </x:c>
      <x:c r="B663" s="12" t="str">
        <x:v>увлажнение губ гиалуроновой кислотой цена москва</x:v>
      </x:c>
      <x:c r="C663" s="30" t="n">
        <x:v>0</x:v>
      </x:c>
      <x:c r="D663" s="30" t="n">
        <x:v>1</x:v>
      </x:c>
      <x:c r="E663" s="32" t="n">
        <x:f>IF(D663&gt;0,C663/D663,"")</x:f>
        <x:v>0</x:v>
      </x:c>
      <x:c r="F663" s="34" t="n">
        <x:v>1</x:v>
      </x:c>
    </x:row>
    <x:row r="664" ht="42" customHeight="1">
      <x:c r="A664" s="14" t="str">
        <x:v>https://kozhaclinic.ru/inekcionnaya-kosmetologiya/konturnaya-plastika/uvlazhnenie-gub/</x:v>
      </x:c>
      <x:c r="B664" s="14" t="str">
        <x:v>увлажнение губ филлером</x:v>
      </x:c>
      <x:c r="C664" s="31" t="n">
        <x:v>0</x:v>
      </x:c>
      <x:c r="D664" s="31" t="n">
        <x:v>1</x:v>
      </x:c>
      <x:c r="E664" s="33" t="n">
        <x:f>IF(D664&gt;0,C664/D664,"")</x:f>
        <x:v>0</x:v>
      </x:c>
      <x:c r="F664" s="35" t="n">
        <x:v>1</x:v>
      </x:c>
    </x:row>
    <x:row r="665" ht="42" customHeight="1">
      <x:c r="A665" s="12" t="str">
        <x:v>https://kozhaclinic.ru/inekcionnaya-kosmetologiya/konturnaya-plastika/uvlazhnenie-gub/</x:v>
      </x:c>
      <x:c r="B665" s="12" t="str">
        <x:v>увлажнить губы</x:v>
      </x:c>
      <x:c r="C665" s="30" t="n">
        <x:v>0</x:v>
      </x:c>
      <x:c r="D665" s="30" t="n">
        <x:v>1</x:v>
      </x:c>
      <x:c r="E665" s="32" t="n">
        <x:f>IF(D665&gt;0,C665/D665,"")</x:f>
        <x:v>0</x:v>
      </x:c>
      <x:c r="F665" s="34" t="n">
        <x:v>1</x:v>
      </x:c>
    </x:row>
    <x:row r="666" ht="42" customHeight="1">
      <x:c r="A666" s="14" t="str">
        <x:v>https://kozhaclinic.ru/inekcionnaya-kosmetologiya/konturnaya-plastika/uvlazhnenie-gub/</x:v>
      </x:c>
      <x:c r="B666" s="14" t="str">
        <x:v>процедура увлажнение губ отзывы</x:v>
      </x:c>
      <x:c r="C666" s="31" t="n">
        <x:v>0</x:v>
      </x:c>
      <x:c r="D666" s="31" t="n">
        <x:v>1</x:v>
      </x:c>
      <x:c r="E666" s="33" t="n">
        <x:f>IF(D666&gt;0,C666/D666,"")</x:f>
        <x:v>0</x:v>
      </x:c>
      <x:c r="F666" s="35" t="n">
        <x:v>2</x:v>
      </x:c>
    </x:row>
    <x:row r="667" ht="42" customHeight="1">
      <x:c r="A667" s="12" t="str">
        <x:v>https://kozhaclinic.ru/inekcionnaya-kosmetologiya/konturnaya-plastika/uvlazhnenie-gub/</x:v>
      </x:c>
      <x:c r="B667" s="12" t="str">
        <x:v>увлажнение губ отзывы</x:v>
      </x:c>
      <x:c r="C667" s="30" t="n">
        <x:v>0</x:v>
      </x:c>
      <x:c r="D667" s="30" t="n">
        <x:v>1</x:v>
      </x:c>
      <x:c r="E667" s="32" t="n">
        <x:f>IF(D667&gt;0,C667/D667,"")</x:f>
        <x:v>0</x:v>
      </x:c>
      <x:c r="F667" s="34" t="n">
        <x:v>2</x:v>
      </x:c>
    </x:row>
    <x:row r="668" ht="42" customHeight="1">
      <x:c r="A668" s="14" t="str">
        <x:v>https://kozhaclinic.ru/inekcionnaya-kosmetologiya/konturnaya-plastika/uvlazhnenie-gub/</x:v>
      </x:c>
      <x:c r="B668" s="14" t="str">
        <x:v>после увлажнения губ что нельзя делать</x:v>
      </x:c>
      <x:c r="C668" s="31" t="n">
        <x:v>0</x:v>
      </x:c>
      <x:c r="D668" s="31" t="n">
        <x:v>1</x:v>
      </x:c>
      <x:c r="E668" s="33" t="n">
        <x:f>IF(D668&gt;0,C668/D668,"")</x:f>
        <x:v>0</x:v>
      </x:c>
      <x:c r="F668" s="35" t="n">
        <x:v>3</x:v>
      </x:c>
    </x:row>
    <x:row r="669" ht="42" customHeight="1">
      <x:c r="A669" s="12" t="str">
        <x:v>https://kozhaclinic.ru/inekcionnaya-kosmetologiya/konturnaya-plastika/uvlazhnenie-gub/</x:v>
      </x:c>
      <x:c r="B669" s="12" t="str">
        <x:v>увлажнение губ в салоне</x:v>
      </x:c>
      <x:c r="C669" s="30" t="n">
        <x:v>0</x:v>
      </x:c>
      <x:c r="D669" s="30" t="n">
        <x:v>1</x:v>
      </x:c>
      <x:c r="E669" s="32" t="n">
        <x:f>IF(D669&gt;0,C669/D669,"")</x:f>
        <x:v>0</x:v>
      </x:c>
      <x:c r="F669" s="34" t="n">
        <x:v>3</x:v>
      </x:c>
    </x:row>
    <x:row r="670" ht="42" customHeight="1">
      <x:c r="A670" s="14" t="str">
        <x:v>https://kozhaclinic.ru/inekcionnaya-kosmetologiya/konturnaya-plastika/uvlazhnenie-gub/</x:v>
      </x:c>
      <x:c r="B670" s="14" t="str">
        <x:v>увлажнить</x:v>
      </x:c>
      <x:c r="C670" s="31" t="n">
        <x:v>0</x:v>
      </x:c>
      <x:c r="D670" s="31" t="n">
        <x:v>1</x:v>
      </x:c>
      <x:c r="E670" s="33" t="n">
        <x:f>IF(D670&gt;0,C670/D670,"")</x:f>
        <x:v>0</x:v>
      </x:c>
      <x:c r="F670" s="35" t="n">
        <x:v>3</x:v>
      </x:c>
    </x:row>
    <x:row r="671" ht="42" customHeight="1">
      <x:c r="A671" s="12" t="str">
        <x:v>https://kozhaclinic.ru/inekcionnaya-kosmetologiya/konturnaya-plastika/uvlazhnenie-gub/</x:v>
      </x:c>
      <x:c r="B671" s="12" t="str">
        <x:v>увлажнение и питание губ</x:v>
      </x:c>
      <x:c r="C671" s="30" t="n">
        <x:v>0</x:v>
      </x:c>
      <x:c r="D671" s="30" t="n">
        <x:v>1</x:v>
      </x:c>
      <x:c r="E671" s="32" t="n">
        <x:f>IF(D671&gt;0,C671/D671,"")</x:f>
        <x:v>0</x:v>
      </x:c>
      <x:c r="F671" s="34" t="n">
        <x:v>8</x:v>
      </x:c>
    </x:row>
    <x:row r="672" ht="42" customHeight="1">
      <x:c r="A672" s="14" t="str">
        <x:v>https://kozhaclinic.ru/inekcionnaya-kosmetologiya/konturnaya-plastika/uvlazhnenie-gub/</x:v>
      </x:c>
      <x:c r="B672" s="14" t="str">
        <x:v>без увеличения</x:v>
      </x:c>
      <x:c r="C672" s="31" t="n">
        <x:v>0</x:v>
      </x:c>
      <x:c r="D672" s="31" t="n">
        <x:v>1</x:v>
      </x:c>
      <x:c r="E672" s="33" t="n">
        <x:f>IF(D672&gt;0,C672/D672,"")</x:f>
        <x:v>0</x:v>
      </x:c>
      <x:c r="F672" s="35" t="n">
        <x:v>9</x:v>
      </x:c>
    </x:row>
    <x:row r="673" ht="42" customHeight="1">
      <x:c r="A673" s="12" t="str">
        <x:v>https://kozhaclinic.ru/inekcionnaya-kosmetologiya/konturnaya-plastika/uvlazhnenie-gub/</x:v>
      </x:c>
      <x:c r="B673" s="12" t="str">
        <x:v>процедуры для увлажнения губ</x:v>
      </x:c>
      <x:c r="C673" s="30" t="n">
        <x:v>0</x:v>
      </x:c>
      <x:c r="D673" s="30" t="n">
        <x:v>1</x:v>
      </x:c>
      <x:c r="E673" s="32" t="n">
        <x:f>IF(D673&gt;0,C673/D673,"")</x:f>
        <x:v>0</x:v>
      </x:c>
      <x:c r="F673" s="34" t="n">
        <x:v>9</x:v>
      </x:c>
    </x:row>
    <x:row r="674" ht="42" customHeight="1">
      <x:c r="A674" s="14" t="str">
        <x:v>https://kozhaclinic.ru/inekcionnaya-kosmetologiya/konturnaya-plastika/uvlazhnenie-gub/</x:v>
      </x:c>
      <x:c r="B674" s="14" t="str">
        <x:v>биоревитализация губ без увеличения</x:v>
      </x:c>
      <x:c r="C674" s="31" t="n">
        <x:v>0</x:v>
      </x:c>
      <x:c r="D674" s="31" t="n">
        <x:v>1</x:v>
      </x:c>
      <x:c r="E674" s="33" t="n">
        <x:f>IF(D674&gt;0,C674/D674,"")</x:f>
        <x:v>0</x:v>
      </x:c>
      <x:c r="F674" s="35" t="n">
        <x:v>10</x:v>
      </x:c>
    </x:row>
    <x:row r="675" ht="42" customHeight="1">
      <x:c r="A675" s="12" t="str">
        <x:v>https://kozhaclinic.ru/inekcionnaya-kosmetologiya/konturnaya-plastika/uvlazhnenie-gub/</x:v>
      </x:c>
      <x:c r="B675" s="12" t="str">
        <x:v>lip hydration</x:v>
      </x:c>
      <x:c r="C675" s="30" t="n">
        <x:v>0</x:v>
      </x:c>
      <x:c r="D675" s="30" t="n">
        <x:v>1</x:v>
      </x:c>
      <x:c r="E675" s="32" t="n">
        <x:f>IF(D675&gt;0,C675/D675,"")</x:f>
        <x:v>0</x:v>
      </x:c>
      <x:c r="F675" s="34" t="n">
        <x:v>11</x:v>
      </x:c>
    </x:row>
    <x:row r="676" ht="42" customHeight="1">
      <x:c r="A676" s="14" t="str">
        <x:v>https://kozhaclinic.ru/inekcionnaya-kosmetologiya/konturnaya-plastika/uvlazhnenie-gub/</x:v>
      </x:c>
      <x:c r="B676" s="14" t="str">
        <x:v>контурная пластика губ сургут</x:v>
      </x:c>
      <x:c r="C676" s="31" t="n">
        <x:v>0</x:v>
      </x:c>
      <x:c r="D676" s="31" t="n">
        <x:v>1</x:v>
      </x:c>
      <x:c r="E676" s="33" t="n">
        <x:f>IF(D676&gt;0,C676/D676,"")</x:f>
        <x:v>0</x:v>
      </x:c>
      <x:c r="F676" s="35" t="n">
        <x:v>20</x:v>
      </x:c>
    </x:row>
    <x:row r="677" ht="42" customHeight="1">
      <x:c r="A677" s="12" t="str">
        <x:v>https://kozhaclinic.ru/inekcionnaya-kosmetologiya/konturnaya-plastika/uvlazhnenie-gub/</x:v>
      </x:c>
      <x:c r="B677" s="12" t="str">
        <x:v>увлажнение губ средства</x:v>
      </x:c>
      <x:c r="C677" s="30" t="n">
        <x:v>0</x:v>
      </x:c>
      <x:c r="D677" s="30" t="n">
        <x:v>1</x:v>
      </x:c>
      <x:c r="E677" s="32" t="n">
        <x:f>IF(D677&gt;0,C677/D677,"")</x:f>
        <x:v>0</x:v>
      </x:c>
      <x:c r="F677" s="34" t="n">
        <x:v>22</x:v>
      </x:c>
    </x:row>
    <x:row r="678" ht="42" customHeight="1">
      <x:c r="A678" s="14" t="str">
        <x:v>https://kozhaclinic.ru/inekcionnaya-kosmetologiya/konturnaya-plastika/uvlazhnenie-gub/</x:v>
      </x:c>
      <x:c r="B678" s="14" t="str">
        <x:v>наполнение губ гиалуроновой кислотой</x:v>
      </x:c>
      <x:c r="C678" s="31" t="n">
        <x:v>0</x:v>
      </x:c>
      <x:c r="D678" s="31" t="n">
        <x:v>1</x:v>
      </x:c>
      <x:c r="E678" s="33" t="n">
        <x:f>IF(D678&gt;0,C678/D678,"")</x:f>
        <x:v>0</x:v>
      </x:c>
      <x:c r="F678" s="35" t="n">
        <x:v>29</x:v>
      </x:c>
    </x:row>
    <x:row r="679" ht="42" customHeight="1">
      <x:c r="A679" s="12" t="str">
        <x:v>https://kozhaclinic.ru/inekcionnaya-kosmetologiya/konturnaya-plastika/uvlazhnenie-gub/</x:v>
      </x:c>
      <x:c r="B679" s="12" t="str">
        <x:v>масло для лица увлажнение</x:v>
      </x:c>
      <x:c r="C679" s="30" t="n">
        <x:v>0</x:v>
      </x:c>
      <x:c r="D679" s="30" t="n">
        <x:v>1</x:v>
      </x:c>
      <x:c r="E679" s="32" t="n">
        <x:f>IF(D679&gt;0,C679/D679,"")</x:f>
        <x:v>0</x:v>
      </x:c>
      <x:c r="F679" s="34" t="n">
        <x:v>56</x:v>
      </x:c>
    </x:row>
    <x:row r="680" ht="42" customHeight="1">
      <x:c r="A680" s="14" t="str">
        <x:v>https://kozhaclinic.ru/inekcionnaya-kosmetologiya/konturnaya-plastika/uvlazhnenie-gub/</x:v>
      </x:c>
      <x:c r="B680" s="14" t="str">
        <x:v>гель для душа увлажнение</x:v>
      </x:c>
      <x:c r="C680" s="31" t="n">
        <x:v>0</x:v>
      </x:c>
      <x:c r="D680" s="31" t="n">
        <x:v>1</x:v>
      </x:c>
      <x:c r="E680" s="33" t="n">
        <x:f>IF(D680&gt;0,C680/D680,"")</x:f>
        <x:v>0</x:v>
      </x:c>
      <x:c r="F680" s="35" t="n">
        <x:v>57</x:v>
      </x:c>
    </x:row>
    <x:row r="681" ht="42" customHeight="1">
      <x:c r="A681" s="12" t="str">
        <x:v>https://kozhaclinic.ru/apparatnaya-kosmetologiya/mikrotokovaya-terapiya/</x:v>
      </x:c>
      <x:c r="B681" s="12" t="str">
        <x:v>микротоки лимфодренаж</x:v>
      </x:c>
      <x:c r="C681" s="30" t="n">
        <x:v>0</x:v>
      </x:c>
      <x:c r="D681" s="30" t="n">
        <x:v>5</x:v>
      </x:c>
      <x:c r="E681" s="32" t="n">
        <x:f>IF(D681&gt;0,C681/D681,"")</x:f>
        <x:v>0</x:v>
      </x:c>
      <x:c r="F681" s="34" t="n">
        <x:v>60.8</x:v>
      </x:c>
    </x:row>
    <x:row r="682" ht="42" customHeight="1">
      <x:c r="A682" s="14" t="str">
        <x:v>https://kozhaclinic.ru/apparatnaya-kosmetologiya/mikrotokovaya-terapiya/</x:v>
      </x:c>
      <x:c r="B682" s="14" t="str">
        <x:v>микротоковая терапия клиника</x:v>
      </x:c>
      <x:c r="C682" s="31" t="n">
        <x:v>0</x:v>
      </x:c>
      <x:c r="D682" s="31" t="n">
        <x:v>1</x:v>
      </x:c>
      <x:c r="E682" s="33" t="n">
        <x:f>IF(D682&gt;0,C682/D682,"")</x:f>
        <x:v>0</x:v>
      </x:c>
      <x:c r="F682" s="35" t="n">
        <x:v>30</x:v>
      </x:c>
    </x:row>
    <x:row r="683" ht="42" customHeight="1">
      <x:c r="A683" s="12" t="str">
        <x:v>https://kozhaclinic.ru/migratsiya-gelya-iz-gub/</x:v>
      </x:c>
      <x:c r="B683" s="12" t="str">
        <x:v>миграция геля в губах</x:v>
      </x:c>
      <x:c r="C683" s="30" t="n">
        <x:v>0</x:v>
      </x:c>
      <x:c r="D683" s="30" t="n">
        <x:v>161</x:v>
      </x:c>
      <x:c r="E683" s="32" t="n">
        <x:f>IF(D683&gt;0,C683/D683,"")</x:f>
        <x:v>0</x:v>
      </x:c>
      <x:c r="F683" s="34" t="n">
        <x:v>7.37</x:v>
      </x:c>
    </x:row>
    <x:row r="684" ht="42" customHeight="1">
      <x:c r="A684" s="14" t="str">
        <x:v>https://kozhaclinic.ru/migratsiya-gelya-iz-gub/</x:v>
      </x:c>
      <x:c r="B684" s="14" t="str">
        <x:v>миграция филлера в губах</x:v>
      </x:c>
      <x:c r="C684" s="31" t="n">
        <x:v>0</x:v>
      </x:c>
      <x:c r="D684" s="31" t="n">
        <x:v>127</x:v>
      </x:c>
      <x:c r="E684" s="33" t="n">
        <x:f>IF(D684&gt;0,C684/D684,"")</x:f>
        <x:v>0</x:v>
      </x:c>
      <x:c r="F684" s="35" t="n">
        <x:v>9.88</x:v>
      </x:c>
    </x:row>
    <x:row r="685" ht="42" customHeight="1">
      <x:c r="A685" s="12" t="str">
        <x:v>https://kozhaclinic.ru/migratsiya-gelya-iz-gub/</x:v>
      </x:c>
      <x:c r="B685" s="12" t="str">
        <x:v>миграция губ</x:v>
      </x:c>
      <x:c r="C685" s="30" t="n">
        <x:v>0</x:v>
      </x:c>
      <x:c r="D685" s="30" t="n">
        <x:v>60</x:v>
      </x:c>
      <x:c r="E685" s="32" t="n">
        <x:f>IF(D685&gt;0,C685/D685,"")</x:f>
        <x:v>0</x:v>
      </x:c>
      <x:c r="F685" s="34" t="n">
        <x:v>9.05</x:v>
      </x:c>
    </x:row>
    <x:row r="686" ht="42" customHeight="1">
      <x:c r="A686" s="14" t="str">
        <x:v>https://kozhaclinic.ru/migratsiya-gelya-iz-gub/</x:v>
      </x:c>
      <x:c r="B686" s="14" t="str">
        <x:v>миграция в слизистую губ</x:v>
      </x:c>
      <x:c r="C686" s="31" t="n">
        <x:v>0</x:v>
      </x:c>
      <x:c r="D686" s="31" t="n">
        <x:v>26</x:v>
      </x:c>
      <x:c r="E686" s="33" t="n">
        <x:f>IF(D686&gt;0,C686/D686,"")</x:f>
        <x:v>0</x:v>
      </x:c>
      <x:c r="F686" s="35" t="n">
        <x:v>8.54</x:v>
      </x:c>
    </x:row>
    <x:row r="687" ht="42" customHeight="1">
      <x:c r="A687" s="12" t="str">
        <x:v>https://kozhaclinic.ru/migratsiya-gelya-iz-gub/</x:v>
      </x:c>
      <x:c r="B687" s="12" t="str">
        <x:v>миграция геля в слизистую губ</x:v>
      </x:c>
      <x:c r="C687" s="30" t="n">
        <x:v>0</x:v>
      </x:c>
      <x:c r="D687" s="30" t="n">
        <x:v>25</x:v>
      </x:c>
      <x:c r="E687" s="32" t="n">
        <x:f>IF(D687&gt;0,C687/D687,"")</x:f>
        <x:v>0</x:v>
      </x:c>
      <x:c r="F687" s="34" t="n">
        <x:v>7.44</x:v>
      </x:c>
    </x:row>
    <x:row r="688" ht="42" customHeight="1">
      <x:c r="A688" s="14" t="str">
        <x:v>https://kozhaclinic.ru/migratsiya-gelya-iz-gub/</x:v>
      </x:c>
      <x:c r="B688" s="14" t="str">
        <x:v>филлер в слизистой губ</x:v>
      </x:c>
      <x:c r="C688" s="31" t="n">
        <x:v>0</x:v>
      </x:c>
      <x:c r="D688" s="31" t="n">
        <x:v>22</x:v>
      </x:c>
      <x:c r="E688" s="33" t="n">
        <x:f>IF(D688&gt;0,C688/D688,"")</x:f>
        <x:v>0</x:v>
      </x:c>
      <x:c r="F688" s="35" t="n">
        <x:v>7.82</x:v>
      </x:c>
    </x:row>
    <x:row r="689" ht="42" customHeight="1">
      <x:c r="A689" s="12" t="str">
        <x:v>https://kozhaclinic.ru/migratsiya-gelya-iz-gub/</x:v>
      </x:c>
      <x:c r="B689" s="12" t="str">
        <x:v>как мигрирует гель в губах</x:v>
      </x:c>
      <x:c r="C689" s="30" t="n">
        <x:v>0</x:v>
      </x:c>
      <x:c r="D689" s="30" t="n">
        <x:v>21</x:v>
      </x:c>
      <x:c r="E689" s="32" t="n">
        <x:f>IF(D689&gt;0,C689/D689,"")</x:f>
        <x:v>0</x:v>
      </x:c>
      <x:c r="F689" s="34" t="n">
        <x:v>8.67</x:v>
      </x:c>
    </x:row>
    <x:row r="690" ht="42" customHeight="1">
      <x:c r="A690" s="14" t="str">
        <x:v>https://kozhaclinic.ru/migratsiya-gelya-iz-gub/</x:v>
      </x:c>
      <x:c r="B690" s="14" t="str">
        <x:v>миграция геля над губой</x:v>
      </x:c>
      <x:c r="C690" s="31" t="n">
        <x:v>0</x:v>
      </x:c>
      <x:c r="D690" s="31" t="n">
        <x:v>17</x:v>
      </x:c>
      <x:c r="E690" s="33" t="n">
        <x:f>IF(D690&gt;0,C690/D690,"")</x:f>
        <x:v>0</x:v>
      </x:c>
      <x:c r="F690" s="35" t="n">
        <x:v>6.71</x:v>
      </x:c>
    </x:row>
    <x:row r="691" ht="42" customHeight="1">
      <x:c r="A691" s="12" t="str">
        <x:v>https://kozhaclinic.ru/migratsiya-gelya-iz-gub/</x:v>
      </x:c>
      <x:c r="B691" s="12" t="str">
        <x:v>миграция геля</x:v>
      </x:c>
      <x:c r="C691" s="30" t="n">
        <x:v>0</x:v>
      </x:c>
      <x:c r="D691" s="30" t="n">
        <x:v>14</x:v>
      </x:c>
      <x:c r="E691" s="32" t="n">
        <x:f>IF(D691&gt;0,C691/D691,"")</x:f>
        <x:v>0</x:v>
      </x:c>
      <x:c r="F691" s="34" t="n">
        <x:v>6.64</x:v>
      </x:c>
    </x:row>
    <x:row r="692" ht="42" customHeight="1">
      <x:c r="A692" s="14" t="str">
        <x:v>https://kozhaclinic.ru/migratsiya-gelya-iz-gub/</x:v>
      </x:c>
      <x:c r="B692" s="14" t="str">
        <x:v>мигрирование губ</x:v>
      </x:c>
      <x:c r="C692" s="31" t="n">
        <x:v>0</x:v>
      </x:c>
      <x:c r="D692" s="31" t="n">
        <x:v>14</x:v>
      </x:c>
      <x:c r="E692" s="33" t="n">
        <x:f>IF(D692&gt;0,C692/D692,"")</x:f>
        <x:v>0</x:v>
      </x:c>
      <x:c r="F692" s="35" t="n">
        <x:v>8</x:v>
      </x:c>
    </x:row>
    <x:row r="693" ht="42" customHeight="1">
      <x:c r="A693" s="12" t="str">
        <x:v>https://kozhaclinic.ru/migratsiya-gelya-iz-gub/</x:v>
      </x:c>
      <x:c r="B693" s="12" t="str">
        <x:v>миграция губ это</x:v>
      </x:c>
      <x:c r="C693" s="30" t="n">
        <x:v>0</x:v>
      </x:c>
      <x:c r="D693" s="30" t="n">
        <x:v>12</x:v>
      </x:c>
      <x:c r="E693" s="32" t="n">
        <x:f>IF(D693&gt;0,C693/D693,"")</x:f>
        <x:v>0</x:v>
      </x:c>
      <x:c r="F693" s="34" t="n">
        <x:v>7.5</x:v>
      </x:c>
    </x:row>
    <x:row r="694" ht="42" customHeight="1">
      <x:c r="A694" s="14" t="str">
        <x:v>https://kozhaclinic.ru/migratsiya-gelya-iz-gub/</x:v>
      </x:c>
      <x:c r="B694" s="14" t="str">
        <x:v>миграция на губах</x:v>
      </x:c>
      <x:c r="C694" s="31" t="n">
        <x:v>0</x:v>
      </x:c>
      <x:c r="D694" s="31" t="n">
        <x:v>11</x:v>
      </x:c>
      <x:c r="E694" s="33" t="n">
        <x:f>IF(D694&gt;0,C694/D694,"")</x:f>
        <x:v>0</x:v>
      </x:c>
      <x:c r="F694" s="35" t="n">
        <x:v>7.82</x:v>
      </x:c>
    </x:row>
    <x:row r="695" ht="42" customHeight="1">
      <x:c r="A695" s="12" t="str">
        <x:v>https://kozhaclinic.ru/migratsiya-gelya-iz-gub/</x:v>
      </x:c>
      <x:c r="B695" s="12" t="str">
        <x:v>миграция геля в слизистую</x:v>
      </x:c>
      <x:c r="C695" s="30" t="n">
        <x:v>0</x:v>
      </x:c>
      <x:c r="D695" s="30" t="n">
        <x:v>11</x:v>
      </x:c>
      <x:c r="E695" s="32" t="n">
        <x:f>IF(D695&gt;0,C695/D695,"")</x:f>
        <x:v>0</x:v>
      </x:c>
      <x:c r="F695" s="34" t="n">
        <x:v>8</x:v>
      </x:c>
    </x:row>
    <x:row r="696" ht="42" customHeight="1">
      <x:c r="A696" s="14" t="str">
        <x:v>https://kozhaclinic.ru/migratsiya-gelya-iz-gub/</x:v>
      </x:c>
      <x:c r="B696" s="14" t="str">
        <x:v>как мигрирует филлер в губах</x:v>
      </x:c>
      <x:c r="C696" s="31" t="n">
        <x:v>0</x:v>
      </x:c>
      <x:c r="D696" s="31" t="n">
        <x:v>10</x:v>
      </x:c>
      <x:c r="E696" s="33" t="n">
        <x:f>IF(D696&gt;0,C696/D696,"")</x:f>
        <x:v>0</x:v>
      </x:c>
      <x:c r="F696" s="35" t="n">
        <x:v>10.4</x:v>
      </x:c>
    </x:row>
    <x:row r="697" ht="42" customHeight="1">
      <x:c r="A697" s="12" t="str">
        <x:v>https://kozhaclinic.ru/migratsiya-gelya-iz-gub/</x:v>
      </x:c>
      <x:c r="B697" s="12" t="str">
        <x:v>миграция филлера в слизистую губы</x:v>
      </x:c>
      <x:c r="C697" s="30" t="n">
        <x:v>0</x:v>
      </x:c>
      <x:c r="D697" s="30" t="n">
        <x:v>9</x:v>
      </x:c>
      <x:c r="E697" s="32" t="n">
        <x:f>IF(D697&gt;0,C697/D697,"")</x:f>
        <x:v>0</x:v>
      </x:c>
      <x:c r="F697" s="34" t="n">
        <x:v>9.67</x:v>
      </x:c>
    </x:row>
    <x:row r="698" ht="42" customHeight="1">
      <x:c r="A698" s="14" t="str">
        <x:v>https://kozhaclinic.ru/migratsiya-gelya-iz-gub/</x:v>
      </x:c>
      <x:c r="B698" s="14" t="str">
        <x:v>миграция после увеличения губ</x:v>
      </x:c>
      <x:c r="C698" s="31" t="n">
        <x:v>0</x:v>
      </x:c>
      <x:c r="D698" s="31" t="n">
        <x:v>8</x:v>
      </x:c>
      <x:c r="E698" s="33" t="n">
        <x:f>IF(D698&gt;0,C698/D698,"")</x:f>
        <x:v>0</x:v>
      </x:c>
      <x:c r="F698" s="35" t="n">
        <x:v>8.12</x:v>
      </x:c>
    </x:row>
    <x:row r="699" ht="42" customHeight="1">
      <x:c r="A699" s="12" t="str">
        <x:v>https://kozhaclinic.ru/migratsiya-gelya-iz-gub/</x:v>
      </x:c>
      <x:c r="B699" s="12" t="str">
        <x:v>мигрировал гель в губах</x:v>
      </x:c>
      <x:c r="C699" s="30" t="n">
        <x:v>0</x:v>
      </x:c>
      <x:c r="D699" s="30" t="n">
        <x:v>8</x:v>
      </x:c>
      <x:c r="E699" s="32" t="n">
        <x:f>IF(D699&gt;0,C699/D699,"")</x:f>
        <x:v>0</x:v>
      </x:c>
      <x:c r="F699" s="34" t="n">
        <x:v>8.12</x:v>
      </x:c>
    </x:row>
    <x:row r="700" ht="42" customHeight="1">
      <x:c r="A700" s="14" t="str">
        <x:v>https://kozhaclinic.ru/migratsiya-gelya-iz-gub/</x:v>
      </x:c>
      <x:c r="B700" s="14" t="str">
        <x:v>мигрирует ли филлер из губ</x:v>
      </x:c>
      <x:c r="C700" s="31" t="n">
        <x:v>0</x:v>
      </x:c>
      <x:c r="D700" s="31" t="n">
        <x:v>8</x:v>
      </x:c>
      <x:c r="E700" s="33" t="n">
        <x:f>IF(D700&gt;0,C700/D700,"")</x:f>
        <x:v>0</x:v>
      </x:c>
      <x:c r="F700" s="35" t="n">
        <x:v>9.88</x:v>
      </x:c>
    </x:row>
    <x:row r="701" ht="42" customHeight="1">
      <x:c r="A701" s="12" t="str">
        <x:v>https://kozhaclinic.ru/migratsiya-gelya-iz-gub/</x:v>
      </x:c>
      <x:c r="B701" s="12" t="str">
        <x:v>миграция филлера в нижней губе</x:v>
      </x:c>
      <x:c r="C701" s="30" t="n">
        <x:v>0</x:v>
      </x:c>
      <x:c r="D701" s="30" t="n">
        <x:v>6</x:v>
      </x:c>
      <x:c r="E701" s="32" t="n">
        <x:f>IF(D701&gt;0,C701/D701,"")</x:f>
        <x:v>0</x:v>
      </x:c>
      <x:c r="F701" s="34" t="n">
        <x:v>8.5</x:v>
      </x:c>
    </x:row>
    <x:row r="702" ht="42" customHeight="1">
      <x:c r="A702" s="14" t="str">
        <x:v>https://kozhaclinic.ru/migratsiya-gelya-iz-gub/</x:v>
      </x:c>
      <x:c r="B702" s="14" t="str">
        <x:v>миграция гиалуронки в губах</x:v>
      </x:c>
      <x:c r="C702" s="31" t="n">
        <x:v>0</x:v>
      </x:c>
      <x:c r="D702" s="31" t="n">
        <x:v>6</x:v>
      </x:c>
      <x:c r="E702" s="33" t="n">
        <x:f>IF(D702&gt;0,C702/D702,"")</x:f>
        <x:v>0</x:v>
      </x:c>
      <x:c r="F702" s="35" t="n">
        <x:v>9.17</x:v>
      </x:c>
    </x:row>
    <x:row r="703" ht="42" customHeight="1">
      <x:c r="A703" s="12" t="str">
        <x:v>https://kozhaclinic.ru/migratsiya-gelya-iz-gub/</x:v>
      </x:c>
      <x:c r="B703" s="12" t="str">
        <x:v>миграция гиалуроновой кислоты</x:v>
      </x:c>
      <x:c r="C703" s="30" t="n">
        <x:v>0</x:v>
      </x:c>
      <x:c r="D703" s="30" t="n">
        <x:v>6</x:v>
      </x:c>
      <x:c r="E703" s="32" t="n">
        <x:f>IF(D703&gt;0,C703/D703,"")</x:f>
        <x:v>0</x:v>
      </x:c>
      <x:c r="F703" s="34" t="n">
        <x:v>9.5</x:v>
      </x:c>
    </x:row>
    <x:row r="704" ht="42" customHeight="1">
      <x:c r="A704" s="14" t="str">
        <x:v>https://kozhaclinic.ru/migratsiya-gelya-iz-gub/</x:v>
      </x:c>
      <x:c r="B704" s="14" t="str">
        <x:v>гель в губах мигрировал</x:v>
      </x:c>
      <x:c r="C704" s="31" t="n">
        <x:v>0</x:v>
      </x:c>
      <x:c r="D704" s="31" t="n">
        <x:v>5</x:v>
      </x:c>
      <x:c r="E704" s="33" t="n">
        <x:f>IF(D704&gt;0,C704/D704,"")</x:f>
        <x:v>0</x:v>
      </x:c>
      <x:c r="F704" s="35" t="n">
        <x:v>9.6</x:v>
      </x:c>
    </x:row>
    <x:row r="705" ht="42" customHeight="1">
      <x:c r="A705" s="12" t="str">
        <x:v>https://kozhaclinic.ru/migratsiya-gelya-iz-gub/</x:v>
      </x:c>
      <x:c r="B705" s="12" t="str">
        <x:v>через сколько может мигрировать филлер в губах</x:v>
      </x:c>
      <x:c r="C705" s="30" t="n">
        <x:v>0</x:v>
      </x:c>
      <x:c r="D705" s="30" t="n">
        <x:v>5</x:v>
      </x:c>
      <x:c r="E705" s="32" t="n">
        <x:f>IF(D705&gt;0,C705/D705,"")</x:f>
        <x:v>0</x:v>
      </x:c>
      <x:c r="F705" s="34" t="n">
        <x:v>10.6</x:v>
      </x:c>
    </x:row>
    <x:row r="706" ht="42" customHeight="1">
      <x:c r="A706" s="14" t="str">
        <x:v>https://kozhaclinic.ru/migratsiya-gelya-iz-gub/</x:v>
      </x:c>
      <x:c r="B706" s="14" t="str">
        <x:v>выведение филлера из губ сургут</x:v>
      </x:c>
      <x:c r="C706" s="31" t="n">
        <x:v>0</x:v>
      </x:c>
      <x:c r="D706" s="31" t="n">
        <x:v>4</x:v>
      </x:c>
      <x:c r="E706" s="33" t="n">
        <x:f>IF(D706&gt;0,C706/D706,"")</x:f>
        <x:v>0</x:v>
      </x:c>
      <x:c r="F706" s="35" t="n">
        <x:v>6.75</x:v>
      </x:c>
    </x:row>
    <x:row r="707" ht="42" customHeight="1">
      <x:c r="A707" s="12" t="str">
        <x:v>https://kozhaclinic.ru/migratsiya-gelya-iz-gub/</x:v>
      </x:c>
      <x:c r="B707" s="12" t="str">
        <x:v>миграция филлера над губой</x:v>
      </x:c>
      <x:c r="C707" s="30" t="n">
        <x:v>0</x:v>
      </x:c>
      <x:c r="D707" s="30" t="n">
        <x:v>4</x:v>
      </x:c>
      <x:c r="E707" s="32" t="n">
        <x:f>IF(D707&gt;0,C707/D707,"")</x:f>
        <x:v>0</x:v>
      </x:c>
      <x:c r="F707" s="34" t="n">
        <x:v>8.25</x:v>
      </x:c>
    </x:row>
    <x:row r="708" ht="42" customHeight="1">
      <x:c r="A708" s="14" t="str">
        <x:v>https://kozhaclinic.ru/migratsiya-gelya-iz-gub/</x:v>
      </x:c>
      <x:c r="B708" s="14" t="str">
        <x:v>мигрирует гель в губах</x:v>
      </x:c>
      <x:c r="C708" s="31" t="n">
        <x:v>0</x:v>
      </x:c>
      <x:c r="D708" s="31" t="n">
        <x:v>4</x:v>
      </x:c>
      <x:c r="E708" s="33" t="n">
        <x:f>IF(D708&gt;0,C708/D708,"")</x:f>
        <x:v>0</x:v>
      </x:c>
      <x:c r="F708" s="35" t="n">
        <x:v>9.5</x:v>
      </x:c>
    </x:row>
    <x:row r="709" ht="42" customHeight="1">
      <x:c r="A709" s="12" t="str">
        <x:v>https://kozhaclinic.ru/migratsiya-gelya-iz-gub/</x:v>
      </x:c>
      <x:c r="B709" s="12" t="str">
        <x:v>куда может мигрировать филлер из губ</x:v>
      </x:c>
      <x:c r="C709" s="30" t="n">
        <x:v>0</x:v>
      </x:c>
      <x:c r="D709" s="30" t="n">
        <x:v>4</x:v>
      </x:c>
      <x:c r="E709" s="32" t="n">
        <x:f>IF(D709&gt;0,C709/D709,"")</x:f>
        <x:v>0</x:v>
      </x:c>
      <x:c r="F709" s="34" t="n">
        <x:v>17.5</x:v>
      </x:c>
    </x:row>
    <x:row r="710" ht="42" customHeight="1">
      <x:c r="A710" s="14" t="str">
        <x:v>https://kozhaclinic.ru/migratsiya-gelya-iz-gub/</x:v>
      </x:c>
      <x:c r="B710" s="14" t="str">
        <x:v>мигрирование филлера в губах</x:v>
      </x:c>
      <x:c r="C710" s="31" t="n">
        <x:v>0</x:v>
      </x:c>
      <x:c r="D710" s="31" t="n">
        <x:v>3</x:v>
      </x:c>
      <x:c r="E710" s="33" t="n">
        <x:f>IF(D710&gt;0,C710/D710,"")</x:f>
        <x:v>0</x:v>
      </x:c>
      <x:c r="F710" s="35" t="n">
        <x:v>8</x:v>
      </x:c>
    </x:row>
    <x:row r="711" ht="42" customHeight="1">
      <x:c r="A711" s="12" t="str">
        <x:v>https://kozhaclinic.ru/migratsiya-gelya-iz-gub/</x:v>
      </x:c>
      <x:c r="B711" s="12" t="str">
        <x:v>удаление филлера из губ сургут</x:v>
      </x:c>
      <x:c r="C711" s="30" t="n">
        <x:v>0</x:v>
      </x:c>
      <x:c r="D711" s="30" t="n">
        <x:v>3</x:v>
      </x:c>
      <x:c r="E711" s="32" t="n">
        <x:f>IF(D711&gt;0,C711/D711,"")</x:f>
        <x:v>0</x:v>
      </x:c>
      <x:c r="F711" s="34" t="n">
        <x:v>9</x:v>
      </x:c>
    </x:row>
    <x:row r="712" ht="42" customHeight="1">
      <x:c r="A712" s="14" t="str">
        <x:v>https://kozhaclinic.ru/migratsiya-gelya-iz-gub/</x:v>
      </x:c>
      <x:c r="B712" s="14" t="str">
        <x:v>почему филлер мигрирует за контур губ</x:v>
      </x:c>
      <x:c r="C712" s="31" t="n">
        <x:v>0</x:v>
      </x:c>
      <x:c r="D712" s="31" t="n">
        <x:v>3</x:v>
      </x:c>
      <x:c r="E712" s="33" t="n">
        <x:f>IF(D712&gt;0,C712/D712,"")</x:f>
        <x:v>0</x:v>
      </x:c>
      <x:c r="F712" s="35" t="n">
        <x:v>19.67</x:v>
      </x:c>
    </x:row>
    <x:row r="713" ht="42" customHeight="1">
      <x:c r="A713" s="12" t="str">
        <x:v>https://kozhaclinic.ru/migratsiya-gelya-iz-gub/</x:v>
      </x:c>
      <x:c r="B713" s="12" t="str">
        <x:v>почему мигрирует филлер в губах</x:v>
      </x:c>
      <x:c r="C713" s="30" t="n">
        <x:v>0</x:v>
      </x:c>
      <x:c r="D713" s="30" t="n">
        <x:v>3</x:v>
      </x:c>
      <x:c r="E713" s="32" t="n">
        <x:f>IF(D713&gt;0,C713/D713,"")</x:f>
        <x:v>0</x:v>
      </x:c>
      <x:c r="F713" s="34" t="n">
        <x:v>21</x:v>
      </x:c>
    </x:row>
    <x:row r="714" ht="42" customHeight="1">
      <x:c r="A714" s="14" t="str">
        <x:v>https://kozhaclinic.ru/migratsiya-gelya-iz-gub/</x:v>
      </x:c>
      <x:c r="B714" s="14" t="str">
        <x:v>мигрирует ли филлер в губах со временем</x:v>
      </x:c>
      <x:c r="C714" s="31" t="n">
        <x:v>0</x:v>
      </x:c>
      <x:c r="D714" s="31" t="n">
        <x:v>3</x:v>
      </x:c>
      <x:c r="E714" s="33" t="n">
        <x:f>IF(D714&gt;0,C714/D714,"")</x:f>
        <x:v>0</x:v>
      </x:c>
      <x:c r="F714" s="35" t="n">
        <x:v>24</x:v>
      </x:c>
    </x:row>
    <x:row r="715" ht="42" customHeight="1">
      <x:c r="A715" s="12" t="str">
        <x:v>https://kozhaclinic.ru/migratsiya-gelya-iz-gub/</x:v>
      </x:c>
      <x:c r="B715" s="12" t="str">
        <x:v>как выглядит миграция геля в губах</x:v>
      </x:c>
      <x:c r="C715" s="30" t="n">
        <x:v>0</x:v>
      </x:c>
      <x:c r="D715" s="30" t="n">
        <x:v>2</x:v>
      </x:c>
      <x:c r="E715" s="32" t="n">
        <x:f>IF(D715&gt;0,C715/D715,"")</x:f>
        <x:v>0</x:v>
      </x:c>
      <x:c r="F715" s="34" t="n">
        <x:v>4.5</x:v>
      </x:c>
    </x:row>
    <x:row r="716" ht="42" customHeight="1">
      <x:c r="A716" s="14" t="str">
        <x:v>https://kozhaclinic.ru/migratsiya-gelya-iz-gub/</x:v>
      </x:c>
      <x:c r="B716" s="14" t="str">
        <x:v>лубрикант для губ</x:v>
      </x:c>
      <x:c r="C716" s="31" t="n">
        <x:v>0</x:v>
      </x:c>
      <x:c r="D716" s="31" t="n">
        <x:v>2</x:v>
      </x:c>
      <x:c r="E716" s="33" t="n">
        <x:f>IF(D716&gt;0,C716/D716,"")</x:f>
        <x:v>0</x:v>
      </x:c>
      <x:c r="F716" s="35" t="n">
        <x:v>10.5</x:v>
      </x:c>
    </x:row>
    <x:row r="717" ht="42" customHeight="1">
      <x:c r="A717" s="12" t="str">
        <x:v>https://kozhaclinic.ru/migratsiya-gelya-iz-gub/</x:v>
      </x:c>
      <x:c r="B717" s="12" t="str">
        <x:v>удаление филлера сургут</x:v>
      </x:c>
      <x:c r="C717" s="30" t="n">
        <x:v>0</x:v>
      </x:c>
      <x:c r="D717" s="30" t="n">
        <x:v>2</x:v>
      </x:c>
      <x:c r="E717" s="32" t="n">
        <x:f>IF(D717&gt;0,C717/D717,"")</x:f>
        <x:v>0</x:v>
      </x:c>
      <x:c r="F717" s="34" t="n">
        <x:v>10.5</x:v>
      </x:c>
    </x:row>
    <x:row r="718" ht="42" customHeight="1">
      <x:c r="A718" s="14" t="str">
        <x:v>https://kozhaclinic.ru/migratsiya-gelya-iz-gub/</x:v>
      </x:c>
      <x:c r="B718" s="14" t="str">
        <x:v>филлер в слизистой</x:v>
      </x:c>
      <x:c r="C718" s="31" t="n">
        <x:v>0</x:v>
      </x:c>
      <x:c r="D718" s="31" t="n">
        <x:v>2</x:v>
      </x:c>
      <x:c r="E718" s="33" t="n">
        <x:f>IF(D718&gt;0,C718/D718,"")</x:f>
        <x:v>0</x:v>
      </x:c>
      <x:c r="F718" s="35" t="n">
        <x:v>11</x:v>
      </x:c>
    </x:row>
    <x:row r="719" ht="42" customHeight="1">
      <x:c r="A719" s="12" t="str">
        <x:v>https://kozhaclinic.ru/migratsiya-gelya-iz-gub/</x:v>
      </x:c>
      <x:c r="B719" s="12" t="str">
        <x:v>над губой</x:v>
      </x:c>
      <x:c r="C719" s="30" t="n">
        <x:v>0</x:v>
      </x:c>
      <x:c r="D719" s="30" t="n">
        <x:v>1</x:v>
      </x:c>
      <x:c r="E719" s="32" t="n">
        <x:f>IF(D719&gt;0,C719/D719,"")</x:f>
        <x:v>0</x:v>
      </x:c>
      <x:c r="F719" s="34" t="n">
        <x:v>1</x:v>
      </x:c>
    </x:row>
    <x:row r="720" ht="42" customHeight="1">
      <x:c r="A720" s="14" t="str">
        <x:v>https://kozhaclinic.ru/migratsiya-gelya-iz-gub/</x:v>
      </x:c>
      <x:c r="B720" s="14" t="str">
        <x:v>2 месяца</x:v>
      </x:c>
      <x:c r="C720" s="31" t="n">
        <x:v>0</x:v>
      </x:c>
      <x:c r="D720" s="31" t="n">
        <x:v>1</x:v>
      </x:c>
      <x:c r="E720" s="33" t="n">
        <x:f>IF(D720&gt;0,C720/D720,"")</x:f>
        <x:v>0</x:v>
      </x:c>
      <x:c r="F720" s="35" t="n">
        <x:v>2</x:v>
      </x:c>
    </x:row>
    <x:row r="721" ht="42" customHeight="1">
      <x:c r="A721" s="12" t="str">
        <x:v>https://kozhaclinic.ru/migratsiya-gelya-iz-gub/</x:v>
      </x:c>
      <x:c r="B721" s="12" t="str">
        <x:v>как понять что гель мигрировал в губах</x:v>
      </x:c>
      <x:c r="C721" s="30" t="n">
        <x:v>0</x:v>
      </x:c>
      <x:c r="D721" s="30" t="n">
        <x:v>1</x:v>
      </x:c>
      <x:c r="E721" s="32" t="n">
        <x:f>IF(D721&gt;0,C721/D721,"")</x:f>
        <x:v>0</x:v>
      </x:c>
      <x:c r="F721" s="34" t="n">
        <x:v>7</x:v>
      </x:c>
    </x:row>
    <x:row r="722" ht="42" customHeight="1">
      <x:c r="A722" s="14" t="str">
        <x:v>https://kozhaclinic.ru/migratsiya-gelya-iz-gub/</x:v>
      </x:c>
      <x:c r="B722" s="14" t="str">
        <x:v>губы мигрируют</x:v>
      </x:c>
      <x:c r="C722" s="31" t="n">
        <x:v>0</x:v>
      </x:c>
      <x:c r="D722" s="31" t="n">
        <x:v>1</x:v>
      </x:c>
      <x:c r="E722" s="33" t="n">
        <x:f>IF(D722&gt;0,C722/D722,"")</x:f>
        <x:v>0</x:v>
      </x:c>
      <x:c r="F722" s="35" t="n">
        <x:v>9</x:v>
      </x:c>
    </x:row>
    <x:row r="723" ht="42" customHeight="1">
      <x:c r="A723" s="12" t="str">
        <x:v>https://kozhaclinic.ru/migratsiya-gelya-iz-gub/</x:v>
      </x:c>
      <x:c r="B723" s="12" t="str">
        <x:v>миграция геля в губах в слизистую</x:v>
      </x:c>
      <x:c r="C723" s="30" t="n">
        <x:v>0</x:v>
      </x:c>
      <x:c r="D723" s="30" t="n">
        <x:v>1</x:v>
      </x:c>
      <x:c r="E723" s="32" t="n">
        <x:f>IF(D723&gt;0,C723/D723,"")</x:f>
        <x:v>0</x:v>
      </x:c>
      <x:c r="F723" s="34" t="n">
        <x:v>9</x:v>
      </x:c>
    </x:row>
    <x:row r="724" ht="42" customHeight="1">
      <x:c r="A724" s="14" t="str">
        <x:v>https://kozhaclinic.ru/migratsiya-gelya-iz-gub/</x:v>
      </x:c>
      <x:c r="B724" s="14" t="str">
        <x:v>гель в губы</x:v>
      </x:c>
      <x:c r="C724" s="31" t="n">
        <x:v>0</x:v>
      </x:c>
      <x:c r="D724" s="31" t="n">
        <x:v>1</x:v>
      </x:c>
      <x:c r="E724" s="33" t="n">
        <x:f>IF(D724&gt;0,C724/D724,"")</x:f>
        <x:v>0</x:v>
      </x:c>
      <x:c r="F724" s="35" t="n">
        <x:v>10</x:v>
      </x:c>
    </x:row>
    <x:row r="725" ht="42" customHeight="1">
      <x:c r="A725" s="12" t="str">
        <x:v>https://kozhaclinic.ru/migratsiya-gelya-iz-gub/</x:v>
      </x:c>
      <x:c r="B725" s="12" t="str">
        <x:v>миграция в губах</x:v>
      </x:c>
      <x:c r="C725" s="30" t="n">
        <x:v>0</x:v>
      </x:c>
      <x:c r="D725" s="30" t="n">
        <x:v>1</x:v>
      </x:c>
      <x:c r="E725" s="32" t="n">
        <x:f>IF(D725&gt;0,C725/D725,"")</x:f>
        <x:v>0</x:v>
      </x:c>
      <x:c r="F725" s="34" t="n">
        <x:v>10</x:v>
      </x:c>
    </x:row>
    <x:row r="726" ht="42" customHeight="1">
      <x:c r="A726" s="14" t="str">
        <x:v>https://kozhaclinic.ru/migratsiya-gelya-iz-gub/</x:v>
      </x:c>
      <x:c r="B726" s="14" t="str">
        <x:v>почему мигрирует гель в губах</x:v>
      </x:c>
      <x:c r="C726" s="31" t="n">
        <x:v>0</x:v>
      </x:c>
      <x:c r="D726" s="31" t="n">
        <x:v>1</x:v>
      </x:c>
      <x:c r="E726" s="33" t="n">
        <x:f>IF(D726&gt;0,C726/D726,"")</x:f>
        <x:v>0</x:v>
      </x:c>
      <x:c r="F726" s="35" t="n">
        <x:v>10</x:v>
      </x:c>
    </x:row>
    <x:row r="727" ht="42" customHeight="1">
      <x:c r="A727" s="12" t="str">
        <x:v>https://kozhaclinic.ru/migratsiya-gelya-iz-gub/</x:v>
      </x:c>
      <x:c r="B727" s="12" t="str">
        <x:v>как понять что гель мигрировал</x:v>
      </x:c>
      <x:c r="C727" s="30" t="n">
        <x:v>0</x:v>
      </x:c>
      <x:c r="D727" s="30" t="n">
        <x:v>1</x:v>
      </x:c>
      <x:c r="E727" s="32" t="n">
        <x:f>IF(D727&gt;0,C727/D727,"")</x:f>
        <x:v>0</x:v>
      </x:c>
      <x:c r="F727" s="34" t="n">
        <x:v>11</x:v>
      </x:c>
    </x:row>
    <x:row r="728" ht="42" customHeight="1">
      <x:c r="A728" s="14" t="str">
        <x:v>https://kozhaclinic.ru/migratsiya-gelya-iz-gub/</x:v>
      </x:c>
      <x:c r="B728" s="14" t="str">
        <x:v>куда мигрирует филлер с губ</x:v>
      </x:c>
      <x:c r="C728" s="31" t="n">
        <x:v>0</x:v>
      </x:c>
      <x:c r="D728" s="31" t="n">
        <x:v>1</x:v>
      </x:c>
      <x:c r="E728" s="33" t="n">
        <x:f>IF(D728&gt;0,C728/D728,"")</x:f>
        <x:v>0</x:v>
      </x:c>
      <x:c r="F728" s="35" t="n">
        <x:v>11</x:v>
      </x:c>
    </x:row>
    <x:row r="729" ht="42" customHeight="1">
      <x:c r="A729" s="12" t="str">
        <x:v>https://kozhaclinic.ru/migratsiya-gelya-iz-gub/</x:v>
      </x:c>
      <x:c r="B729" s="12" t="str">
        <x:v>миграция филлера в губах в слизистую</x:v>
      </x:c>
      <x:c r="C729" s="30" t="n">
        <x:v>0</x:v>
      </x:c>
      <x:c r="D729" s="30" t="n">
        <x:v>1</x:v>
      </x:c>
      <x:c r="E729" s="32" t="n">
        <x:f>IF(D729&gt;0,C729/D729,"")</x:f>
        <x:v>0</x:v>
      </x:c>
      <x:c r="F729" s="34" t="n">
        <x:v>11</x:v>
      </x:c>
    </x:row>
    <x:row r="730" ht="42" customHeight="1">
      <x:c r="A730" s="14" t="str">
        <x:v>https://kozhaclinic.ru/migratsiya-gelya-iz-gub/</x:v>
      </x:c>
      <x:c r="B730" s="14" t="str">
        <x:v>миграция филлера в губах что делать</x:v>
      </x:c>
      <x:c r="C730" s="31" t="n">
        <x:v>0</x:v>
      </x:c>
      <x:c r="D730" s="31" t="n">
        <x:v>1</x:v>
      </x:c>
      <x:c r="E730" s="33" t="n">
        <x:f>IF(D730&gt;0,C730/D730,"")</x:f>
        <x:v>0</x:v>
      </x:c>
      <x:c r="F730" s="35" t="n">
        <x:v>14</x:v>
      </x:c>
    </x:row>
    <x:row r="731" ht="42" customHeight="1">
      <x:c r="A731" s="12" t="str">
        <x:v>https://kozhaclinic.ru/migratsiya-gelya-iz-gub/</x:v>
      </x:c>
      <x:c r="B731" s="12" t="str">
        <x:v>миграция геля в губах фото</x:v>
      </x:c>
      <x:c r="C731" s="30" t="n">
        <x:v>0</x:v>
      </x:c>
      <x:c r="D731" s="30" t="n">
        <x:v>1</x:v>
      </x:c>
      <x:c r="E731" s="32" t="n">
        <x:f>IF(D731&gt;0,C731/D731,"")</x:f>
        <x:v>0</x:v>
      </x:c>
      <x:c r="F731" s="34" t="n">
        <x:v>16</x:v>
      </x:c>
    </x:row>
    <x:row r="732" ht="42" customHeight="1">
      <x:c r="A732" s="14" t="str">
        <x:v>https://kozhaclinic.ru/migratsiya-gelya-iz-gub/</x:v>
      </x:c>
      <x:c r="B732" s="14" t="str">
        <x:v>гиалуронидаза в губы до и после</x:v>
      </x:c>
      <x:c r="C732" s="31" t="n">
        <x:v>0</x:v>
      </x:c>
      <x:c r="D732" s="31" t="n">
        <x:v>1</x:v>
      </x:c>
      <x:c r="E732" s="33" t="n">
        <x:f>IF(D732&gt;0,C732/D732,"")</x:f>
        <x:v>0</x:v>
      </x:c>
      <x:c r="F732" s="35" t="n">
        <x:v>20</x:v>
      </x:c>
    </x:row>
    <x:row r="733" ht="42" customHeight="1">
      <x:c r="A733" s="12" t="str">
        <x:v>https://kozhaclinic.ru/migratsiya-gelya-iz-gub/</x:v>
      </x:c>
      <x:c r="B733" s="12" t="str">
        <x:v>гель мигрировал в слизистую</x:v>
      </x:c>
      <x:c r="C733" s="30" t="n">
        <x:v>0</x:v>
      </x:c>
      <x:c r="D733" s="30" t="n">
        <x:v>1</x:v>
      </x:c>
      <x:c r="E733" s="32" t="n">
        <x:f>IF(D733&gt;0,C733/D733,"")</x:f>
        <x:v>0</x:v>
      </x:c>
      <x:c r="F733" s="34" t="n">
        <x:v>21</x:v>
      </x:c>
    </x:row>
    <x:row r="734" ht="42" customHeight="1">
      <x:c r="A734" s="14" t="str">
        <x:v>https://kozhaclinic.ru/migratsiya-gelya-iz-gub/</x:v>
      </x:c>
      <x:c r="B734" s="14" t="str">
        <x:v>почему филлер мигрирует в слизистую в губах</x:v>
      </x:c>
      <x:c r="C734" s="31" t="n">
        <x:v>0</x:v>
      </x:c>
      <x:c r="D734" s="31" t="n">
        <x:v>1</x:v>
      </x:c>
      <x:c r="E734" s="33" t="n">
        <x:f>IF(D734&gt;0,C734/D734,"")</x:f>
        <x:v>0</x:v>
      </x:c>
      <x:c r="F734" s="35" t="n">
        <x:v>22</x:v>
      </x:c>
    </x:row>
    <x:row r="735" ht="42" customHeight="1">
      <x:c r="A735" s="12" t="str">
        <x:v>https://kozhaclinic.ru/migratsiya-gelya-iz-gub/</x:v>
      </x:c>
      <x:c r="B735" s="12" t="str">
        <x:v>почему филлер мигрирует в слизистую</x:v>
      </x:c>
      <x:c r="C735" s="30" t="n">
        <x:v>0</x:v>
      </x:c>
      <x:c r="D735" s="30" t="n">
        <x:v>1</x:v>
      </x:c>
      <x:c r="E735" s="32" t="n">
        <x:f>IF(D735&gt;0,C735/D735,"")</x:f>
        <x:v>0</x:v>
      </x:c>
      <x:c r="F735" s="34" t="n">
        <x:v>28</x:v>
      </x:c>
    </x:row>
    <x:row r="736" ht="42" customHeight="1">
      <x:c r="A736" s="14" t="str">
        <x:v>https://kozhaclinic.ru/migratsiya-gelya-iz-gub/</x:v>
      </x:c>
      <x:c r="B736" s="14" t="str">
        <x:v>как выглядит миграция филлера в губах</x:v>
      </x:c>
      <x:c r="C736" s="31" t="n">
        <x:v>0</x:v>
      </x:c>
      <x:c r="D736" s="31" t="n">
        <x:v>1</x:v>
      </x:c>
      <x:c r="E736" s="33" t="n">
        <x:f>IF(D736&gt;0,C736/D736,"")</x:f>
        <x:v>0</x:v>
      </x:c>
      <x:c r="F736" s="35" t="n">
        <x:v>32</x:v>
      </x:c>
    </x:row>
    <x:row r="737" ht="42" customHeight="1">
      <x:c r="A737" s="12" t="str">
        <x:v>https://kozhaclinic.ru/migratsiya-gelya-iz-gub/</x:v>
      </x:c>
      <x:c r="B737" s="12" t="str">
        <x:v>убрать филлер над губой</x:v>
      </x:c>
      <x:c r="C737" s="30" t="n">
        <x:v>0</x:v>
      </x:c>
      <x:c r="D737" s="30" t="n">
        <x:v>1</x:v>
      </x:c>
      <x:c r="E737" s="32" t="n">
        <x:f>IF(D737&gt;0,C737/D737,"")</x:f>
        <x:v>0</x:v>
      </x:c>
      <x:c r="F737" s="34" t="n">
        <x:v>59</x:v>
      </x:c>
    </x:row>
    <x:row r="738" ht="42" customHeight="1">
      <x:c r="A738" s="14" t="str">
        <x:v>https://kozhaclinic.ru/apparatnaya-kosmetologiya/igolchatyy-rf-lifting-na-morpheus-8/</x:v>
      </x:c>
      <x:c r="B738" s="14" t="str">
        <x:v>игольчатый рф лифтинг</x:v>
      </x:c>
      <x:c r="C738" s="31" t="n">
        <x:v>4</x:v>
      </x:c>
      <x:c r="D738" s="31" t="n">
        <x:v>17</x:v>
      </x:c>
      <x:c r="E738" s="33" t="n">
        <x:f>IF(D738&gt;0,C738/D738,"")</x:f>
        <x:v>0.23529411764705882</x:v>
      </x:c>
      <x:c r="F738" s="35" t="n">
        <x:v>3.24</x:v>
      </x:c>
    </x:row>
    <x:row r="739" ht="42" customHeight="1">
      <x:c r="A739" s="12" t="str">
        <x:v>https://kozhaclinic.ru/apparatnaya-kosmetologiya/igolchatyy-rf-lifting-na-morpheus-8/</x:v>
      </x:c>
      <x:c r="B739" s="12" t="str">
        <x:v>rf лифтинг сургут</x:v>
      </x:c>
      <x:c r="C739" s="30" t="n">
        <x:v>2</x:v>
      </x:c>
      <x:c r="D739" s="30" t="n">
        <x:v>11</x:v>
      </x:c>
      <x:c r="E739" s="32" t="n">
        <x:f>IF(D739&gt;0,C739/D739,"")</x:f>
        <x:v>0.18181818181818182</x:v>
      </x:c>
      <x:c r="F739" s="34" t="n">
        <x:v>3</x:v>
      </x:c>
    </x:row>
    <x:row r="740" ht="42" customHeight="1">
      <x:c r="A740" s="14" t="str">
        <x:v>https://kozhaclinic.ru/apparatnaya-kosmetologiya/igolchatyy-rf-lifting-na-morpheus-8/</x:v>
      </x:c>
      <x:c r="B740" s="14" t="str">
        <x:v>игольчатый рф лифтинг morpheus 8</x:v>
      </x:c>
      <x:c r="C740" s="31" t="n">
        <x:v>0</x:v>
      </x:c>
      <x:c r="D740" s="31" t="n">
        <x:v>29</x:v>
      </x:c>
      <x:c r="E740" s="33" t="n">
        <x:f>IF(D740&gt;0,C740/D740,"")</x:f>
        <x:v>0</x:v>
      </x:c>
      <x:c r="F740" s="35" t="n">
        <x:v>22.17</x:v>
      </x:c>
    </x:row>
    <x:row r="741" ht="42" customHeight="1">
      <x:c r="A741" s="12" t="str">
        <x:v>https://kozhaclinic.ru/apparatnaya-kosmetologiya/igolchatyy-rf-lifting-na-morpheus-8/</x:v>
      </x:c>
      <x:c r="B741" s="12" t="str">
        <x:v>игольчатый рф лифтинг морфеус 8</x:v>
      </x:c>
      <x:c r="C741" s="30" t="n">
        <x:v>0</x:v>
      </x:c>
      <x:c r="D741" s="30" t="n">
        <x:v>24</x:v>
      </x:c>
      <x:c r="E741" s="32" t="n">
        <x:f>IF(D741&gt;0,C741/D741,"")</x:f>
        <x:v>0</x:v>
      </x:c>
      <x:c r="F741" s="34" t="n">
        <x:v>24.08</x:v>
      </x:c>
    </x:row>
    <x:row r="742" ht="42" customHeight="1">
      <x:c r="A742" s="14" t="str">
        <x:v>https://kozhaclinic.ru/apparatnaya-kosmetologiya/igolchatyy-rf-lifting-na-morpheus-8/</x:v>
      </x:c>
      <x:c r="B742" s="14" t="str">
        <x:v>игольчатый rf morpheus</x:v>
      </x:c>
      <x:c r="C742" s="31" t="n">
        <x:v>0</x:v>
      </x:c>
      <x:c r="D742" s="31" t="n">
        <x:v>20</x:v>
      </x:c>
      <x:c r="E742" s="33" t="n">
        <x:f>IF(D742&gt;0,C742/D742,"")</x:f>
        <x:v>0</x:v>
      </x:c>
      <x:c r="F742" s="35" t="n">
        <x:v>24.6</x:v>
      </x:c>
    </x:row>
    <x:row r="743" ht="42" customHeight="1">
      <x:c r="A743" s="12" t="str">
        <x:v>https://kozhaclinic.ru/apparatnaya-kosmetologiya/igolchatyy-rf-lifting-na-morpheus-8/</x:v>
      </x:c>
      <x:c r="B743" s="12" t="str">
        <x:v>morpheus 8</x:v>
      </x:c>
      <x:c r="C743" s="30" t="n">
        <x:v>0</x:v>
      </x:c>
      <x:c r="D743" s="30" t="n">
        <x:v>17</x:v>
      </x:c>
      <x:c r="E743" s="32" t="n">
        <x:f>IF(D743&gt;0,C743/D743,"")</x:f>
        <x:v>0</x:v>
      </x:c>
      <x:c r="F743" s="34" t="n">
        <x:v>15.76</x:v>
      </x:c>
    </x:row>
    <x:row r="744" ht="42" customHeight="1">
      <x:c r="A744" s="14" t="str">
        <x:v>https://kozhaclinic.ru/apparatnaya-kosmetologiya/igolchatyy-rf-lifting-na-morpheus-8/</x:v>
      </x:c>
      <x:c r="B744" s="14" t="str">
        <x:v>rf лифтинг</x:v>
      </x:c>
      <x:c r="C744" s="31" t="n">
        <x:v>0</x:v>
      </x:c>
      <x:c r="D744" s="31" t="n">
        <x:v>15</x:v>
      </x:c>
      <x:c r="E744" s="33" t="n">
        <x:f>IF(D744&gt;0,C744/D744,"")</x:f>
        <x:v>0</x:v>
      </x:c>
      <x:c r="F744" s="35" t="n">
        <x:v>6.73</x:v>
      </x:c>
    </x:row>
    <x:row r="745" ht="42" customHeight="1">
      <x:c r="A745" s="12" t="str">
        <x:v>https://kozhaclinic.ru/apparatnaya-kosmetologiya/igolchatyy-rf-lifting-na-morpheus-8/</x:v>
      </x:c>
      <x:c r="B745" s="12" t="str">
        <x:v>микроигольчатый рф лифтинг</x:v>
      </x:c>
      <x:c r="C745" s="30" t="n">
        <x:v>0</x:v>
      </x:c>
      <x:c r="D745" s="30" t="n">
        <x:v>14</x:v>
      </x:c>
      <x:c r="E745" s="32" t="n">
        <x:f>IF(D745&gt;0,C745/D745,"")</x:f>
        <x:v>0</x:v>
      </x:c>
      <x:c r="F745" s="34" t="n">
        <x:v>6.79</x:v>
      </x:c>
    </x:row>
    <x:row r="746" ht="42" customHeight="1">
      <x:c r="A746" s="14" t="str">
        <x:v>https://kozhaclinic.ru/apparatnaya-kosmetologiya/igolchatyy-rf-lifting-na-morpheus-8/</x:v>
      </x:c>
      <x:c r="B746" s="14" t="str">
        <x:v>игольчатый рф лифтинг morpheus</x:v>
      </x:c>
      <x:c r="C746" s="31" t="n">
        <x:v>0</x:v>
      </x:c>
      <x:c r="D746" s="31" t="n">
        <x:v>14</x:v>
      </x:c>
      <x:c r="E746" s="33" t="n">
        <x:f>IF(D746&gt;0,C746/D746,"")</x:f>
        <x:v>0</x:v>
      </x:c>
      <x:c r="F746" s="35" t="n">
        <x:v>16.71</x:v>
      </x:c>
    </x:row>
    <x:row r="747" ht="42" customHeight="1">
      <x:c r="A747" s="12" t="str">
        <x:v>https://kozhaclinic.ru/apparatnaya-kosmetologiya/igolchatyy-rf-lifting-na-morpheus-8/</x:v>
      </x:c>
      <x:c r="B747" s="12" t="str">
        <x:v>игольчатый rf лифтинг morpheus</x:v>
      </x:c>
      <x:c r="C747" s="30" t="n">
        <x:v>0</x:v>
      </x:c>
      <x:c r="D747" s="30" t="n">
        <x:v>14</x:v>
      </x:c>
      <x:c r="E747" s="32" t="n">
        <x:f>IF(D747&gt;0,C747/D747,"")</x:f>
        <x:v>0</x:v>
      </x:c>
      <x:c r="F747" s="34" t="n">
        <x:v>23.57</x:v>
      </x:c>
    </x:row>
    <x:row r="748" ht="42" customHeight="1">
      <x:c r="A748" s="14" t="str">
        <x:v>https://kozhaclinic.ru/apparatnaya-kosmetologiya/igolchatyy-rf-lifting-na-morpheus-8/</x:v>
      </x:c>
      <x:c r="B748" s="14" t="str">
        <x:v>морфиус игольчатый рф лифтинг</x:v>
      </x:c>
      <x:c r="C748" s="31" t="n">
        <x:v>0</x:v>
      </x:c>
      <x:c r="D748" s="31" t="n">
        <x:v>14</x:v>
      </x:c>
      <x:c r="E748" s="33" t="n">
        <x:f>IF(D748&gt;0,C748/D748,"")</x:f>
        <x:v>0</x:v>
      </x:c>
      <x:c r="F748" s="35" t="n">
        <x:v>24.29</x:v>
      </x:c>
    </x:row>
    <x:row r="749" ht="42" customHeight="1">
      <x:c r="A749" s="12" t="str">
        <x:v>https://kozhaclinic.ru/apparatnaya-kosmetologiya/igolchatyy-rf-lifting-na-morpheus-8/</x:v>
      </x:c>
      <x:c r="B749" s="12" t="str">
        <x:v>микроигольчатый рф лифтинг сургут</x:v>
      </x:c>
      <x:c r="C749" s="30" t="n">
        <x:v>0</x:v>
      </x:c>
      <x:c r="D749" s="30" t="n">
        <x:v>13</x:v>
      </x:c>
      <x:c r="E749" s="32" t="n">
        <x:f>IF(D749&gt;0,C749/D749,"")</x:f>
        <x:v>0</x:v>
      </x:c>
      <x:c r="F749" s="34" t="n">
        <x:v>5.62</x:v>
      </x:c>
    </x:row>
    <x:row r="750" ht="42" customHeight="1">
      <x:c r="A750" s="14" t="str">
        <x:v>https://kozhaclinic.ru/apparatnaya-kosmetologiya/igolchatyy-rf-lifting-na-morpheus-8/</x:v>
      </x:c>
      <x:c r="B750" s="14" t="str">
        <x:v>игольчатый рф лифтинг морфеус</x:v>
      </x:c>
      <x:c r="C750" s="31" t="n">
        <x:v>0</x:v>
      </x:c>
      <x:c r="D750" s="31" t="n">
        <x:v>13</x:v>
      </x:c>
      <x:c r="E750" s="33" t="n">
        <x:f>IF(D750&gt;0,C750/D750,"")</x:f>
        <x:v>0</x:v>
      </x:c>
      <x:c r="F750" s="35" t="n">
        <x:v>16.38</x:v>
      </x:c>
    </x:row>
    <x:row r="751" ht="42" customHeight="1">
      <x:c r="A751" s="12" t="str">
        <x:v>https://kozhaclinic.ru/apparatnaya-kosmetologiya/igolchatyy-rf-lifting-na-morpheus-8/</x:v>
      </x:c>
      <x:c r="B751" s="12" t="str">
        <x:v>игольчатый рф морфеус 8</x:v>
      </x:c>
      <x:c r="C751" s="30" t="n">
        <x:v>0</x:v>
      </x:c>
      <x:c r="D751" s="30" t="n">
        <x:v>13</x:v>
      </x:c>
      <x:c r="E751" s="32" t="n">
        <x:f>IF(D751&gt;0,C751/D751,"")</x:f>
        <x:v>0</x:v>
      </x:c>
      <x:c r="F751" s="34" t="n">
        <x:v>26.77</x:v>
      </x:c>
    </x:row>
    <x:row r="752" ht="42" customHeight="1">
      <x:c r="A752" s="14" t="str">
        <x:v>https://kozhaclinic.ru/apparatnaya-kosmetologiya/igolchatyy-rf-lifting-na-morpheus-8/</x:v>
      </x:c>
      <x:c r="B752" s="14" t="str">
        <x:v>рф лифтинг</x:v>
      </x:c>
      <x:c r="C752" s="31" t="n">
        <x:v>0</x:v>
      </x:c>
      <x:c r="D752" s="31" t="n">
        <x:v>12</x:v>
      </x:c>
      <x:c r="E752" s="33" t="n">
        <x:f>IF(D752&gt;0,C752/D752,"")</x:f>
        <x:v>0</x:v>
      </x:c>
      <x:c r="F752" s="35" t="n">
        <x:v>5.75</x:v>
      </x:c>
    </x:row>
    <x:row r="753" ht="42" customHeight="1">
      <x:c r="A753" s="12" t="str">
        <x:v>https://kozhaclinic.ru/apparatnaya-kosmetologiya/igolchatyy-rf-lifting-na-morpheus-8/</x:v>
      </x:c>
      <x:c r="B753" s="12" t="str">
        <x:v>игольчатый rf morpheus 8</x:v>
      </x:c>
      <x:c r="C753" s="30" t="n">
        <x:v>0</x:v>
      </x:c>
      <x:c r="D753" s="30" t="n">
        <x:v>12</x:v>
      </x:c>
      <x:c r="E753" s="32" t="n">
        <x:f>IF(D753&gt;0,C753/D753,"")</x:f>
        <x:v>0</x:v>
      </x:c>
      <x:c r="F753" s="34" t="n">
        <x:v>32</x:v>
      </x:c>
    </x:row>
    <x:row r="754" ht="42" customHeight="1">
      <x:c r="A754" s="14" t="str">
        <x:v>https://kozhaclinic.ru/apparatnaya-kosmetologiya/igolchatyy-rf-lifting-na-morpheus-8/</x:v>
      </x:c>
      <x:c r="B754" s="14" t="str">
        <x:v>игольчатый rf лифтинг morpheus 8</x:v>
      </x:c>
      <x:c r="C754" s="31" t="n">
        <x:v>0</x:v>
      </x:c>
      <x:c r="D754" s="31" t="n">
        <x:v>10</x:v>
      </x:c>
      <x:c r="E754" s="33" t="n">
        <x:f>IF(D754&gt;0,C754/D754,"")</x:f>
        <x:v>0</x:v>
      </x:c>
      <x:c r="F754" s="35" t="n">
        <x:v>20.1</x:v>
      </x:c>
    </x:row>
    <x:row r="755" ht="42" customHeight="1">
      <x:c r="A755" s="12" t="str">
        <x:v>https://kozhaclinic.ru/apparatnaya-kosmetologiya/igolchatyy-rf-lifting-na-morpheus-8/</x:v>
      </x:c>
      <x:c r="B755" s="12" t="str">
        <x:v>morpheus игольчатый лифтинг</x:v>
      </x:c>
      <x:c r="C755" s="30" t="n">
        <x:v>0</x:v>
      </x:c>
      <x:c r="D755" s="30" t="n">
        <x:v>9</x:v>
      </x:c>
      <x:c r="E755" s="32" t="n">
        <x:f>IF(D755&gt;0,C755/D755,"")</x:f>
        <x:v>0</x:v>
      </x:c>
      <x:c r="F755" s="34" t="n">
        <x:v>13</x:v>
      </x:c>
    </x:row>
    <x:row r="756" ht="42" customHeight="1">
      <x:c r="A756" s="14" t="str">
        <x:v>https://kozhaclinic.ru/apparatnaya-kosmetologiya/igolchatyy-rf-lifting-na-morpheus-8/</x:v>
      </x:c>
      <x:c r="B756" s="14" t="str">
        <x:v>morfeus игольчатый rf лифтинг морфеус 8</x:v>
      </x:c>
      <x:c r="C756" s="31" t="n">
        <x:v>0</x:v>
      </x:c>
      <x:c r="D756" s="31" t="n">
        <x:v>9</x:v>
      </x:c>
      <x:c r="E756" s="33" t="n">
        <x:f>IF(D756&gt;0,C756/D756,"")</x:f>
        <x:v>0</x:v>
      </x:c>
      <x:c r="F756" s="35" t="n">
        <x:v>19.44</x:v>
      </x:c>
    </x:row>
    <x:row r="757" ht="42" customHeight="1">
      <x:c r="A757" s="12" t="str">
        <x:v>https://kozhaclinic.ru/apparatnaya-kosmetologiya/igolchatyy-rf-lifting-na-morpheus-8/</x:v>
      </x:c>
      <x:c r="B757" s="12" t="str">
        <x:v>морфеус в косметологии для лица</x:v>
      </x:c>
      <x:c r="C757" s="30" t="n">
        <x:v>0</x:v>
      </x:c>
      <x:c r="D757" s="30" t="n">
        <x:v>9</x:v>
      </x:c>
      <x:c r="E757" s="32" t="n">
        <x:f>IF(D757&gt;0,C757/D757,"")</x:f>
        <x:v>0</x:v>
      </x:c>
      <x:c r="F757" s="34" t="n">
        <x:v>38.78</x:v>
      </x:c>
    </x:row>
    <x:row r="758" ht="42" customHeight="1">
      <x:c r="A758" s="14" t="str">
        <x:v>https://kozhaclinic.ru/apparatnaya-kosmetologiya/igolchatyy-rf-lifting-na-morpheus-8/</x:v>
      </x:c>
      <x:c r="B758" s="14" t="str">
        <x:v>rf лифтинг на аппарате morpheus8</x:v>
      </x:c>
      <x:c r="C758" s="31" t="n">
        <x:v>0</x:v>
      </x:c>
      <x:c r="D758" s="31" t="n">
        <x:v>8</x:v>
      </x:c>
      <x:c r="E758" s="33" t="n">
        <x:f>IF(D758&gt;0,C758/D758,"")</x:f>
        <x:v>0</x:v>
      </x:c>
      <x:c r="F758" s="35" t="n">
        <x:v>30.5</x:v>
      </x:c>
    </x:row>
    <x:row r="759" ht="42" customHeight="1">
      <x:c r="A759" s="12" t="str">
        <x:v>https://kozhaclinic.ru/apparatnaya-kosmetologiya/igolchatyy-rf-lifting-na-morpheus-8/</x:v>
      </x:c>
      <x:c r="B759" s="12" t="str">
        <x:v>морфиус игольчатый рф</x:v>
      </x:c>
      <x:c r="C759" s="30" t="n">
        <x:v>0</x:v>
      </x:c>
      <x:c r="D759" s="30" t="n">
        <x:v>7</x:v>
      </x:c>
      <x:c r="E759" s="32" t="n">
        <x:f>IF(D759&gt;0,C759/D759,"")</x:f>
        <x:v>0</x:v>
      </x:c>
      <x:c r="F759" s="34" t="n">
        <x:v>14.43</x:v>
      </x:c>
    </x:row>
    <x:row r="760" ht="42" customHeight="1">
      <x:c r="A760" s="14" t="str">
        <x:v>https://kozhaclinic.ru/apparatnaya-kosmetologiya/igolchatyy-rf-lifting-na-morpheus-8/</x:v>
      </x:c>
      <x:c r="B760" s="14" t="str">
        <x:v>морфеус игольчатый лифтинг</x:v>
      </x:c>
      <x:c r="C760" s="31" t="n">
        <x:v>0</x:v>
      </x:c>
      <x:c r="D760" s="31" t="n">
        <x:v>7</x:v>
      </x:c>
      <x:c r="E760" s="33" t="n">
        <x:f>IF(D760&gt;0,C760/D760,"")</x:f>
        <x:v>0</x:v>
      </x:c>
      <x:c r="F760" s="35" t="n">
        <x:v>17.71</x:v>
      </x:c>
    </x:row>
    <x:row r="761" ht="42" customHeight="1">
      <x:c r="A761" s="12" t="str">
        <x:v>https://kozhaclinic.ru/apparatnaya-kosmetologiya/igolchatyy-rf-lifting-na-morpheus-8/</x:v>
      </x:c>
      <x:c r="B761" s="12" t="str">
        <x:v>игольчатый rf лифтинг морфеус</x:v>
      </x:c>
      <x:c r="C761" s="30" t="n">
        <x:v>0</x:v>
      </x:c>
      <x:c r="D761" s="30" t="n">
        <x:v>7</x:v>
      </x:c>
      <x:c r="E761" s="32" t="n">
        <x:f>IF(D761&gt;0,C761/D761,"")</x:f>
        <x:v>0</x:v>
      </x:c>
      <x:c r="F761" s="34" t="n">
        <x:v>23</x:v>
      </x:c>
    </x:row>
    <x:row r="762" ht="42" customHeight="1">
      <x:c r="A762" s="14" t="str">
        <x:v>https://kozhaclinic.ru/apparatnaya-kosmetologiya/igolchatyy-rf-lifting-na-morpheus-8/</x:v>
      </x:c>
      <x:c r="B762" s="14" t="str">
        <x:v>рф игольчатый лифтинг морфеус 8</x:v>
      </x:c>
      <x:c r="C762" s="31" t="n">
        <x:v>0</x:v>
      </x:c>
      <x:c r="D762" s="31" t="n">
        <x:v>7</x:v>
      </x:c>
      <x:c r="E762" s="33" t="n">
        <x:f>IF(D762&gt;0,C762/D762,"")</x:f>
        <x:v>0</x:v>
      </x:c>
      <x:c r="F762" s="35" t="n">
        <x:v>25.57</x:v>
      </x:c>
    </x:row>
    <x:row r="763" ht="42" customHeight="1">
      <x:c r="A763" s="12" t="str">
        <x:v>https://kozhaclinic.ru/apparatnaya-kosmetologiya/igolchatyy-rf-lifting-na-morpheus-8/</x:v>
      </x:c>
      <x:c r="B763" s="12" t="str">
        <x:v>morpheus rf лифтинг</x:v>
      </x:c>
      <x:c r="C763" s="30" t="n">
        <x:v>0</x:v>
      </x:c>
      <x:c r="D763" s="30" t="n">
        <x:v>7</x:v>
      </x:c>
      <x:c r="E763" s="32" t="n">
        <x:f>IF(D763&gt;0,C763/D763,"")</x:f>
        <x:v>0</x:v>
      </x:c>
      <x:c r="F763" s="34" t="n">
        <x:v>41.57</x:v>
      </x:c>
    </x:row>
    <x:row r="764" ht="42" customHeight="1">
      <x:c r="A764" s="14" t="str">
        <x:v>https://kozhaclinic.ru/apparatnaya-kosmetologiya/igolchatyy-rf-lifting-na-morpheus-8/</x:v>
      </x:c>
      <x:c r="B764" s="14" t="str">
        <x:v>morpheus 8 игольчатый лифтинг</x:v>
      </x:c>
      <x:c r="C764" s="31" t="n">
        <x:v>0</x:v>
      </x:c>
      <x:c r="D764" s="31" t="n">
        <x:v>6</x:v>
      </x:c>
      <x:c r="E764" s="33" t="n">
        <x:f>IF(D764&gt;0,C764/D764,"")</x:f>
        <x:v>0</x:v>
      </x:c>
      <x:c r="F764" s="35" t="n">
        <x:v>44</x:v>
      </x:c>
    </x:row>
    <x:row r="765" ht="42" customHeight="1">
      <x:c r="A765" s="12" t="str">
        <x:v>https://kozhaclinic.ru/apparatnaya-kosmetologiya/igolchatyy-rf-lifting-na-morpheus-8/</x:v>
      </x:c>
      <x:c r="B765" s="12" t="str">
        <x:v>морфеус лифтинг</x:v>
      </x:c>
      <x:c r="C765" s="30" t="n">
        <x:v>0</x:v>
      </x:c>
      <x:c r="D765" s="30" t="n">
        <x:v>6</x:v>
      </x:c>
      <x:c r="E765" s="32" t="n">
        <x:f>IF(D765&gt;0,C765/D765,"")</x:f>
        <x:v>0</x:v>
      </x:c>
      <x:c r="F765" s="34" t="n">
        <x:v>47.33</x:v>
      </x:c>
    </x:row>
    <x:row r="766" ht="42" customHeight="1">
      <x:c r="A766" s="14" t="str">
        <x:v>https://kozhaclinic.ru/apparatnaya-kosmetologiya/igolchatyy-rf-lifting-na-morpheus-8/</x:v>
      </x:c>
      <x:c r="B766" s="14" t="str">
        <x:v>микроигольчатый rf лифтинг сургут</x:v>
      </x:c>
      <x:c r="C766" s="31" t="n">
        <x:v>0</x:v>
      </x:c>
      <x:c r="D766" s="31" t="n">
        <x:v>5</x:v>
      </x:c>
      <x:c r="E766" s="33" t="n">
        <x:f>IF(D766&gt;0,C766/D766,"")</x:f>
        <x:v>0</x:v>
      </x:c>
      <x:c r="F766" s="35" t="n">
        <x:v>4.4</x:v>
      </x:c>
    </x:row>
    <x:row r="767" ht="42" customHeight="1">
      <x:c r="A767" s="12" t="str">
        <x:v>https://kozhaclinic.ru/apparatnaya-kosmetologiya/igolchatyy-rf-lifting-na-morpheus-8/</x:v>
      </x:c>
      <x:c r="B767" s="12" t="str">
        <x:v>игольчатый морфеус</x:v>
      </x:c>
      <x:c r="C767" s="30" t="n">
        <x:v>0</x:v>
      </x:c>
      <x:c r="D767" s="30" t="n">
        <x:v>5</x:v>
      </x:c>
      <x:c r="E767" s="32" t="n">
        <x:f>IF(D767&gt;0,C767/D767,"")</x:f>
        <x:v>0</x:v>
      </x:c>
      <x:c r="F767" s="34" t="n">
        <x:v>10.2</x:v>
      </x:c>
    </x:row>
    <x:row r="768" ht="42" customHeight="1">
      <x:c r="A768" s="14" t="str">
        <x:v>https://kozhaclinic.ru/apparatnaya-kosmetologiya/igolchatyy-rf-lifting-na-morpheus-8/</x:v>
      </x:c>
      <x:c r="B768" s="14" t="str">
        <x:v>rf игольчатый лифтинг морфеус 8</x:v>
      </x:c>
      <x:c r="C768" s="31" t="n">
        <x:v>0</x:v>
      </x:c>
      <x:c r="D768" s="31" t="n">
        <x:v>5</x:v>
      </x:c>
      <x:c r="E768" s="33" t="n">
        <x:f>IF(D768&gt;0,C768/D768,"")</x:f>
        <x:v>0</x:v>
      </x:c>
      <x:c r="F768" s="35" t="n">
        <x:v>25.8</x:v>
      </x:c>
    </x:row>
    <x:row r="769" ht="42" customHeight="1">
      <x:c r="A769" s="12" t="str">
        <x:v>https://kozhaclinic.ru/apparatnaya-kosmetologiya/igolchatyy-rf-lifting-na-morpheus-8/</x:v>
      </x:c>
      <x:c r="B769" s="12" t="str">
        <x:v>морфеус процедура тело</x:v>
      </x:c>
      <x:c r="C769" s="30" t="n">
        <x:v>0</x:v>
      </x:c>
      <x:c r="D769" s="30" t="n">
        <x:v>5</x:v>
      </x:c>
      <x:c r="E769" s="32" t="n">
        <x:f>IF(D769&gt;0,C769/D769,"")</x:f>
        <x:v>0</x:v>
      </x:c>
      <x:c r="F769" s="34" t="n">
        <x:v>39.6</x:v>
      </x:c>
    </x:row>
    <x:row r="770" ht="42" customHeight="1">
      <x:c r="A770" s="14" t="str">
        <x:v>https://kozhaclinic.ru/apparatnaya-kosmetologiya/igolchatyy-rf-lifting-na-morpheus-8/</x:v>
      </x:c>
      <x:c r="B770" s="14" t="str">
        <x:v>морфеус аппарат процедура</x:v>
      </x:c>
      <x:c r="C770" s="31" t="n">
        <x:v>0</x:v>
      </x:c>
      <x:c r="D770" s="31" t="n">
        <x:v>5</x:v>
      </x:c>
      <x:c r="E770" s="33" t="n">
        <x:f>IF(D770&gt;0,C770/D770,"")</x:f>
        <x:v>0</x:v>
      </x:c>
      <x:c r="F770" s="35" t="n">
        <x:v>40.6</x:v>
      </x:c>
    </x:row>
    <x:row r="771" ht="42" customHeight="1">
      <x:c r="A771" s="12" t="str">
        <x:v>https://kozhaclinic.ru/apparatnaya-kosmetologiya/igolchatyy-rf-lifting-na-morpheus-8/</x:v>
      </x:c>
      <x:c r="B771" s="12" t="str">
        <x:v>процедура morpheus 8</x:v>
      </x:c>
      <x:c r="C771" s="30" t="n">
        <x:v>0</x:v>
      </x:c>
      <x:c r="D771" s="30" t="n">
        <x:v>5</x:v>
      </x:c>
      <x:c r="E771" s="32" t="n">
        <x:f>IF(D771&gt;0,C771/D771,"")</x:f>
        <x:v>0</x:v>
      </x:c>
      <x:c r="F771" s="34" t="n">
        <x:v>42.4</x:v>
      </x:c>
    </x:row>
    <x:row r="772" ht="42" customHeight="1">
      <x:c r="A772" s="14" t="str">
        <x:v>https://kozhaclinic.ru/apparatnaya-kosmetologiya/igolchatyy-rf-lifting-na-morpheus-8/</x:v>
      </x:c>
      <x:c r="B772" s="14" t="str">
        <x:v>морфеус лифтинг лица</x:v>
      </x:c>
      <x:c r="C772" s="31" t="n">
        <x:v>0</x:v>
      </x:c>
      <x:c r="D772" s="31" t="n">
        <x:v>5</x:v>
      </x:c>
      <x:c r="E772" s="33" t="n">
        <x:f>IF(D772&gt;0,C772/D772,"")</x:f>
        <x:v>0</x:v>
      </x:c>
      <x:c r="F772" s="35" t="n">
        <x:v>43</x:v>
      </x:c>
    </x:row>
    <x:row r="773" ht="42" customHeight="1">
      <x:c r="A773" s="12" t="str">
        <x:v>https://kozhaclinic.ru/apparatnaya-kosmetologiya/igolchatyy-rf-lifting-na-morpheus-8/</x:v>
      </x:c>
      <x:c r="B773" s="12" t="str">
        <x:v>morpheus лифтинг</x:v>
      </x:c>
      <x:c r="C773" s="30" t="n">
        <x:v>0</x:v>
      </x:c>
      <x:c r="D773" s="30" t="n">
        <x:v>5</x:v>
      </x:c>
      <x:c r="E773" s="32" t="n">
        <x:f>IF(D773&gt;0,C773/D773,"")</x:f>
        <x:v>0</x:v>
      </x:c>
      <x:c r="F773" s="34" t="n">
        <x:v>43.4</x:v>
      </x:c>
    </x:row>
    <x:row r="774" ht="42" customHeight="1">
      <x:c r="A774" s="14" t="str">
        <x:v>https://kozhaclinic.ru/apparatnaya-kosmetologiya/igolchatyy-rf-lifting-na-morpheus-8/</x:v>
      </x:c>
      <x:c r="B774" s="14" t="str">
        <x:v>морфеус 8 игольчатый лифтинг</x:v>
      </x:c>
      <x:c r="C774" s="31" t="n">
        <x:v>0</x:v>
      </x:c>
      <x:c r="D774" s="31" t="n">
        <x:v>5</x:v>
      </x:c>
      <x:c r="E774" s="33" t="n">
        <x:f>IF(D774&gt;0,C774/D774,"")</x:f>
        <x:v>0</x:v>
      </x:c>
      <x:c r="F774" s="35" t="n">
        <x:v>45.6</x:v>
      </x:c>
    </x:row>
    <x:row r="775" ht="42" customHeight="1">
      <x:c r="A775" s="12" t="str">
        <x:v>https://kozhaclinic.ru/apparatnaya-kosmetologiya/igolchatyy-rf-lifting-na-morpheus-8/</x:v>
      </x:c>
      <x:c r="B775" s="12" t="str">
        <x:v>игольчатый рф лифтинг лица сургут</x:v>
      </x:c>
      <x:c r="C775" s="30" t="n">
        <x:v>0</x:v>
      </x:c>
      <x:c r="D775" s="30" t="n">
        <x:v>4</x:v>
      </x:c>
      <x:c r="E775" s="32" t="n">
        <x:f>IF(D775&gt;0,C775/D775,"")</x:f>
        <x:v>0</x:v>
      </x:c>
      <x:c r="F775" s="34" t="n">
        <x:v>4</x:v>
      </x:c>
    </x:row>
    <x:row r="776" ht="42" customHeight="1">
      <x:c r="A776" s="14" t="str">
        <x:v>https://kozhaclinic.ru/apparatnaya-kosmetologiya/igolchatyy-rf-lifting-na-morpheus-8/</x:v>
      </x:c>
      <x:c r="B776" s="14" t="str">
        <x:v>rf лифтинг омоложение сургут</x:v>
      </x:c>
      <x:c r="C776" s="31" t="n">
        <x:v>0</x:v>
      </x:c>
      <x:c r="D776" s="31" t="n">
        <x:v>4</x:v>
      </x:c>
      <x:c r="E776" s="33" t="n">
        <x:f>IF(D776&gt;0,C776/D776,"")</x:f>
        <x:v>0</x:v>
      </x:c>
      <x:c r="F776" s="35" t="n">
        <x:v>4.5</x:v>
      </x:c>
    </x:row>
    <x:row r="777" ht="42" customHeight="1">
      <x:c r="A777" s="12" t="str">
        <x:v>https://kozhaclinic.ru/apparatnaya-kosmetologiya/igolchatyy-rf-lifting-na-morpheus-8/</x:v>
      </x:c>
      <x:c r="B777" s="12" t="str">
        <x:v>rf лифтинг лица сургут</x:v>
      </x:c>
      <x:c r="C777" s="30" t="n">
        <x:v>0</x:v>
      </x:c>
      <x:c r="D777" s="30" t="n">
        <x:v>4</x:v>
      </x:c>
      <x:c r="E777" s="32" t="n">
        <x:f>IF(D777&gt;0,C777/D777,"")</x:f>
        <x:v>0</x:v>
      </x:c>
      <x:c r="F777" s="34" t="n">
        <x:v>5.5</x:v>
      </x:c>
    </x:row>
    <x:row r="778" ht="42" customHeight="1">
      <x:c r="A778" s="14" t="str">
        <x:v>https://kozhaclinic.ru/apparatnaya-kosmetologiya/igolchatyy-rf-lifting-na-morpheus-8/</x:v>
      </x:c>
      <x:c r="B778" s="14" t="str">
        <x:v>rf лифтинг цена</x:v>
      </x:c>
      <x:c r="C778" s="31" t="n">
        <x:v>0</x:v>
      </x:c>
      <x:c r="D778" s="31" t="n">
        <x:v>4</x:v>
      </x:c>
      <x:c r="E778" s="33" t="n">
        <x:f>IF(D778&gt;0,C778/D778,"")</x:f>
        <x:v>0</x:v>
      </x:c>
      <x:c r="F778" s="35" t="n">
        <x:v>11</x:v>
      </x:c>
    </x:row>
    <x:row r="779" ht="42" customHeight="1">
      <x:c r="A779" s="12" t="str">
        <x:v>https://kozhaclinic.ru/apparatnaya-kosmetologiya/igolchatyy-rf-lifting-na-morpheus-8/</x:v>
      </x:c>
      <x:c r="B779" s="12" t="str">
        <x:v>игольчатый рф лифтинг лица морфеус</x:v>
      </x:c>
      <x:c r="C779" s="30" t="n">
        <x:v>0</x:v>
      </x:c>
      <x:c r="D779" s="30" t="n">
        <x:v>4</x:v>
      </x:c>
      <x:c r="E779" s="32" t="n">
        <x:f>IF(D779&gt;0,C779/D779,"")</x:f>
        <x:v>0</x:v>
      </x:c>
      <x:c r="F779" s="34" t="n">
        <x:v>17.25</x:v>
      </x:c>
    </x:row>
    <x:row r="780" ht="42" customHeight="1">
      <x:c r="A780" s="14" t="str">
        <x:v>https://kozhaclinic.ru/apparatnaya-kosmetologiya/igolchatyy-rf-lifting-na-morpheus-8/</x:v>
      </x:c>
      <x:c r="B780" s="14" t="str">
        <x:v>рф лифтинг morpheus 8</x:v>
      </x:c>
      <x:c r="C780" s="31" t="n">
        <x:v>0</x:v>
      </x:c>
      <x:c r="D780" s="31" t="n">
        <x:v>4</x:v>
      </x:c>
      <x:c r="E780" s="33" t="n">
        <x:f>IF(D780&gt;0,C780/D780,"")</x:f>
        <x:v>0</x:v>
      </x:c>
      <x:c r="F780" s="35" t="n">
        <x:v>30.5</x:v>
      </x:c>
    </x:row>
    <x:row r="781" ht="42" customHeight="1">
      <x:c r="A781" s="12" t="str">
        <x:v>https://kozhaclinic.ru/apparatnaya-kosmetologiya/igolchatyy-rf-lifting-na-morpheus-8/</x:v>
      </x:c>
      <x:c r="B781" s="12" t="str">
        <x:v>morpheus 8 лица</x:v>
      </x:c>
      <x:c r="C781" s="30" t="n">
        <x:v>0</x:v>
      </x:c>
      <x:c r="D781" s="30" t="n">
        <x:v>4</x:v>
      </x:c>
      <x:c r="E781" s="32" t="n">
        <x:f>IF(D781&gt;0,C781/D781,"")</x:f>
        <x:v>0</x:v>
      </x:c>
      <x:c r="F781" s="34" t="n">
        <x:v>34.75</x:v>
      </x:c>
    </x:row>
    <x:row r="782" ht="42" customHeight="1">
      <x:c r="A782" s="14" t="str">
        <x:v>https://kozhaclinic.ru/apparatnaya-kosmetologiya/igolchatyy-rf-lifting-na-morpheus-8/</x:v>
      </x:c>
      <x:c r="B782" s="14" t="str">
        <x:v>rf лифтинг morpheus 8</x:v>
      </x:c>
      <x:c r="C782" s="31" t="n">
        <x:v>0</x:v>
      </x:c>
      <x:c r="D782" s="31" t="n">
        <x:v>4</x:v>
      </x:c>
      <x:c r="E782" s="33" t="n">
        <x:f>IF(D782&gt;0,C782/D782,"")</x:f>
        <x:v>0</x:v>
      </x:c>
      <x:c r="F782" s="35" t="n">
        <x:v>36.25</x:v>
      </x:c>
    </x:row>
    <x:row r="783" ht="42" customHeight="1">
      <x:c r="A783" s="12" t="str">
        <x:v>https://kozhaclinic.ru/apparatnaya-kosmetologiya/igolchatyy-rf-lifting-na-morpheus-8/</x:v>
      </x:c>
      <x:c r="B783" s="12" t="str">
        <x:v>процедура морфеус в косметологии для лица</x:v>
      </x:c>
      <x:c r="C783" s="30" t="n">
        <x:v>0</x:v>
      </x:c>
      <x:c r="D783" s="30" t="n">
        <x:v>4</x:v>
      </x:c>
      <x:c r="E783" s="32" t="n">
        <x:f>IF(D783&gt;0,C783/D783,"")</x:f>
        <x:v>0</x:v>
      </x:c>
      <x:c r="F783" s="34" t="n">
        <x:v>41.75</x:v>
      </x:c>
    </x:row>
    <x:row r="784" ht="42" customHeight="1">
      <x:c r="A784" s="14" t="str">
        <x:v>https://kozhaclinic.ru/apparatnaya-kosmetologiya/igolchatyy-rf-lifting-na-morpheus-8/</x:v>
      </x:c>
      <x:c r="B784" s="14" t="str">
        <x:v>процедура морфеус в косметологии</x:v>
      </x:c>
      <x:c r="C784" s="31" t="n">
        <x:v>0</x:v>
      </x:c>
      <x:c r="D784" s="31" t="n">
        <x:v>4</x:v>
      </x:c>
      <x:c r="E784" s="33" t="n">
        <x:f>IF(D784&gt;0,C784/D784,"")</x:f>
        <x:v>0</x:v>
      </x:c>
      <x:c r="F784" s="35" t="n">
        <x:v>43.5</x:v>
      </x:c>
    </x:row>
    <x:row r="785" ht="42" customHeight="1">
      <x:c r="A785" s="12" t="str">
        <x:v>https://kozhaclinic.ru/apparatnaya-kosmetologiya/igolchatyy-rf-lifting-na-morpheus-8/</x:v>
      </x:c>
      <x:c r="B785" s="12" t="str">
        <x:v>морфеус 8 аппарат процедура</x:v>
      </x:c>
      <x:c r="C785" s="30" t="n">
        <x:v>0</x:v>
      </x:c>
      <x:c r="D785" s="30" t="n">
        <x:v>4</x:v>
      </x:c>
      <x:c r="E785" s="32" t="n">
        <x:f>IF(D785&gt;0,C785/D785,"")</x:f>
        <x:v>0</x:v>
      </x:c>
      <x:c r="F785" s="34" t="n">
        <x:v>44.25</x:v>
      </x:c>
    </x:row>
    <x:row r="786" ht="42" customHeight="1">
      <x:c r="A786" s="14" t="str">
        <x:v>https://kozhaclinic.ru/apparatnaya-kosmetologiya/igolchatyy-rf-lifting-na-morpheus-8/</x:v>
      </x:c>
      <x:c r="B786" s="14" t="str">
        <x:v>процедура morpheus</x:v>
      </x:c>
      <x:c r="C786" s="31" t="n">
        <x:v>0</x:v>
      </x:c>
      <x:c r="D786" s="31" t="n">
        <x:v>4</x:v>
      </x:c>
      <x:c r="E786" s="33" t="n">
        <x:f>IF(D786&gt;0,C786/D786,"")</x:f>
        <x:v>0</x:v>
      </x:c>
      <x:c r="F786" s="35" t="n">
        <x:v>45</x:v>
      </x:c>
    </x:row>
    <x:row r="787" ht="42" customHeight="1">
      <x:c r="A787" s="12" t="str">
        <x:v>https://kozhaclinic.ru/apparatnaya-kosmetologiya/igolchatyy-rf-lifting-na-morpheus-8/</x:v>
      </x:c>
      <x:c r="B787" s="12" t="str">
        <x:v>морфеус 8 лифтинг</x:v>
      </x:c>
      <x:c r="C787" s="30" t="n">
        <x:v>0</x:v>
      </x:c>
      <x:c r="D787" s="30" t="n">
        <x:v>4</x:v>
      </x:c>
      <x:c r="E787" s="32" t="n">
        <x:f>IF(D787&gt;0,C787/D787,"")</x:f>
        <x:v>0</x:v>
      </x:c>
      <x:c r="F787" s="34" t="n">
        <x:v>46</x:v>
      </x:c>
    </x:row>
    <x:row r="788" ht="42" customHeight="1">
      <x:c r="A788" s="14" t="str">
        <x:v>https://kozhaclinic.ru/apparatnaya-kosmetologiya/igolchatyy-rf-lifting-na-morpheus-8/</x:v>
      </x:c>
      <x:c r="B788" s="14" t="str">
        <x:v>морфеус 8 цена процедуры</x:v>
      </x:c>
      <x:c r="C788" s="31" t="n">
        <x:v>0</x:v>
      </x:c>
      <x:c r="D788" s="31" t="n">
        <x:v>3</x:v>
      </x:c>
      <x:c r="E788" s="33" t="n">
        <x:f>IF(D788&gt;0,C788/D788,"")</x:f>
        <x:v>0</x:v>
      </x:c>
      <x:c r="F788" s="35" t="n">
        <x:v>4</x:v>
      </x:c>
    </x:row>
    <x:row r="789" ht="42" customHeight="1">
      <x:c r="A789" s="12" t="str">
        <x:v>https://kozhaclinic.ru/apparatnaya-kosmetologiya/igolchatyy-rf-lifting-na-morpheus-8/</x:v>
      </x:c>
      <x:c r="B789" s="12" t="str">
        <x:v>аппаратный лифтинг лица сургут</x:v>
      </x:c>
      <x:c r="C789" s="30" t="n">
        <x:v>0</x:v>
      </x:c>
      <x:c r="D789" s="30" t="n">
        <x:v>3</x:v>
      </x:c>
      <x:c r="E789" s="32" t="n">
        <x:f>IF(D789&gt;0,C789/D789,"")</x:f>
        <x:v>0</x:v>
      </x:c>
      <x:c r="F789" s="34" t="n">
        <x:v>4.33</x:v>
      </x:c>
    </x:row>
    <x:row r="790" ht="42" customHeight="1">
      <x:c r="A790" s="14" t="str">
        <x:v>https://kozhaclinic.ru/apparatnaya-kosmetologiya/igolchatyy-rf-lifting-na-morpheus-8/</x:v>
      </x:c>
      <x:c r="B790" s="14" t="str">
        <x:v>rf лифтинга кожи сургут</x:v>
      </x:c>
      <x:c r="C790" s="31" t="n">
        <x:v>0</x:v>
      </x:c>
      <x:c r="D790" s="31" t="n">
        <x:v>3</x:v>
      </x:c>
      <x:c r="E790" s="33" t="n">
        <x:f>IF(D790&gt;0,C790/D790,"")</x:f>
        <x:v>0</x:v>
      </x:c>
      <x:c r="F790" s="35" t="n">
        <x:v>5.33</x:v>
      </x:c>
    </x:row>
    <x:row r="791" ht="42" customHeight="1">
      <x:c r="A791" s="12" t="str">
        <x:v>https://kozhaclinic.ru/apparatnaya-kosmetologiya/igolchatyy-rf-lifting-na-morpheus-8/</x:v>
      </x:c>
      <x:c r="B791" s="12" t="str">
        <x:v>микроигольчатый rf лифтинг цена</x:v>
      </x:c>
      <x:c r="C791" s="30" t="n">
        <x:v>0</x:v>
      </x:c>
      <x:c r="D791" s="30" t="n">
        <x:v>3</x:v>
      </x:c>
      <x:c r="E791" s="32" t="n">
        <x:f>IF(D791&gt;0,C791/D791,"")</x:f>
        <x:v>0</x:v>
      </x:c>
      <x:c r="F791" s="34" t="n">
        <x:v>13</x:v>
      </x:c>
    </x:row>
    <x:row r="792" ht="42" customHeight="1">
      <x:c r="A792" s="14" t="str">
        <x:v>https://kozhaclinic.ru/apparatnaya-kosmetologiya/igolchatyy-rf-lifting-na-morpheus-8/</x:v>
      </x:c>
      <x:c r="B792" s="14" t="str">
        <x:v>morfeus игольчатый rf лифтинг</x:v>
      </x:c>
      <x:c r="C792" s="31" t="n">
        <x:v>0</x:v>
      </x:c>
      <x:c r="D792" s="31" t="n">
        <x:v>3</x:v>
      </x:c>
      <x:c r="E792" s="33" t="n">
        <x:f>IF(D792&gt;0,C792/D792,"")</x:f>
        <x:v>0</x:v>
      </x:c>
      <x:c r="F792" s="35" t="n">
        <x:v>15</x:v>
      </x:c>
    </x:row>
    <x:row r="793" ht="42" customHeight="1">
      <x:c r="A793" s="12" t="str">
        <x:v>https://kozhaclinic.ru/apparatnaya-kosmetologiya/igolchatyy-rf-lifting-na-morpheus-8/</x:v>
      </x:c>
      <x:c r="B793" s="12" t="str">
        <x:v>морфеус игольчатый рф</x:v>
      </x:c>
      <x:c r="C793" s="30" t="n">
        <x:v>0</x:v>
      </x:c>
      <x:c r="D793" s="30" t="n">
        <x:v>3</x:v>
      </x:c>
      <x:c r="E793" s="32" t="n">
        <x:f>IF(D793&gt;0,C793/D793,"")</x:f>
        <x:v>0</x:v>
      </x:c>
      <x:c r="F793" s="34" t="n">
        <x:v>16.67</x:v>
      </x:c>
    </x:row>
    <x:row r="794" ht="42" customHeight="1">
      <x:c r="A794" s="14" t="str">
        <x:v>https://kozhaclinic.ru/apparatnaya-kosmetologiya/igolchatyy-rf-lifting-na-morpheus-8/</x:v>
      </x:c>
      <x:c r="B794" s="14" t="str">
        <x:v>rf morpheus</x:v>
      </x:c>
      <x:c r="C794" s="31" t="n">
        <x:v>0</x:v>
      </x:c>
      <x:c r="D794" s="31" t="n">
        <x:v>3</x:v>
      </x:c>
      <x:c r="E794" s="33" t="n">
        <x:f>IF(D794&gt;0,C794/D794,"")</x:f>
        <x:v>0</x:v>
      </x:c>
      <x:c r="F794" s="35" t="n">
        <x:v>38.33</x:v>
      </x:c>
    </x:row>
    <x:row r="795" ht="42" customHeight="1">
      <x:c r="A795" s="12" t="str">
        <x:v>https://kozhaclinic.ru/apparatnaya-kosmetologiya/igolchatyy-rf-lifting-na-morpheus-8/</x:v>
      </x:c>
      <x:c r="B795" s="12" t="str">
        <x:v>rf лифтинг inmode morpheus</x:v>
      </x:c>
      <x:c r="C795" s="30" t="n">
        <x:v>0</x:v>
      </x:c>
      <x:c r="D795" s="30" t="n">
        <x:v>3</x:v>
      </x:c>
      <x:c r="E795" s="32" t="n">
        <x:f>IF(D795&gt;0,C795/D795,"")</x:f>
        <x:v>0</x:v>
      </x:c>
      <x:c r="F795" s="34" t="n">
        <x:v>39.67</x:v>
      </x:c>
    </x:row>
    <x:row r="796" ht="42" customHeight="1">
      <x:c r="A796" s="14" t="str">
        <x:v>https://kozhaclinic.ru/apparatnaya-kosmetologiya/igolchatyy-rf-lifting-na-morpheus-8/</x:v>
      </x:c>
      <x:c r="B796" s="14" t="str">
        <x:v>рф лифтинг морфеус 8</x:v>
      </x:c>
      <x:c r="C796" s="31" t="n">
        <x:v>0</x:v>
      </x:c>
      <x:c r="D796" s="31" t="n">
        <x:v>3</x:v>
      </x:c>
      <x:c r="E796" s="33" t="n">
        <x:f>IF(D796&gt;0,C796/D796,"")</x:f>
        <x:v>0</x:v>
      </x:c>
      <x:c r="F796" s="35" t="n">
        <x:v>40.33</x:v>
      </x:c>
    </x:row>
    <x:row r="797" ht="42" customHeight="1">
      <x:c r="A797" s="12" t="str">
        <x:v>https://kozhaclinic.ru/apparatnaya-kosmetologiya/igolchatyy-rf-lifting-na-morpheus-8/</x:v>
      </x:c>
      <x:c r="B797" s="12" t="str">
        <x:v>rf лифтинг шеи сургут</x:v>
      </x:c>
      <x:c r="C797" s="30" t="n">
        <x:v>0</x:v>
      </x:c>
      <x:c r="D797" s="30" t="n">
        <x:v>2</x:v>
      </x:c>
      <x:c r="E797" s="32" t="n">
        <x:f>IF(D797&gt;0,C797/D797,"")</x:f>
        <x:v>0</x:v>
      </x:c>
      <x:c r="F797" s="34" t="n">
        <x:v>2</x:v>
      </x:c>
    </x:row>
    <x:row r="798" ht="42" customHeight="1">
      <x:c r="A798" s="14" t="str">
        <x:v>https://kozhaclinic.ru/apparatnaya-kosmetologiya/igolchatyy-rf-lifting-na-morpheus-8/</x:v>
      </x:c>
      <x:c r="B798" s="14" t="str">
        <x:v>рф лифтинг лица сургут</x:v>
      </x:c>
      <x:c r="C798" s="31" t="n">
        <x:v>0</x:v>
      </x:c>
      <x:c r="D798" s="31" t="n">
        <x:v>2</x:v>
      </x:c>
      <x:c r="E798" s="33" t="n">
        <x:f>IF(D798&gt;0,C798/D798,"")</x:f>
        <x:v>0</x:v>
      </x:c>
      <x:c r="F798" s="35" t="n">
        <x:v>5</x:v>
      </x:c>
    </x:row>
    <x:row r="799" ht="42" customHeight="1">
      <x:c r="A799" s="12" t="str">
        <x:v>https://kozhaclinic.ru/apparatnaya-kosmetologiya/igolchatyy-rf-lifting-na-morpheus-8/</x:v>
      </x:c>
      <x:c r="B799" s="12" t="str">
        <x:v>сургут</x:v>
      </x:c>
      <x:c r="C799" s="30" t="n">
        <x:v>0</x:v>
      </x:c>
      <x:c r="D799" s="30" t="n">
        <x:v>2</x:v>
      </x:c>
      <x:c r="E799" s="32" t="n">
        <x:f>IF(D799&gt;0,C799/D799,"")</x:f>
        <x:v>0</x:v>
      </x:c>
      <x:c r="F799" s="34" t="n">
        <x:v>5</x:v>
      </x:c>
    </x:row>
    <x:row r="800" ht="42" customHeight="1">
      <x:c r="A800" s="14" t="str">
        <x:v>https://kozhaclinic.ru/apparatnaya-kosmetologiya/igolchatyy-rf-lifting-na-morpheus-8/</x:v>
      </x:c>
      <x:c r="B800" s="14" t="str">
        <x:v>morpheus</x:v>
      </x:c>
      <x:c r="C800" s="31" t="n">
        <x:v>0</x:v>
      </x:c>
      <x:c r="D800" s="31" t="n">
        <x:v>2</x:v>
      </x:c>
      <x:c r="E800" s="33" t="n">
        <x:f>IF(D800&gt;0,C800/D800,"")</x:f>
        <x:v>0</x:v>
      </x:c>
      <x:c r="F800" s="35" t="n">
        <x:v>7.5</x:v>
      </x:c>
    </x:row>
    <x:row r="801" ht="42" customHeight="1">
      <x:c r="A801" s="12" t="str">
        <x:v>https://kozhaclinic.ru/apparatnaya-kosmetologiya/igolchatyy-rf-lifting-na-morpheus-8/</x:v>
      </x:c>
      <x:c r="B801" s="12" t="str">
        <x:v>аппаратный лифтинг сургут</x:v>
      </x:c>
      <x:c r="C801" s="30" t="n">
        <x:v>0</x:v>
      </x:c>
      <x:c r="D801" s="30" t="n">
        <x:v>2</x:v>
      </x:c>
      <x:c r="E801" s="32" t="n">
        <x:f>IF(D801&gt;0,C801/D801,"")</x:f>
        <x:v>0</x:v>
      </x:c>
      <x:c r="F801" s="34" t="n">
        <x:v>8</x:v>
      </x:c>
    </x:row>
    <x:row r="802" ht="42" customHeight="1">
      <x:c r="A802" s="14" t="str">
        <x:v>https://kozhaclinic.ru/apparatnaya-kosmetologiya/igolchatyy-rf-lifting-na-morpheus-8/</x:v>
      </x:c>
      <x:c r="B802" s="14" t="str">
        <x:v>игольчатый рф morpheus 8</x:v>
      </x:c>
      <x:c r="C802" s="31" t="n">
        <x:v>0</x:v>
      </x:c>
      <x:c r="D802" s="31" t="n">
        <x:v>2</x:v>
      </x:c>
      <x:c r="E802" s="33" t="n">
        <x:f>IF(D802&gt;0,C802/D802,"")</x:f>
        <x:v>0</x:v>
      </x:c>
      <x:c r="F802" s="35" t="n">
        <x:v>10.5</x:v>
      </x:c>
    </x:row>
    <x:row r="803" ht="42" customHeight="1">
      <x:c r="A803" s="12" t="str">
        <x:v>https://kozhaclinic.ru/apparatnaya-kosmetologiya/igolchatyy-rf-lifting-na-morpheus-8/</x:v>
      </x:c>
      <x:c r="B803" s="12" t="str">
        <x:v>игольчатый рф морфеус</x:v>
      </x:c>
      <x:c r="C803" s="30" t="n">
        <x:v>0</x:v>
      </x:c>
      <x:c r="D803" s="30" t="n">
        <x:v>2</x:v>
      </x:c>
      <x:c r="E803" s="32" t="n">
        <x:f>IF(D803&gt;0,C803/D803,"")</x:f>
        <x:v>0</x:v>
      </x:c>
      <x:c r="F803" s="34" t="n">
        <x:v>12</x:v>
      </x:c>
    </x:row>
    <x:row r="804" ht="42" customHeight="1">
      <x:c r="A804" s="14" t="str">
        <x:v>https://kozhaclinic.ru/apparatnaya-kosmetologiya/igolchatyy-rf-lifting-na-morpheus-8/</x:v>
      </x:c>
      <x:c r="B804" s="14" t="str">
        <x:v>rf лифтинг morpheus8</x:v>
      </x:c>
      <x:c r="C804" s="31" t="n">
        <x:v>0</x:v>
      </x:c>
      <x:c r="D804" s="31" t="n">
        <x:v>2</x:v>
      </x:c>
      <x:c r="E804" s="33" t="n">
        <x:f>IF(D804&gt;0,C804/D804,"")</x:f>
        <x:v>0</x:v>
      </x:c>
      <x:c r="F804" s="35" t="n">
        <x:v>19.5</x:v>
      </x:c>
    </x:row>
    <x:row r="805" ht="42" customHeight="1">
      <x:c r="A805" s="12" t="str">
        <x:v>https://kozhaclinic.ru/apparatnaya-kosmetologiya/igolchatyy-rf-lifting-na-morpheus-8/</x:v>
      </x:c>
      <x:c r="B805" s="12" t="str">
        <x:v>аппарат morpheus 8</x:v>
      </x:c>
      <x:c r="C805" s="30" t="n">
        <x:v>0</x:v>
      </x:c>
      <x:c r="D805" s="30" t="n">
        <x:v>2</x:v>
      </x:c>
      <x:c r="E805" s="32" t="n">
        <x:f>IF(D805&gt;0,C805/D805,"")</x:f>
        <x:v>0</x:v>
      </x:c>
      <x:c r="F805" s="34" t="n">
        <x:v>19.5</x:v>
      </x:c>
    </x:row>
    <x:row r="806" ht="42" customHeight="1">
      <x:c r="A806" s="14" t="str">
        <x:v>https://kozhaclinic.ru/apparatnaya-kosmetologiya/igolchatyy-rf-lifting-na-morpheus-8/</x:v>
      </x:c>
      <x:c r="B806" s="14" t="str">
        <x:v>rf лифтинг морфиус 8</x:v>
      </x:c>
      <x:c r="C806" s="31" t="n">
        <x:v>0</x:v>
      </x:c>
      <x:c r="D806" s="31" t="n">
        <x:v>2</x:v>
      </x:c>
      <x:c r="E806" s="33" t="n">
        <x:f>IF(D806&gt;0,C806/D806,"")</x:f>
        <x:v>0</x:v>
      </x:c>
      <x:c r="F806" s="35" t="n">
        <x:v>28.5</x:v>
      </x:c>
    </x:row>
    <x:row r="807" ht="42" customHeight="1">
      <x:c r="A807" s="12" t="str">
        <x:v>https://kozhaclinic.ru/apparatnaya-kosmetologiya/igolchatyy-rf-lifting-na-morpheus-8/</x:v>
      </x:c>
      <x:c r="B807" s="12" t="str">
        <x:v>rf morpheus 8 москва</x:v>
      </x:c>
      <x:c r="C807" s="30" t="n">
        <x:v>0</x:v>
      </x:c>
      <x:c r="D807" s="30" t="n">
        <x:v>2</x:v>
      </x:c>
      <x:c r="E807" s="32" t="n">
        <x:f>IF(D807&gt;0,C807/D807,"")</x:f>
        <x:v>0</x:v>
      </x:c>
      <x:c r="F807" s="34" t="n">
        <x:v>41</x:v>
      </x:c>
    </x:row>
    <x:row r="808" ht="42" customHeight="1">
      <x:c r="A808" s="14" t="str">
        <x:v>https://kozhaclinic.ru/apparatnaya-kosmetologiya/igolchatyy-rf-lifting-na-morpheus-8/</x:v>
      </x:c>
      <x:c r="B808" s="14" t="str">
        <x:v>морфеус процедура для лица цена</x:v>
      </x:c>
      <x:c r="C808" s="31" t="n">
        <x:v>0</x:v>
      </x:c>
      <x:c r="D808" s="31" t="n">
        <x:v>2</x:v>
      </x:c>
      <x:c r="E808" s="33" t="n">
        <x:f>IF(D808&gt;0,C808/D808,"")</x:f>
        <x:v>0</x:v>
      </x:c>
      <x:c r="F808" s="35" t="n">
        <x:v>41</x:v>
      </x:c>
    </x:row>
    <x:row r="809" ht="42" customHeight="1">
      <x:c r="A809" s="12" t="str">
        <x:v>https://kozhaclinic.ru/apparatnaya-kosmetologiya/igolchatyy-rf-lifting-na-morpheus-8/</x:v>
      </x:c>
      <x:c r="B809" s="12" t="str">
        <x:v>морфеус микроигольчатый лифтинг</x:v>
      </x:c>
      <x:c r="C809" s="30" t="n">
        <x:v>0</x:v>
      </x:c>
      <x:c r="D809" s="30" t="n">
        <x:v>2</x:v>
      </x:c>
      <x:c r="E809" s="32" t="n">
        <x:f>IF(D809&gt;0,C809/D809,"")</x:f>
        <x:v>0</x:v>
      </x:c>
      <x:c r="F809" s="34" t="n">
        <x:v>43.5</x:v>
      </x:c>
    </x:row>
    <x:row r="810" ht="42" customHeight="1">
      <x:c r="A810" s="14" t="str">
        <x:v>https://kozhaclinic.ru/apparatnaya-kosmetologiya/igolchatyy-rf-lifting-na-morpheus-8/</x:v>
      </x:c>
      <x:c r="B810" s="14" t="str">
        <x:v>морфеус для лица цена</x:v>
      </x:c>
      <x:c r="C810" s="31" t="n">
        <x:v>0</x:v>
      </x:c>
      <x:c r="D810" s="31" t="n">
        <x:v>2</x:v>
      </x:c>
      <x:c r="E810" s="33" t="n">
        <x:f>IF(D810&gt;0,C810/D810,"")</x:f>
        <x:v>0</x:v>
      </x:c>
      <x:c r="F810" s="35" t="n">
        <x:v>45</x:v>
      </x:c>
    </x:row>
    <x:row r="811" ht="42" customHeight="1">
      <x:c r="A811" s="12" t="str">
        <x:v>https://kozhaclinic.ru/apparatnaya-kosmetologiya/igolchatyy-rf-lifting-na-morpheus-8/</x:v>
      </x:c>
      <x:c r="B811" s="12" t="str">
        <x:v>rf лифтинг морфеус</x:v>
      </x:c>
      <x:c r="C811" s="30" t="n">
        <x:v>0</x:v>
      </x:c>
      <x:c r="D811" s="30" t="n">
        <x:v>2</x:v>
      </x:c>
      <x:c r="E811" s="32" t="n">
        <x:f>IF(D811&gt;0,C811/D811,"")</x:f>
        <x:v>0</x:v>
      </x:c>
      <x:c r="F811" s="34" t="n">
        <x:v>47</x:v>
      </x:c>
    </x:row>
    <x:row r="812" ht="42" customHeight="1">
      <x:c r="A812" s="14" t="str">
        <x:v>https://kozhaclinic.ru/apparatnaya-kosmetologiya/igolchatyy-rf-lifting-na-morpheus-8/</x:v>
      </x:c>
      <x:c r="B812" s="14" t="str">
        <x:v>morpheus 8 живот</x:v>
      </x:c>
      <x:c r="C812" s="31" t="n">
        <x:v>0</x:v>
      </x:c>
      <x:c r="D812" s="31" t="n">
        <x:v>2</x:v>
      </x:c>
      <x:c r="E812" s="33" t="n">
        <x:f>IF(D812&gt;0,C812/D812,"")</x:f>
        <x:v>0</x:v>
      </x:c>
      <x:c r="F812" s="35" t="n">
        <x:v>48</x:v>
      </x:c>
    </x:row>
    <x:row r="813" ht="42" customHeight="1">
      <x:c r="A813" s="12" t="str">
        <x:v>https://kozhaclinic.ru/apparatnaya-kosmetologiya/igolchatyy-rf-lifting-na-morpheus-8/</x:v>
      </x:c>
      <x:c r="B813" s="12" t="str">
        <x:v>микроигольчатый rf лифтинг morpheus 8</x:v>
      </x:c>
      <x:c r="C813" s="30" t="n">
        <x:v>0</x:v>
      </x:c>
      <x:c r="D813" s="30" t="n">
        <x:v>2</x:v>
      </x:c>
      <x:c r="E813" s="32" t="n">
        <x:f>IF(D813&gt;0,C813/D813,"")</x:f>
        <x:v>0</x:v>
      </x:c>
      <x:c r="F813" s="34" t="n">
        <x:v>48</x:v>
      </x:c>
    </x:row>
    <x:row r="814" ht="42" customHeight="1">
      <x:c r="A814" s="14" t="str">
        <x:v>https://kozhaclinic.ru/apparatnaya-kosmetologiya/igolchatyy-rf-lifting-na-morpheus-8/</x:v>
      </x:c>
      <x:c r="B814" s="14" t="str">
        <x:v>rf morpheus 8</x:v>
      </x:c>
      <x:c r="C814" s="31" t="n">
        <x:v>0</x:v>
      </x:c>
      <x:c r="D814" s="31" t="n">
        <x:v>2</x:v>
      </x:c>
      <x:c r="E814" s="33" t="n">
        <x:f>IF(D814&gt;0,C814/D814,"")</x:f>
        <x:v>0</x:v>
      </x:c>
      <x:c r="F814" s="35" t="n">
        <x:v>56.5</x:v>
      </x:c>
    </x:row>
    <x:row r="815" ht="42" customHeight="1">
      <x:c r="A815" s="12" t="str">
        <x:v>https://kozhaclinic.ru/apparatnaya-kosmetologiya/igolchatyy-rf-lifting-na-morpheus-8/</x:v>
      </x:c>
      <x:c r="B815" s="12" t="str">
        <x:v>morpheus 8 стоимость процедуры</x:v>
      </x:c>
      <x:c r="C815" s="30" t="n">
        <x:v>0</x:v>
      </x:c>
      <x:c r="D815" s="30" t="n">
        <x:v>1</x:v>
      </x:c>
      <x:c r="E815" s="32" t="n">
        <x:f>IF(D815&gt;0,C815/D815,"")</x:f>
        <x:v>0</x:v>
      </x:c>
      <x:c r="F815" s="34" t="n">
        <x:v>1</x:v>
      </x:c>
    </x:row>
    <x:row r="816" ht="42" customHeight="1">
      <x:c r="A816" s="14" t="str">
        <x:v>https://kozhaclinic.ru/apparatnaya-kosmetologiya/igolchatyy-rf-lifting-na-morpheus-8/</x:v>
      </x:c>
      <x:c r="B816" s="14" t="str">
        <x:v>morpheus8</x:v>
      </x:c>
      <x:c r="C816" s="31" t="n">
        <x:v>0</x:v>
      </x:c>
      <x:c r="D816" s="31" t="n">
        <x:v>1</x:v>
      </x:c>
      <x:c r="E816" s="33" t="n">
        <x:f>IF(D816&gt;0,C816/D816,"")</x:f>
        <x:v>0</x:v>
      </x:c>
      <x:c r="F816" s="35" t="n">
        <x:v>1</x:v>
      </x:c>
    </x:row>
    <x:row r="817" ht="42" customHeight="1">
      <x:c r="A817" s="12" t="str">
        <x:v>https://kozhaclinic.ru/apparatnaya-kosmetologiya/igolchatyy-rf-lifting-na-morpheus-8/</x:v>
      </x:c>
      <x:c r="B817" s="12" t="str">
        <x:v>игольчатый рф лифтинг живота цена</x:v>
      </x:c>
      <x:c r="C817" s="30" t="n">
        <x:v>0</x:v>
      </x:c>
      <x:c r="D817" s="30" t="n">
        <x:v>1</x:v>
      </x:c>
      <x:c r="E817" s="32" t="n">
        <x:f>IF(D817&gt;0,C817/D817,"")</x:f>
        <x:v>0</x:v>
      </x:c>
      <x:c r="F817" s="34" t="n">
        <x:v>1</x:v>
      </x:c>
    </x:row>
    <x:row r="818" ht="42" customHeight="1">
      <x:c r="A818" s="14" t="str">
        <x:v>https://kozhaclinic.ru/apparatnaya-kosmetologiya/igolchatyy-rf-lifting-na-morpheus-8/</x:v>
      </x:c>
      <x:c r="B818" s="14" t="str">
        <x:v>игольчатый рф лифтинг сколько стоит</x:v>
      </x:c>
      <x:c r="C818" s="31" t="n">
        <x:v>0</x:v>
      </x:c>
      <x:c r="D818" s="31" t="n">
        <x:v>1</x:v>
      </x:c>
      <x:c r="E818" s="33" t="n">
        <x:f>IF(D818&gt;0,C818/D818,"")</x:f>
        <x:v>0</x:v>
      </x:c>
      <x:c r="F818" s="35" t="n">
        <x:v>1</x:v>
      </x:c>
    </x:row>
    <x:row r="819" ht="42" customHeight="1">
      <x:c r="A819" s="12" t="str">
        <x:v>https://kozhaclinic.ru/apparatnaya-kosmetologiya/igolchatyy-rf-lifting-na-morpheus-8/</x:v>
      </x:c>
      <x:c r="B819" s="12" t="str">
        <x:v>игольчатый рф лифтинг стоимость</x:v>
      </x:c>
      <x:c r="C819" s="30" t="n">
        <x:v>0</x:v>
      </x:c>
      <x:c r="D819" s="30" t="n">
        <x:v>1</x:v>
      </x:c>
      <x:c r="E819" s="32" t="n">
        <x:f>IF(D819&gt;0,C819/D819,"")</x:f>
        <x:v>0</x:v>
      </x:c>
      <x:c r="F819" s="34" t="n">
        <x:v>1</x:v>
      </x:c>
    </x:row>
    <x:row r="820" ht="42" customHeight="1">
      <x:c r="A820" s="14" t="str">
        <x:v>https://kozhaclinic.ru/apparatnaya-kosmetologiya/igolchatyy-rf-lifting-na-morpheus-8/</x:v>
      </x:c>
      <x:c r="B820" s="14" t="str">
        <x:v>морфеус 8 цена</x:v>
      </x:c>
      <x:c r="C820" s="31" t="n">
        <x:v>0</x:v>
      </x:c>
      <x:c r="D820" s="31" t="n">
        <x:v>1</x:v>
      </x:c>
      <x:c r="E820" s="33" t="n">
        <x:f>IF(D820&gt;0,C820/D820,"")</x:f>
        <x:v>0</x:v>
      </x:c>
      <x:c r="F820" s="35" t="n">
        <x:v>1</x:v>
      </x:c>
    </x:row>
    <x:row r="821" ht="42" customHeight="1">
      <x:c r="A821" s="12" t="str">
        <x:v>https://kozhaclinic.ru/apparatnaya-kosmetologiya/igolchatyy-rf-lifting-na-morpheus-8/</x:v>
      </x:c>
      <x:c r="B821" s="12" t="str">
        <x:v>сколько стоит</x:v>
      </x:c>
      <x:c r="C821" s="30" t="n">
        <x:v>0</x:v>
      </x:c>
      <x:c r="D821" s="30" t="n">
        <x:v>1</x:v>
      </x:c>
      <x:c r="E821" s="32" t="n">
        <x:f>IF(D821&gt;0,C821/D821,"")</x:f>
        <x:v>0</x:v>
      </x:c>
      <x:c r="F821" s="34" t="n">
        <x:v>1</x:v>
      </x:c>
    </x:row>
    <x:row r="822" ht="42" customHeight="1">
      <x:c r="A822" s="14" t="str">
        <x:v>https://kozhaclinic.ru/apparatnaya-kosmetologiya/igolchatyy-rf-lifting-na-morpheus-8/</x:v>
      </x:c>
      <x:c r="B822" s="14" t="str">
        <x:v>цена?</x:v>
      </x:c>
      <x:c r="C822" s="31" t="n">
        <x:v>0</x:v>
      </x:c>
      <x:c r="D822" s="31" t="n">
        <x:v>1</x:v>
      </x:c>
      <x:c r="E822" s="33" t="n">
        <x:f>IF(D822&gt;0,C822/D822,"")</x:f>
        <x:v>0</x:v>
      </x:c>
      <x:c r="F822" s="35" t="n">
        <x:v>1</x:v>
      </x:c>
    </x:row>
    <x:row r="823" ht="42" customHeight="1">
      <x:c r="A823" s="12" t="str">
        <x:v>https://kozhaclinic.ru/apparatnaya-kosmetologiya/igolchatyy-rf-lifting-na-morpheus-8/</x:v>
      </x:c>
      <x:c r="B823" s="12" t="str">
        <x:v>пассивная</x:v>
      </x:c>
      <x:c r="C823" s="30" t="n">
        <x:v>0</x:v>
      </x:c>
      <x:c r="D823" s="30" t="n">
        <x:v>1</x:v>
      </x:c>
      <x:c r="E823" s="32" t="n">
        <x:f>IF(D823&gt;0,C823/D823,"")</x:f>
        <x:v>0</x:v>
      </x:c>
      <x:c r="F823" s="34" t="n">
        <x:v>2</x:v>
      </x:c>
    </x:row>
    <x:row r="824" ht="42" customHeight="1">
      <x:c r="A824" s="14" t="str">
        <x:v>https://kozhaclinic.ru/apparatnaya-kosmetologiya/igolchatyy-rf-lifting-na-morpheus-8/</x:v>
      </x:c>
      <x:c r="B824" s="14" t="str">
        <x:v>примерная стоимость</x:v>
      </x:c>
      <x:c r="C824" s="31" t="n">
        <x:v>0</x:v>
      </x:c>
      <x:c r="D824" s="31" t="n">
        <x:v>1</x:v>
      </x:c>
      <x:c r="E824" s="33" t="n">
        <x:f>IF(D824&gt;0,C824/D824,"")</x:f>
        <x:v>0</x:v>
      </x:c>
      <x:c r="F824" s="35" t="n">
        <x:v>3</x:v>
      </x:c>
    </x:row>
    <x:row r="825" ht="42" customHeight="1">
      <x:c r="A825" s="12" t="str">
        <x:v>https://kozhaclinic.ru/apparatnaya-kosmetologiya/igolchatyy-rf-lifting-na-morpheus-8/</x:v>
      </x:c>
      <x:c r="B825" s="12" t="str">
        <x:v>да давай</x:v>
      </x:c>
      <x:c r="C825" s="30" t="n">
        <x:v>0</x:v>
      </x:c>
      <x:c r="D825" s="30" t="n">
        <x:v>1</x:v>
      </x:c>
      <x:c r="E825" s="32" t="n">
        <x:f>IF(D825&gt;0,C825/D825,"")</x:f>
        <x:v>0</x:v>
      </x:c>
      <x:c r="F825" s="34" t="n">
        <x:v>4</x:v>
      </x:c>
    </x:row>
    <x:row r="826" ht="42" customHeight="1">
      <x:c r="A826" s="14" t="str">
        <x:v>https://kozhaclinic.ru/apparatnaya-kosmetologiya/igolchatyy-rf-lifting-na-morpheus-8/</x:v>
      </x:c>
      <x:c r="B826" s="14" t="str">
        <x:v>стоимость игольчатого рф лифтинга</x:v>
      </x:c>
      <x:c r="C826" s="31" t="n">
        <x:v>0</x:v>
      </x:c>
      <x:c r="D826" s="31" t="n">
        <x:v>1</x:v>
      </x:c>
      <x:c r="E826" s="33" t="n">
        <x:f>IF(D826&gt;0,C826/D826,"")</x:f>
        <x:v>0</x:v>
      </x:c>
      <x:c r="F826" s="35" t="n">
        <x:v>4</x:v>
      </x:c>
    </x:row>
    <x:row r="827" ht="42" customHeight="1">
      <x:c r="A827" s="12" t="str">
        <x:v>https://kozhaclinic.ru/apparatnaya-kosmetologiya/igolchatyy-rf-lifting-na-morpheus-8/</x:v>
      </x:c>
      <x:c r="B827" s="12" t="str">
        <x:v>игольчатый рф лифтинг цена</x:v>
      </x:c>
      <x:c r="C827" s="30" t="n">
        <x:v>0</x:v>
      </x:c>
      <x:c r="D827" s="30" t="n">
        <x:v>1</x:v>
      </x:c>
      <x:c r="E827" s="32" t="n">
        <x:f>IF(D827&gt;0,C827/D827,"")</x:f>
        <x:v>0</x:v>
      </x:c>
      <x:c r="F827" s="34" t="n">
        <x:v>5</x:v>
      </x:c>
    </x:row>
    <x:row r="828" ht="42" customHeight="1">
      <x:c r="A828" s="14" t="str">
        <x:v>https://kozhaclinic.ru/apparatnaya-kosmetologiya/igolchatyy-rf-lifting-na-morpheus-8/</x:v>
      </x:c>
      <x:c r="B828" s="14" t="str">
        <x:v>живот</x:v>
      </x:c>
      <x:c r="C828" s="31" t="n">
        <x:v>0</x:v>
      </x:c>
      <x:c r="D828" s="31" t="n">
        <x:v>1</x:v>
      </x:c>
      <x:c r="E828" s="33" t="n">
        <x:f>IF(D828&gt;0,C828/D828,"")</x:f>
        <x:v>0</x:v>
      </x:c>
      <x:c r="F828" s="35" t="n">
        <x:v>6</x:v>
      </x:c>
    </x:row>
    <x:row r="829" ht="42" customHeight="1">
      <x:c r="A829" s="12" t="str">
        <x:v>https://kozhaclinic.ru/apparatnaya-kosmetologiya/igolchatyy-rf-lifting-na-morpheus-8/</x:v>
      </x:c>
      <x:c r="B829" s="12" t="str">
        <x:v>игольчатый рф</x:v>
      </x:c>
      <x:c r="C829" s="30" t="n">
        <x:v>0</x:v>
      </x:c>
      <x:c r="D829" s="30" t="n">
        <x:v>1</x:v>
      </x:c>
      <x:c r="E829" s="32" t="n">
        <x:f>IF(D829&gt;0,C829/D829,"")</x:f>
        <x:v>0</x:v>
      </x:c>
      <x:c r="F829" s="34" t="n">
        <x:v>6</x:v>
      </x:c>
    </x:row>
    <x:row r="830" ht="42" customHeight="1">
      <x:c r="A830" s="14" t="str">
        <x:v>https://kozhaclinic.ru/apparatnaya-kosmetologiya/igolchatyy-rf-lifting-na-morpheus-8/</x:v>
      </x:c>
      <x:c r="B830" s="14" t="str">
        <x:v>микроигольчатый лифтинг</x:v>
      </x:c>
      <x:c r="C830" s="31" t="n">
        <x:v>0</x:v>
      </x:c>
      <x:c r="D830" s="31" t="n">
        <x:v>1</x:v>
      </x:c>
      <x:c r="E830" s="33" t="n">
        <x:f>IF(D830&gt;0,C830/D830,"")</x:f>
        <x:v>0</x:v>
      </x:c>
      <x:c r="F830" s="35" t="n">
        <x:v>7</x:v>
      </x:c>
    </x:row>
    <x:row r="831" ht="42" customHeight="1">
      <x:c r="A831" s="12" t="str">
        <x:v>https://kozhaclinic.ru/apparatnaya-kosmetologiya/igolchatyy-rf-lifting-na-morpheus-8/</x:v>
      </x:c>
      <x:c r="B831" s="12" t="str">
        <x:v>цена рф лифтинга</x:v>
      </x:c>
      <x:c r="C831" s="30" t="n">
        <x:v>0</x:v>
      </x:c>
      <x:c r="D831" s="30" t="n">
        <x:v>1</x:v>
      </x:c>
      <x:c r="E831" s="32" t="n">
        <x:f>IF(D831&gt;0,C831/D831,"")</x:f>
        <x:v>0</x:v>
      </x:c>
      <x:c r="F831" s="34" t="n">
        <x:v>7</x:v>
      </x:c>
    </x:row>
    <x:row r="832" ht="42" customHeight="1">
      <x:c r="A832" s="14" t="str">
        <x:v>https://kozhaclinic.ru/apparatnaya-kosmetologiya/igolchatyy-rf-lifting-na-morpheus-8/</x:v>
      </x:c>
      <x:c r="B832" s="14" t="str">
        <x:v>игольчатый рф morpheus</x:v>
      </x:c>
      <x:c r="C832" s="31" t="n">
        <x:v>0</x:v>
      </x:c>
      <x:c r="D832" s="31" t="n">
        <x:v>1</x:v>
      </x:c>
      <x:c r="E832" s="33" t="n">
        <x:f>IF(D832&gt;0,C832/D832,"")</x:f>
        <x:v>0</x:v>
      </x:c>
      <x:c r="F832" s="35" t="n">
        <x:v>8</x:v>
      </x:c>
    </x:row>
    <x:row r="833" ht="42" customHeight="1">
      <x:c r="A833" s="12" t="str">
        <x:v>https://kozhaclinic.ru/apparatnaya-kosmetologiya/igolchatyy-rf-lifting-na-morpheus-8/</x:v>
      </x:c>
      <x:c r="B833" s="12" t="str">
        <x:v>рф лифтинг лица стоимость</x:v>
      </x:c>
      <x:c r="C833" s="30" t="n">
        <x:v>0</x:v>
      </x:c>
      <x:c r="D833" s="30" t="n">
        <x:v>1</x:v>
      </x:c>
      <x:c r="E833" s="32" t="n">
        <x:f>IF(D833&gt;0,C833/D833,"")</x:f>
        <x:v>0</x:v>
      </x:c>
      <x:c r="F833" s="34" t="n">
        <x:v>8</x:v>
      </x:c>
    </x:row>
    <x:row r="834" ht="42" customHeight="1">
      <x:c r="A834" s="14" t="str">
        <x:v>https://kozhaclinic.ru/apparatnaya-kosmetologiya/igolchatyy-rf-lifting-na-morpheus-8/</x:v>
      </x:c>
      <x:c r="B834" s="14" t="str">
        <x:v>морфеус 8 игольчатый лифтинг цена</x:v>
      </x:c>
      <x:c r="C834" s="31" t="n">
        <x:v>0</x:v>
      </x:c>
      <x:c r="D834" s="31" t="n">
        <x:v>1</x:v>
      </x:c>
      <x:c r="E834" s="33" t="n">
        <x:f>IF(D834&gt;0,C834/D834,"")</x:f>
        <x:v>0</x:v>
      </x:c>
      <x:c r="F834" s="35" t="n">
        <x:v>9</x:v>
      </x:c>
    </x:row>
    <x:row r="835" ht="42" customHeight="1">
      <x:c r="A835" s="12" t="str">
        <x:v>https://kozhaclinic.ru/apparatnaya-kosmetologiya/igolchatyy-rf-lifting-na-morpheus-8/</x:v>
      </x:c>
      <x:c r="B835" s="12" t="str">
        <x:v>rf лифтинг 8</x:v>
      </x:c>
      <x:c r="C835" s="30" t="n">
        <x:v>0</x:v>
      </x:c>
      <x:c r="D835" s="30" t="n">
        <x:v>1</x:v>
      </x:c>
      <x:c r="E835" s="32" t="n">
        <x:f>IF(D835&gt;0,C835/D835,"")</x:f>
        <x:v>0</x:v>
      </x:c>
      <x:c r="F835" s="34" t="n">
        <x:v>10</x:v>
      </x:c>
    </x:row>
    <x:row r="836" ht="42" customHeight="1">
      <x:c r="A836" s="14" t="str">
        <x:v>https://kozhaclinic.ru/apparatnaya-kosmetologiya/igolchatyy-rf-lifting-na-morpheus-8/</x:v>
      </x:c>
      <x:c r="B836" s="14" t="str">
        <x:v>rf lifting morpheus 8</x:v>
      </x:c>
      <x:c r="C836" s="31" t="n">
        <x:v>0</x:v>
      </x:c>
      <x:c r="D836" s="31" t="n">
        <x:v>1</x:v>
      </x:c>
      <x:c r="E836" s="33" t="n">
        <x:f>IF(D836&gt;0,C836/D836,"")</x:f>
        <x:v>0</x:v>
      </x:c>
      <x:c r="F836" s="35" t="n">
        <x:v>11</x:v>
      </x:c>
    </x:row>
    <x:row r="837" ht="42" customHeight="1">
      <x:c r="A837" s="12" t="str">
        <x:v>https://kozhaclinic.ru/apparatnaya-kosmetologiya/igolchatyy-rf-lifting-na-morpheus-8/</x:v>
      </x:c>
      <x:c r="B837" s="12" t="str">
        <x:v>игольчатый лифтинг морфеус</x:v>
      </x:c>
      <x:c r="C837" s="30" t="n">
        <x:v>0</x:v>
      </x:c>
      <x:c r="D837" s="30" t="n">
        <x:v>1</x:v>
      </x:c>
      <x:c r="E837" s="32" t="n">
        <x:f>IF(D837&gt;0,C837/D837,"")</x:f>
        <x:v>0</x:v>
      </x:c>
      <x:c r="F837" s="34" t="n">
        <x:v>11</x:v>
      </x:c>
    </x:row>
    <x:row r="838" ht="42" customHeight="1">
      <x:c r="A838" s="14" t="str">
        <x:v>https://kozhaclinic.ru/apparatnaya-kosmetologiya/igolchatyy-rf-lifting-na-morpheus-8/</x:v>
      </x:c>
      <x:c r="B838" s="14" t="str">
        <x:v>морфиус игольчатый</x:v>
      </x:c>
      <x:c r="C838" s="31" t="n">
        <x:v>0</x:v>
      </x:c>
      <x:c r="D838" s="31" t="n">
        <x:v>1</x:v>
      </x:c>
      <x:c r="E838" s="33" t="n">
        <x:f>IF(D838&gt;0,C838/D838,"")</x:f>
        <x:v>0</x:v>
      </x:c>
      <x:c r="F838" s="35" t="n">
        <x:v>11</x:v>
      </x:c>
    </x:row>
    <x:row r="839" ht="42" customHeight="1">
      <x:c r="A839" s="12" t="str">
        <x:v>https://kozhaclinic.ru/apparatnaya-kosmetologiya/igolchatyy-rf-lifting-na-morpheus-8/</x:v>
      </x:c>
      <x:c r="B839" s="12" t="str">
        <x:v>рф лифтинг лица морфеус 8</x:v>
      </x:c>
      <x:c r="C839" s="30" t="n">
        <x:v>0</x:v>
      </x:c>
      <x:c r="D839" s="30" t="n">
        <x:v>1</x:v>
      </x:c>
      <x:c r="E839" s="32" t="n">
        <x:f>IF(D839&gt;0,C839/D839,"")</x:f>
        <x:v>0</x:v>
      </x:c>
      <x:c r="F839" s="34" t="n">
        <x:v>15</x:v>
      </x:c>
    </x:row>
    <x:row r="840" ht="42" customHeight="1">
      <x:c r="A840" s="14" t="str">
        <x:v>https://kozhaclinic.ru/apparatnaya-kosmetologiya/igolchatyy-rf-lifting-na-morpheus-8/</x:v>
      </x:c>
      <x:c r="B840" s="14" t="str">
        <x:v>рф лифтинг морфиус</x:v>
      </x:c>
      <x:c r="C840" s="31" t="n">
        <x:v>0</x:v>
      </x:c>
      <x:c r="D840" s="31" t="n">
        <x:v>1</x:v>
      </x:c>
      <x:c r="E840" s="33" t="n">
        <x:f>IF(D840&gt;0,C840/D840,"")</x:f>
        <x:v>0</x:v>
      </x:c>
      <x:c r="F840" s="35" t="n">
        <x:v>19</x:v>
      </x:c>
    </x:row>
    <x:row r="841" ht="42" customHeight="1">
      <x:c r="A841" s="12" t="str">
        <x:v>https://kozhaclinic.ru/apparatnaya-kosmetologiya/igolchatyy-rf-lifting-na-morpheus-8/</x:v>
      </x:c>
      <x:c r="B841" s="12" t="str">
        <x:v>rf лифтинг морфеус 8</x:v>
      </x:c>
      <x:c r="C841" s="30" t="n">
        <x:v>0</x:v>
      </x:c>
      <x:c r="D841" s="30" t="n">
        <x:v>1</x:v>
      </x:c>
      <x:c r="E841" s="32" t="n">
        <x:f>IF(D841&gt;0,C841/D841,"")</x:f>
        <x:v>0</x:v>
      </x:c>
      <x:c r="F841" s="34" t="n">
        <x:v>20</x:v>
      </x:c>
    </x:row>
    <x:row r="842" ht="42" customHeight="1">
      <x:c r="A842" s="14" t="str">
        <x:v>https://kozhaclinic.ru/apparatnaya-kosmetologiya/igolchatyy-rf-lifting-na-morpheus-8/</x:v>
      </x:c>
      <x:c r="B842" s="14" t="str">
        <x:v>микроигольчатый рф лифтинг морфеус 8</x:v>
      </x:c>
      <x:c r="C842" s="31" t="n">
        <x:v>0</x:v>
      </x:c>
      <x:c r="D842" s="31" t="n">
        <x:v>1</x:v>
      </x:c>
      <x:c r="E842" s="33" t="n">
        <x:f>IF(D842&gt;0,C842/D842,"")</x:f>
        <x:v>0</x:v>
      </x:c>
      <x:c r="F842" s="35" t="n">
        <x:v>21</x:v>
      </x:c>
    </x:row>
    <x:row r="843" ht="42" customHeight="1">
      <x:c r="A843" s="12" t="str">
        <x:v>https://kozhaclinic.ru/apparatnaya-kosmetologiya/igolchatyy-rf-lifting-na-morpheus-8/</x:v>
      </x:c>
      <x:c r="B843" s="12" t="str">
        <x:v>морфеус 8 аппарат лифтинг</x:v>
      </x:c>
      <x:c r="C843" s="30" t="n">
        <x:v>0</x:v>
      </x:c>
      <x:c r="D843" s="30" t="n">
        <x:v>1</x:v>
      </x:c>
      <x:c r="E843" s="32" t="n">
        <x:f>IF(D843&gt;0,C843/D843,"")</x:f>
        <x:v>0</x:v>
      </x:c>
      <x:c r="F843" s="34" t="n">
        <x:v>21</x:v>
      </x:c>
    </x:row>
    <x:row r="844" ht="42" customHeight="1">
      <x:c r="A844" s="14" t="str">
        <x:v>https://kozhaclinic.ru/apparatnaya-kosmetologiya/igolchatyy-rf-lifting-na-morpheus-8/</x:v>
      </x:c>
      <x:c r="B844" s="14" t="str">
        <x:v>морфеус игольчатый рф лифтинг</x:v>
      </x:c>
      <x:c r="C844" s="31" t="n">
        <x:v>0</x:v>
      </x:c>
      <x:c r="D844" s="31" t="n">
        <x:v>1</x:v>
      </x:c>
      <x:c r="E844" s="33" t="n">
        <x:f>IF(D844&gt;0,C844/D844,"")</x:f>
        <x:v>0</x:v>
      </x:c>
      <x:c r="F844" s="35" t="n">
        <x:v>22</x:v>
      </x:c>
    </x:row>
    <x:row r="845" ht="42" customHeight="1">
      <x:c r="A845" s="12" t="str">
        <x:v>https://kozhaclinic.ru/apparatnaya-kosmetologiya/igolchatyy-rf-lifting-na-morpheus-8/</x:v>
      </x:c>
      <x:c r="B845" s="12" t="str">
        <x:v>морфеус 8 рф лифтинг</x:v>
      </x:c>
      <x:c r="C845" s="30" t="n">
        <x:v>0</x:v>
      </x:c>
      <x:c r="D845" s="30" t="n">
        <x:v>1</x:v>
      </x:c>
      <x:c r="E845" s="32" t="n">
        <x:f>IF(D845&gt;0,C845/D845,"")</x:f>
        <x:v>0</x:v>
      </x:c>
      <x:c r="F845" s="34" t="n">
        <x:v>23</x:v>
      </x:c>
    </x:row>
    <x:row r="846" ht="42" customHeight="1">
      <x:c r="A846" s="14" t="str">
        <x:v>https://kozhaclinic.ru/apparatnaya-kosmetologiya/igolchatyy-rf-lifting-na-morpheus-8/</x:v>
      </x:c>
      <x:c r="B846" s="14" t="str">
        <x:v>микроигольчатый rf лифтинг morpheus8</x:v>
      </x:c>
      <x:c r="C846" s="31" t="n">
        <x:v>0</x:v>
      </x:c>
      <x:c r="D846" s="31" t="n">
        <x:v>1</x:v>
      </x:c>
      <x:c r="E846" s="33" t="n">
        <x:f>IF(D846&gt;0,C846/D846,"")</x:f>
        <x:v>0</x:v>
      </x:c>
      <x:c r="F846" s="35" t="n">
        <x:v>26</x:v>
      </x:c>
    </x:row>
    <x:row r="847" ht="42" customHeight="1">
      <x:c r="A847" s="12" t="str">
        <x:v>https://kozhaclinic.ru/apparatnaya-kosmetologiya/igolchatyy-rf-lifting-na-morpheus-8/</x:v>
      </x:c>
      <x:c r="B847" s="12" t="str">
        <x:v>morpheus 8 москва цена</x:v>
      </x:c>
      <x:c r="C847" s="30" t="n">
        <x:v>0</x:v>
      </x:c>
      <x:c r="D847" s="30" t="n">
        <x:v>1</x:v>
      </x:c>
      <x:c r="E847" s="32" t="n">
        <x:f>IF(D847&gt;0,C847/D847,"")</x:f>
        <x:v>0</x:v>
      </x:c>
      <x:c r="F847" s="34" t="n">
        <x:v>27</x:v>
      </x:c>
    </x:row>
    <x:row r="848" ht="42" customHeight="1">
      <x:c r="A848" s="14" t="str">
        <x:v>https://kozhaclinic.ru/apparatnaya-kosmetologiya/igolchatyy-rf-lifting-na-morpheus-8/</x:v>
      </x:c>
      <x:c r="B848" s="14" t="str">
        <x:v>игольчатый rf морфеус 8</x:v>
      </x:c>
      <x:c r="C848" s="31" t="n">
        <x:v>0</x:v>
      </x:c>
      <x:c r="D848" s="31" t="n">
        <x:v>1</x:v>
      </x:c>
      <x:c r="E848" s="33" t="n">
        <x:f>IF(D848&gt;0,C848/D848,"")</x:f>
        <x:v>0</x:v>
      </x:c>
      <x:c r="F848" s="35" t="n">
        <x:v>28</x:v>
      </x:c>
    </x:row>
    <x:row r="849" ht="42" customHeight="1">
      <x:c r="A849" s="12" t="str">
        <x:v>https://kozhaclinic.ru/apparatnaya-kosmetologiya/igolchatyy-rf-lifting-na-morpheus-8/</x:v>
      </x:c>
      <x:c r="B849" s="12" t="str">
        <x:v>инмод морфеус</x:v>
      </x:c>
      <x:c r="C849" s="30" t="n">
        <x:v>0</x:v>
      </x:c>
      <x:c r="D849" s="30" t="n">
        <x:v>1</x:v>
      </x:c>
      <x:c r="E849" s="32" t="n">
        <x:f>IF(D849&gt;0,C849/D849,"")</x:f>
        <x:v>0</x:v>
      </x:c>
      <x:c r="F849" s="34" t="n">
        <x:v>28</x:v>
      </x:c>
    </x:row>
    <x:row r="850" ht="42" customHeight="1">
      <x:c r="A850" s="14" t="str">
        <x:v>https://kozhaclinic.ru/apparatnaya-kosmetologiya/igolchatyy-rf-lifting-na-morpheus-8/</x:v>
      </x:c>
      <x:c r="B850" s="14" t="str">
        <x:v>микроигольчатый рф лифтинг morpheus</x:v>
      </x:c>
      <x:c r="C850" s="31" t="n">
        <x:v>0</x:v>
      </x:c>
      <x:c r="D850" s="31" t="n">
        <x:v>1</x:v>
      </x:c>
      <x:c r="E850" s="33" t="n">
        <x:f>IF(D850&gt;0,C850/D850,"")</x:f>
        <x:v>0</x:v>
      </x:c>
      <x:c r="F850" s="35" t="n">
        <x:v>28</x:v>
      </x:c>
    </x:row>
    <x:row r="851" ht="42" customHeight="1">
      <x:c r="A851" s="12" t="str">
        <x:v>https://kozhaclinic.ru/apparatnaya-kosmetologiya/igolchatyy-rf-lifting-na-morpheus-8/</x:v>
      </x:c>
      <x:c r="B851" s="12" t="str">
        <x:v>rf morpheus 8 лицо</x:v>
      </x:c>
      <x:c r="C851" s="30" t="n">
        <x:v>0</x:v>
      </x:c>
      <x:c r="D851" s="30" t="n">
        <x:v>1</x:v>
      </x:c>
      <x:c r="E851" s="32" t="n">
        <x:f>IF(D851&gt;0,C851/D851,"")</x:f>
        <x:v>0</x:v>
      </x:c>
      <x:c r="F851" s="34" t="n">
        <x:v>29</x:v>
      </x:c>
    </x:row>
    <x:row r="852" ht="42" customHeight="1">
      <x:c r="A852" s="14" t="str">
        <x:v>https://kozhaclinic.ru/apparatnaya-kosmetologiya/igolchatyy-rf-lifting-na-morpheus-8/</x:v>
      </x:c>
      <x:c r="B852" s="14" t="str">
        <x:v>морфеус или ультраформер</x:v>
      </x:c>
      <x:c r="C852" s="31" t="n">
        <x:v>0</x:v>
      </x:c>
      <x:c r="D852" s="31" t="n">
        <x:v>1</x:v>
      </x:c>
      <x:c r="E852" s="33" t="n">
        <x:f>IF(D852&gt;0,C852/D852,"")</x:f>
        <x:v>0</x:v>
      </x:c>
      <x:c r="F852" s="35" t="n">
        <x:v>35</x:v>
      </x:c>
    </x:row>
    <x:row r="853" ht="42" customHeight="1">
      <x:c r="A853" s="12" t="str">
        <x:v>https://kozhaclinic.ru/apparatnaya-kosmetologiya/igolchatyy-rf-lifting-na-morpheus-8/</x:v>
      </x:c>
      <x:c r="B853" s="12" t="str">
        <x:v>morpheus процедура омоложения</x:v>
      </x:c>
      <x:c r="C853" s="30" t="n">
        <x:v>0</x:v>
      </x:c>
      <x:c r="D853" s="30" t="n">
        <x:v>1</x:v>
      </x:c>
      <x:c r="E853" s="32" t="n">
        <x:f>IF(D853&gt;0,C853/D853,"")</x:f>
        <x:v>0</x:v>
      </x:c>
      <x:c r="F853" s="34" t="n">
        <x:v>36</x:v>
      </x:c>
    </x:row>
    <x:row r="854" ht="42" customHeight="1">
      <x:c r="A854" s="14" t="str">
        <x:v>https://kozhaclinic.ru/apparatnaya-kosmetologiya/igolchatyy-rf-lifting-na-morpheus-8/</x:v>
      </x:c>
      <x:c r="B854" s="14" t="str">
        <x:v>микроигольчатый rf лифтинг morpheus</x:v>
      </x:c>
      <x:c r="C854" s="31" t="n">
        <x:v>0</x:v>
      </x:c>
      <x:c r="D854" s="31" t="n">
        <x:v>1</x:v>
      </x:c>
      <x:c r="E854" s="33" t="n">
        <x:f>IF(D854&gt;0,C854/D854,"")</x:f>
        <x:v>0</x:v>
      </x:c>
      <x:c r="F854" s="35" t="n">
        <x:v>36</x:v>
      </x:c>
    </x:row>
    <x:row r="855" ht="42" customHeight="1">
      <x:c r="A855" s="12" t="str">
        <x:v>https://kozhaclinic.ru/apparatnaya-kosmetologiya/igolchatyy-rf-lifting-na-morpheus-8/</x:v>
      </x:c>
      <x:c r="B855" s="12" t="str">
        <x:v>rf лифтинг morpheus цена</x:v>
      </x:c>
      <x:c r="C855" s="30" t="n">
        <x:v>0</x:v>
      </x:c>
      <x:c r="D855" s="30" t="n">
        <x:v>1</x:v>
      </x:c>
      <x:c r="E855" s="32" t="n">
        <x:f>IF(D855&gt;0,C855/D855,"")</x:f>
        <x:v>0</x:v>
      </x:c>
      <x:c r="F855" s="34" t="n">
        <x:v>37</x:v>
      </x:c>
    </x:row>
    <x:row r="856" ht="42" customHeight="1">
      <x:c r="A856" s="14" t="str">
        <x:v>https://kozhaclinic.ru/apparatnaya-kosmetologiya/igolchatyy-rf-lifting-na-morpheus-8/</x:v>
      </x:c>
      <x:c r="B856" s="14" t="str">
        <x:v>микроигольчатый лифтинг morpheus 8</x:v>
      </x:c>
      <x:c r="C856" s="31" t="n">
        <x:v>0</x:v>
      </x:c>
      <x:c r="D856" s="31" t="n">
        <x:v>1</x:v>
      </x:c>
      <x:c r="E856" s="33" t="n">
        <x:f>IF(D856&gt;0,C856/D856,"")</x:f>
        <x:v>0</x:v>
      </x:c>
      <x:c r="F856" s="35" t="n">
        <x:v>37</x:v>
      </x:c>
    </x:row>
    <x:row r="857" ht="42" customHeight="1">
      <x:c r="A857" s="12" t="str">
        <x:v>https://kozhaclinic.ru/apparatnaya-kosmetologiya/igolchatyy-rf-lifting-na-morpheus-8/</x:v>
      </x:c>
      <x:c r="B857" s="12" t="str">
        <x:v>косметология morpheus</x:v>
      </x:c>
      <x:c r="C857" s="30" t="n">
        <x:v>0</x:v>
      </x:c>
      <x:c r="D857" s="30" t="n">
        <x:v>1</x:v>
      </x:c>
      <x:c r="E857" s="32" t="n">
        <x:f>IF(D857&gt;0,C857/D857,"")</x:f>
        <x:v>0</x:v>
      </x:c>
      <x:c r="F857" s="34" t="n">
        <x:v>39</x:v>
      </x:c>
    </x:row>
    <x:row r="858" ht="42" customHeight="1">
      <x:c r="A858" s="14" t="str">
        <x:v>https://kozhaclinic.ru/apparatnaya-kosmetologiya/igolchatyy-rf-lifting-na-morpheus-8/</x:v>
      </x:c>
      <x:c r="B858" s="14" t="str">
        <x:v>морфеус процедура цена</x:v>
      </x:c>
      <x:c r="C858" s="31" t="n">
        <x:v>0</x:v>
      </x:c>
      <x:c r="D858" s="31" t="n">
        <x:v>1</x:v>
      </x:c>
      <x:c r="E858" s="33" t="n">
        <x:f>IF(D858&gt;0,C858/D858,"")</x:f>
        <x:v>0</x:v>
      </x:c>
      <x:c r="F858" s="35" t="n">
        <x:v>39</x:v>
      </x:c>
    </x:row>
    <x:row r="859" ht="42" customHeight="1">
      <x:c r="A859" s="12" t="str">
        <x:v>https://kozhaclinic.ru/apparatnaya-kosmetologiya/igolchatyy-rf-lifting-na-morpheus-8/</x:v>
      </x:c>
      <x:c r="B859" s="12" t="str">
        <x:v>игольчатый rf лифтинг morpheus8</x:v>
      </x:c>
      <x:c r="C859" s="30" t="n">
        <x:v>0</x:v>
      </x:c>
      <x:c r="D859" s="30" t="n">
        <x:v>1</x:v>
      </x:c>
      <x:c r="E859" s="32" t="n">
        <x:f>IF(D859&gt;0,C859/D859,"")</x:f>
        <x:v>0</x:v>
      </x:c>
      <x:c r="F859" s="34" t="n">
        <x:v>41</x:v>
      </x:c>
    </x:row>
    <x:row r="860" ht="42" customHeight="1">
      <x:c r="A860" s="14" t="str">
        <x:v>https://kozhaclinic.ru/apparatnaya-kosmetologiya/igolchatyy-rf-lifting-na-morpheus-8/</x:v>
      </x:c>
      <x:c r="B860" s="14" t="str">
        <x:v>rf morpheus 8 цена</x:v>
      </x:c>
      <x:c r="C860" s="31" t="n">
        <x:v>0</x:v>
      </x:c>
      <x:c r="D860" s="31" t="n">
        <x:v>1</x:v>
      </x:c>
      <x:c r="E860" s="33" t="n">
        <x:f>IF(D860&gt;0,C860/D860,"")</x:f>
        <x:v>0</x:v>
      </x:c>
      <x:c r="F860" s="35" t="n">
        <x:v>43</x:v>
      </x:c>
    </x:row>
    <x:row r="861" ht="42" customHeight="1">
      <x:c r="A861" s="12" t="str">
        <x:v>https://kozhaclinic.ru/apparatnaya-kosmetologiya/igolchatyy-rf-lifting-na-morpheus-8/</x:v>
      </x:c>
      <x:c r="B861" s="12" t="str">
        <x:v>морфеус 8 аппарат цена</x:v>
      </x:c>
      <x:c r="C861" s="30" t="n">
        <x:v>0</x:v>
      </x:c>
      <x:c r="D861" s="30" t="n">
        <x:v>1</x:v>
      </x:c>
      <x:c r="E861" s="32" t="n">
        <x:f>IF(D861&gt;0,C861/D861,"")</x:f>
        <x:v>0</x:v>
      </x:c>
      <x:c r="F861" s="34" t="n">
        <x:v>43</x:v>
      </x:c>
    </x:row>
    <x:row r="862" ht="42" customHeight="1">
      <x:c r="A862" s="14" t="str">
        <x:v>https://kozhaclinic.ru/apparatnaya-kosmetologiya/igolchatyy-rf-lifting-na-morpheus-8/</x:v>
      </x:c>
      <x:c r="B862" s="14" t="str">
        <x:v>морфеус rf лифтинг цена</x:v>
      </x:c>
      <x:c r="C862" s="31" t="n">
        <x:v>0</x:v>
      </x:c>
      <x:c r="D862" s="31" t="n">
        <x:v>1</x:v>
      </x:c>
      <x:c r="E862" s="33" t="n">
        <x:f>IF(D862&gt;0,C862/D862,"")</x:f>
        <x:v>0</x:v>
      </x:c>
      <x:c r="F862" s="35" t="n">
        <x:v>44</x:v>
      </x:c>
    </x:row>
    <x:row r="863" ht="42" customHeight="1">
      <x:c r="A863" s="12" t="str">
        <x:v>https://kozhaclinic.ru/apparatnaya-kosmetologiya/igolchatyy-rf-lifting-na-morpheus-8/</x:v>
      </x:c>
      <x:c r="B863" s="12" t="str">
        <x:v>rf лифтинг лица морфеус</x:v>
      </x:c>
      <x:c r="C863" s="30" t="n">
        <x:v>0</x:v>
      </x:c>
      <x:c r="D863" s="30" t="n">
        <x:v>1</x:v>
      </x:c>
      <x:c r="E863" s="32" t="n">
        <x:f>IF(D863&gt;0,C863/D863,"")</x:f>
        <x:v>0</x:v>
      </x:c>
      <x:c r="F863" s="34" t="n">
        <x:v>45</x:v>
      </x:c>
    </x:row>
    <x:row r="864" ht="42" customHeight="1">
      <x:c r="A864" s="14" t="str">
        <x:v>https://kozhaclinic.ru/apparatnaya-kosmetologiya/igolchatyy-rf-lifting-na-morpheus-8/</x:v>
      </x:c>
      <x:c r="B864" s="14" t="str">
        <x:v>микроигольчатый рф лифтинг морфеус</x:v>
      </x:c>
      <x:c r="C864" s="31" t="n">
        <x:v>0</x:v>
      </x:c>
      <x:c r="D864" s="31" t="n">
        <x:v>1</x:v>
      </x:c>
      <x:c r="E864" s="33" t="n">
        <x:f>IF(D864&gt;0,C864/D864,"")</x:f>
        <x:v>0</x:v>
      </x:c>
      <x:c r="F864" s="35" t="n">
        <x:v>45</x:v>
      </x:c>
    </x:row>
    <x:row r="865" ht="42" customHeight="1">
      <x:c r="A865" s="12" t="str">
        <x:v>https://kozhaclinic.ru/apparatnaya-kosmetologiya/igolchatyy-rf-lifting-na-morpheus-8/</x:v>
      </x:c>
      <x:c r="B865" s="12" t="str">
        <x:v>морфеус рф лифтинг</x:v>
      </x:c>
      <x:c r="C865" s="30" t="n">
        <x:v>0</x:v>
      </x:c>
      <x:c r="D865" s="30" t="n">
        <x:v>1</x:v>
      </x:c>
      <x:c r="E865" s="32" t="n">
        <x:f>IF(D865&gt;0,C865/D865,"")</x:f>
        <x:v>0</x:v>
      </x:c>
      <x:c r="F865" s="34" t="n">
        <x:v>45</x:v>
      </x:c>
    </x:row>
    <x:row r="866" ht="42" customHeight="1">
      <x:c r="A866" s="14" t="str">
        <x:v>https://kozhaclinic.ru/apparatnaya-kosmetologiya/igolchatyy-rf-lifting-na-morpheus-8/</x:v>
      </x:c>
      <x:c r="B866" s="14" t="str">
        <x:v>морфеус аппарат цена процедуры</x:v>
      </x:c>
      <x:c r="C866" s="31" t="n">
        <x:v>0</x:v>
      </x:c>
      <x:c r="D866" s="31" t="n">
        <x:v>1</x:v>
      </x:c>
      <x:c r="E866" s="33" t="n">
        <x:f>IF(D866&gt;0,C866/D866,"")</x:f>
        <x:v>0</x:v>
      </x:c>
      <x:c r="F866" s="35" t="n">
        <x:v>46</x:v>
      </x:c>
    </x:row>
    <x:row r="867" ht="42" customHeight="1">
      <x:c r="A867" s="12" t="str">
        <x:v>https://kozhaclinic.ru/apparatnaya-kosmetologiya/igolchatyy-rf-lifting-na-morpheus-8/</x:v>
      </x:c>
      <x:c r="B867" s="12" t="str">
        <x:v>морфеус процедура для лица</x:v>
      </x:c>
      <x:c r="C867" s="30" t="n">
        <x:v>0</x:v>
      </x:c>
      <x:c r="D867" s="30" t="n">
        <x:v>1</x:v>
      </x:c>
      <x:c r="E867" s="32" t="n">
        <x:f>IF(D867&gt;0,C867/D867,"")</x:f>
        <x:v>0</x:v>
      </x:c>
      <x:c r="F867" s="34" t="n">
        <x:v>46</x:v>
      </x:c>
    </x:row>
    <x:row r="868" ht="42" customHeight="1">
      <x:c r="A868" s="14" t="str">
        <x:v>https://kozhaclinic.ru/apparatnaya-kosmetologiya/igolchatyy-rf-lifting-na-morpheus-8/</x:v>
      </x:c>
      <x:c r="B868" s="14" t="str">
        <x:v>морфеус 8 аппарат цена процедуры</x:v>
      </x:c>
      <x:c r="C868" s="31" t="n">
        <x:v>0</x:v>
      </x:c>
      <x:c r="D868" s="31" t="n">
        <x:v>1</x:v>
      </x:c>
      <x:c r="E868" s="33" t="n">
        <x:f>IF(D868&gt;0,C868/D868,"")</x:f>
        <x:v>0</x:v>
      </x:c>
      <x:c r="F868" s="35" t="n">
        <x:v>47</x:v>
      </x:c>
    </x:row>
    <x:row r="869" ht="42" customHeight="1">
      <x:c r="A869" s="12" t="str">
        <x:v>https://kozhaclinic.ru/apparatnaya-kosmetologiya/igolchatyy-rf-lifting-na-morpheus-8/</x:v>
      </x:c>
      <x:c r="B869" s="12" t="str">
        <x:v>морфеус аппарат косметология цена процедуры</x:v>
      </x:c>
      <x:c r="C869" s="30" t="n">
        <x:v>0</x:v>
      </x:c>
      <x:c r="D869" s="30" t="n">
        <x:v>1</x:v>
      </x:c>
      <x:c r="E869" s="32" t="n">
        <x:f>IF(D869&gt;0,C869/D869,"")</x:f>
        <x:v>0</x:v>
      </x:c>
      <x:c r="F869" s="34" t="n">
        <x:v>48</x:v>
      </x:c>
    </x:row>
    <x:row r="870" ht="42" customHeight="1">
      <x:c r="A870" s="14" t="str">
        <x:v>https://kozhaclinic.ru/apparatnaya-kosmetologiya/igolchatyy-rf-lifting-na-morpheus-8/</x:v>
      </x:c>
      <x:c r="B870" s="14" t="str">
        <x:v>morpheus 8 игольчатый рф лифтинг цена</x:v>
      </x:c>
      <x:c r="C870" s="31" t="n">
        <x:v>0</x:v>
      </x:c>
      <x:c r="D870" s="31" t="n">
        <x:v>1</x:v>
      </x:c>
      <x:c r="E870" s="33" t="n">
        <x:f>IF(D870&gt;0,C870/D870,"")</x:f>
        <x:v>0</x:v>
      </x:c>
      <x:c r="F870" s="35" t="n">
        <x:v>95</x:v>
      </x:c>
    </x:row>
    <x:row r="871" ht="42" customHeight="1">
      <x:c r="A871" s="12" t="str">
        <x:v>https://kozhaclinic.ru/inekcionnaya-kosmetologiya/konturnaya-plastika/korrektsiya-nososleznoy-borozdy/</x:v>
      </x:c>
      <x:c r="B871" s="12" t="str">
        <x:v>коррекция носослезной борозды цена</x:v>
      </x:c>
      <x:c r="C871" s="30" t="n">
        <x:v>0</x:v>
      </x:c>
      <x:c r="D871" s="30" t="n">
        <x:v>131</x:v>
      </x:c>
      <x:c r="E871" s="32" t="n">
        <x:f>IF(D871&gt;0,C871/D871,"")</x:f>
        <x:v>0</x:v>
      </x:c>
      <x:c r="F871" s="34" t="n">
        <x:v>31.35</x:v>
      </x:c>
    </x:row>
    <x:row r="872" ht="42" customHeight="1">
      <x:c r="A872" s="14" t="str">
        <x:v>https://kozhaclinic.ru/inekcionnaya-kosmetologiya/konturnaya-plastika/korrektsiya-nososleznoy-borozdy/</x:v>
      </x:c>
      <x:c r="B872" s="14" t="str">
        <x:v>стоимость коррекции носослезной борозды</x:v>
      </x:c>
      <x:c r="C872" s="31" t="n">
        <x:v>0</x:v>
      </x:c>
      <x:c r="D872" s="31" t="n">
        <x:v>35</x:v>
      </x:c>
      <x:c r="E872" s="33" t="n">
        <x:f>IF(D872&gt;0,C872/D872,"")</x:f>
        <x:v>0</x:v>
      </x:c>
      <x:c r="F872" s="35" t="n">
        <x:v>53.77</x:v>
      </x:c>
    </x:row>
    <x:row r="873" ht="42" customHeight="1">
      <x:c r="A873" s="12" t="str">
        <x:v>https://kozhaclinic.ru/inekcionnaya-kosmetologiya/konturnaya-plastika/korrektsiya-nososleznoy-borozdy/</x:v>
      </x:c>
      <x:c r="B873" s="12" t="str">
        <x:v>коррекция носослезки</x:v>
      </x:c>
      <x:c r="C873" s="30" t="n">
        <x:v>0</x:v>
      </x:c>
      <x:c r="D873" s="30" t="n">
        <x:v>17</x:v>
      </x:c>
      <x:c r="E873" s="32" t="n">
        <x:f>IF(D873&gt;0,C873/D873,"")</x:f>
        <x:v>0</x:v>
      </x:c>
      <x:c r="F873" s="34" t="n">
        <x:v>26.53</x:v>
      </x:c>
    </x:row>
    <x:row r="874" ht="42" customHeight="1">
      <x:c r="A874" s="14" t="str">
        <x:v>https://kozhaclinic.ru/inekcionnaya-kosmetologiya/konturnaya-plastika/korrektsiya-nososleznoy-borozdy/</x:v>
      </x:c>
      <x:c r="B874" s="14" t="str">
        <x:v>носослезная борозда коррекция</x:v>
      </x:c>
      <x:c r="C874" s="31" t="n">
        <x:v>0</x:v>
      </x:c>
      <x:c r="D874" s="31" t="n">
        <x:v>9</x:v>
      </x:c>
      <x:c r="E874" s="33" t="n">
        <x:f>IF(D874&gt;0,C874/D874,"")</x:f>
        <x:v>0</x:v>
      </x:c>
      <x:c r="F874" s="35" t="n">
        <x:v>26.44</x:v>
      </x:c>
    </x:row>
    <x:row r="875" ht="42" customHeight="1">
      <x:c r="A875" s="12" t="str">
        <x:v>https://kozhaclinic.ru/inekcionnaya-kosmetologiya/konturnaya-plastika/korrektsiya-nososleznoy-borozdy/</x:v>
      </x:c>
      <x:c r="B875" s="12" t="str">
        <x:v>коррекция носослезной борозды гиалуроновой кислотой</x:v>
      </x:c>
      <x:c r="C875" s="30" t="n">
        <x:v>0</x:v>
      </x:c>
      <x:c r="D875" s="30" t="n">
        <x:v>8</x:v>
      </x:c>
      <x:c r="E875" s="32" t="n">
        <x:f>IF(D875&gt;0,C875/D875,"")</x:f>
        <x:v>0</x:v>
      </x:c>
      <x:c r="F875" s="34" t="n">
        <x:v>36.12</x:v>
      </x:c>
    </x:row>
    <x:row r="876" ht="42" customHeight="1">
      <x:c r="A876" s="14" t="str">
        <x:v>https://kozhaclinic.ru/inekcionnaya-kosmetologiya/konturnaya-plastika/korrektsiya-nososleznoy-borozdy/</x:v>
      </x:c>
      <x:c r="B876" s="14" t="str">
        <x:v>заполнение носослезной борозды филлерами</x:v>
      </x:c>
      <x:c r="C876" s="31" t="n">
        <x:v>0</x:v>
      </x:c>
      <x:c r="D876" s="31" t="n">
        <x:v>7</x:v>
      </x:c>
      <x:c r="E876" s="33" t="n">
        <x:f>IF(D876&gt;0,C876/D876,"")</x:f>
        <x:v>0</x:v>
      </x:c>
      <x:c r="F876" s="35" t="n">
        <x:v>65.43</x:v>
      </x:c>
    </x:row>
    <x:row r="877" ht="42" customHeight="1">
      <x:c r="A877" s="12" t="str">
        <x:v>https://kozhaclinic.ru/inekcionnaya-kosmetologiya/konturnaya-plastika/korrektsiya-nososleznoy-borozdy/</x:v>
      </x:c>
      <x:c r="B877" s="12" t="str">
        <x:v>носослезная борозда цена</x:v>
      </x:c>
      <x:c r="C877" s="30" t="n">
        <x:v>0</x:v>
      </x:c>
      <x:c r="D877" s="30" t="n">
        <x:v>6</x:v>
      </x:c>
      <x:c r="E877" s="32" t="n">
        <x:f>IF(D877&gt;0,C877/D877,"")</x:f>
        <x:v>0</x:v>
      </x:c>
      <x:c r="F877" s="34" t="n">
        <x:v>25.5</x:v>
      </x:c>
    </x:row>
    <x:row r="878" ht="42" customHeight="1">
      <x:c r="A878" s="14" t="str">
        <x:v>https://kozhaclinic.ru/inekcionnaya-kosmetologiya/konturnaya-plastika/korrektsiya-nososleznoy-borozdy/</x:v>
      </x:c>
      <x:c r="B878" s="14" t="str">
        <x:v>борозда коррекция</x:v>
      </x:c>
      <x:c r="C878" s="31" t="n">
        <x:v>0</x:v>
      </x:c>
      <x:c r="D878" s="31" t="n">
        <x:v>5</x:v>
      </x:c>
      <x:c r="E878" s="33" t="n">
        <x:f>IF(D878&gt;0,C878/D878,"")</x:f>
        <x:v>0</x:v>
      </x:c>
      <x:c r="F878" s="35" t="n">
        <x:v>19.6</x:v>
      </x:c>
    </x:row>
    <x:row r="879" ht="42" customHeight="1">
      <x:c r="A879" s="12" t="str">
        <x:v>https://kozhaclinic.ru/inekcionnaya-kosmetologiya/konturnaya-plastika/korrektsiya-nososleznoy-borozdy/</x:v>
      </x:c>
      <x:c r="B879" s="12" t="str">
        <x:v>косметолог носослезная борозда</x:v>
      </x:c>
      <x:c r="C879" s="30" t="n">
        <x:v>0</x:v>
      </x:c>
      <x:c r="D879" s="30" t="n">
        <x:v>5</x:v>
      </x:c>
      <x:c r="E879" s="32" t="n">
        <x:f>IF(D879&gt;0,C879/D879,"")</x:f>
        <x:v>0</x:v>
      </x:c>
      <x:c r="F879" s="34" t="n">
        <x:v>24.2</x:v>
      </x:c>
    </x:row>
    <x:row r="880" ht="42" customHeight="1">
      <x:c r="A880" s="14" t="str">
        <x:v>https://kozhaclinic.ru/inekcionnaya-kosmetologiya/konturnaya-plastika/korrektsiya-nososleznoy-borozdy/</x:v>
      </x:c>
      <x:c r="B880" s="14" t="str">
        <x:v>носослезная борозда коррекция филлерами цена</x:v>
      </x:c>
      <x:c r="C880" s="31" t="n">
        <x:v>0</x:v>
      </x:c>
      <x:c r="D880" s="31" t="n">
        <x:v>5</x:v>
      </x:c>
      <x:c r="E880" s="33" t="n">
        <x:f>IF(D880&gt;0,C880/D880,"")</x:f>
        <x:v>0</x:v>
      </x:c>
      <x:c r="F880" s="35" t="n">
        <x:v>62.4</x:v>
      </x:c>
    </x:row>
    <x:row r="881" ht="42" customHeight="1">
      <x:c r="A881" s="12" t="str">
        <x:v>https://kozhaclinic.ru/inekcionnaya-kosmetologiya/konturnaya-plastika/korrektsiya-nososleznoy-borozdy/</x:v>
      </x:c>
      <x:c r="B881" s="12" t="str">
        <x:v>коррекция носослезной борозды сургут</x:v>
      </x:c>
      <x:c r="C881" s="30" t="n">
        <x:v>0</x:v>
      </x:c>
      <x:c r="D881" s="30" t="n">
        <x:v>4</x:v>
      </x:c>
      <x:c r="E881" s="32" t="n">
        <x:f>IF(D881&gt;0,C881/D881,"")</x:f>
        <x:v>0</x:v>
      </x:c>
      <x:c r="F881" s="34" t="n">
        <x:v>1</x:v>
      </x:c>
    </x:row>
    <x:row r="882" ht="42" customHeight="1">
      <x:c r="A882" s="14" t="str">
        <x:v>https://kozhaclinic.ru/inekcionnaya-kosmetologiya/konturnaya-plastika/korrektsiya-nososleznoy-borozdy/</x:v>
      </x:c>
      <x:c r="B882" s="14" t="str">
        <x:v>носослезная борозда цены</x:v>
      </x:c>
      <x:c r="C882" s="31" t="n">
        <x:v>0</x:v>
      </x:c>
      <x:c r="D882" s="31" t="n">
        <x:v>4</x:v>
      </x:c>
      <x:c r="E882" s="33" t="n">
        <x:f>IF(D882&gt;0,C882/D882,"")</x:f>
        <x:v>0</x:v>
      </x:c>
      <x:c r="F882" s="35" t="n">
        <x:v>20.25</x:v>
      </x:c>
    </x:row>
    <x:row r="883" ht="42" customHeight="1">
      <x:c r="A883" s="12" t="str">
        <x:v>https://kozhaclinic.ru/inekcionnaya-kosmetologiya/konturnaya-plastika/korrektsiya-nososleznoy-borozdy/</x:v>
      </x:c>
      <x:c r="B883" s="12" t="str">
        <x:v>коррекция носослезной борозды</x:v>
      </x:c>
      <x:c r="C883" s="30" t="n">
        <x:v>0</x:v>
      </x:c>
      <x:c r="D883" s="30" t="n">
        <x:v>4</x:v>
      </x:c>
      <x:c r="E883" s="32" t="n">
        <x:f>IF(D883&gt;0,C883/D883,"")</x:f>
        <x:v>0</x:v>
      </x:c>
      <x:c r="F883" s="34" t="n">
        <x:v>43.5</x:v>
      </x:c>
    </x:row>
    <x:row r="884" ht="42" customHeight="1">
      <x:c r="A884" s="14" t="str">
        <x:v>https://kozhaclinic.ru/inekcionnaya-kosmetologiya/konturnaya-plastika/korrektsiya-nososleznoy-borozdy/</x:v>
      </x:c>
      <x:c r="B884" s="14" t="str">
        <x:v>коррекция носослезной</x:v>
      </x:c>
      <x:c r="C884" s="31" t="n">
        <x:v>0</x:v>
      </x:c>
      <x:c r="D884" s="31" t="n">
        <x:v>3</x:v>
      </x:c>
      <x:c r="E884" s="33" t="n">
        <x:f>IF(D884&gt;0,C884/D884,"")</x:f>
        <x:v>0</x:v>
      </x:c>
      <x:c r="F884" s="35" t="n">
        <x:v>30.33</x:v>
      </x:c>
    </x:row>
    <x:row r="885" ht="42" customHeight="1">
      <x:c r="A885" s="12" t="str">
        <x:v>https://kozhaclinic.ru/inekcionnaya-kosmetologiya/konturnaya-plastika/korrektsiya-nososleznoy-borozdy/</x:v>
      </x:c>
      <x:c r="B885" s="12" t="str">
        <x:v>заполнение носослезной борозды цена</x:v>
      </x:c>
      <x:c r="C885" s="30" t="n">
        <x:v>0</x:v>
      </x:c>
      <x:c r="D885" s="30" t="n">
        <x:v>3</x:v>
      </x:c>
      <x:c r="E885" s="32" t="n">
        <x:f>IF(D885&gt;0,C885/D885,"")</x:f>
        <x:v>0</x:v>
      </x:c>
      <x:c r="F885" s="34" t="n">
        <x:v>42.67</x:v>
      </x:c>
    </x:row>
    <x:row r="886" ht="42" customHeight="1">
      <x:c r="A886" s="14" t="str">
        <x:v>https://kozhaclinic.ru/inekcionnaya-kosmetologiya/konturnaya-plastika/korrektsiya-nososleznoy-borozdy/</x:v>
      </x:c>
      <x:c r="B886" s="14" t="str">
        <x:v>носослезная борозда коррекция гиалуроновой кислотой</x:v>
      </x:c>
      <x:c r="C886" s="31" t="n">
        <x:v>0</x:v>
      </x:c>
      <x:c r="D886" s="31" t="n">
        <x:v>2</x:v>
      </x:c>
      <x:c r="E886" s="33" t="n">
        <x:f>IF(D886&gt;0,C886/D886,"")</x:f>
        <x:v>0</x:v>
      </x:c>
      <x:c r="F886" s="35" t="n">
        <x:v>21.5</x:v>
      </x:c>
    </x:row>
    <x:row r="887" ht="42" customHeight="1">
      <x:c r="A887" s="12" t="str">
        <x:v>https://kozhaclinic.ru/inekcionnaya-kosmetologiya/konturnaya-plastika/korrektsiya-nososleznoy-borozdy/</x:v>
      </x:c>
      <x:c r="B887" s="12" t="str">
        <x:v>коррекция носослезных борозд</x:v>
      </x:c>
      <x:c r="C887" s="30" t="n">
        <x:v>0</x:v>
      </x:c>
      <x:c r="D887" s="30" t="n">
        <x:v>2</x:v>
      </x:c>
      <x:c r="E887" s="32" t="n">
        <x:f>IF(D887&gt;0,C887/D887,"")</x:f>
        <x:v>0</x:v>
      </x:c>
      <x:c r="F887" s="34" t="n">
        <x:v>23.5</x:v>
      </x:c>
    </x:row>
    <x:row r="888" ht="42" customHeight="1">
      <x:c r="A888" s="14" t="str">
        <x:v>https://kozhaclinic.ru/inekcionnaya-kosmetologiya/konturnaya-plastika/korrektsiya-nososleznoy-borozdy/</x:v>
      </x:c>
      <x:c r="B888" s="14" t="str">
        <x:v>носослезная борозда сколько стоит</x:v>
      </x:c>
      <x:c r="C888" s="31" t="n">
        <x:v>0</x:v>
      </x:c>
      <x:c r="D888" s="31" t="n">
        <x:v>2</x:v>
      </x:c>
      <x:c r="E888" s="33" t="n">
        <x:f>IF(D888&gt;0,C888/D888,"")</x:f>
        <x:v>0</x:v>
      </x:c>
      <x:c r="F888" s="35" t="n">
        <x:v>29.5</x:v>
      </x:c>
    </x:row>
    <x:row r="889" ht="42" customHeight="1">
      <x:c r="A889" s="12" t="str">
        <x:v>https://kozhaclinic.ru/inekcionnaya-kosmetologiya/konturnaya-plastika/korrektsiya-nososleznoy-borozdy/</x:v>
      </x:c>
      <x:c r="B889" s="12" t="str">
        <x:v>пластика носослезной борозды цена</x:v>
      </x:c>
      <x:c r="C889" s="30" t="n">
        <x:v>0</x:v>
      </x:c>
      <x:c r="D889" s="30" t="n">
        <x:v>2</x:v>
      </x:c>
      <x:c r="E889" s="32" t="n">
        <x:f>IF(D889&gt;0,C889/D889,"")</x:f>
        <x:v>0</x:v>
      </x:c>
      <x:c r="F889" s="34" t="n">
        <x:v>32</x:v>
      </x:c>
    </x:row>
    <x:row r="890" ht="42" customHeight="1">
      <x:c r="A890" s="14" t="str">
        <x:v>https://kozhaclinic.ru/inekcionnaya-kosmetologiya/konturnaya-plastika/korrektsiya-nososleznoy-borozdy/</x:v>
      </x:c>
      <x:c r="B890" s="14" t="str">
        <x:v>стоимость носослезной борозды</x:v>
      </x:c>
      <x:c r="C890" s="31" t="n">
        <x:v>0</x:v>
      </x:c>
      <x:c r="D890" s="31" t="n">
        <x:v>2</x:v>
      </x:c>
      <x:c r="E890" s="33" t="n">
        <x:f>IF(D890&gt;0,C890/D890,"")</x:f>
        <x:v>0</x:v>
      </x:c>
      <x:c r="F890" s="35" t="n">
        <x:v>43.5</x:v>
      </x:c>
    </x:row>
    <x:row r="891" ht="42" customHeight="1">
      <x:c r="A891" s="12" t="str">
        <x:v>https://kozhaclinic.ru/inekcionnaya-kosmetologiya/konturnaya-plastika/korrektsiya-nososleznoy-borozdy/</x:v>
      </x:c>
      <x:c r="B891" s="12" t="str">
        <x:v>процедура коррекция носослезной борозды</x:v>
      </x:c>
      <x:c r="C891" s="30" t="n">
        <x:v>0</x:v>
      </x:c>
      <x:c r="D891" s="30" t="n">
        <x:v>2</x:v>
      </x:c>
      <x:c r="E891" s="32" t="n">
        <x:f>IF(D891&gt;0,C891/D891,"")</x:f>
        <x:v>0</x:v>
      </x:c>
      <x:c r="F891" s="34" t="n">
        <x:v>52</x:v>
      </x:c>
    </x:row>
    <x:row r="892" ht="42" customHeight="1">
      <x:c r="A892" s="14" t="str">
        <x:v>https://kozhaclinic.ru/inekcionnaya-kosmetologiya/konturnaya-plastika/korrektsiya-nososleznoy-borozdy/</x:v>
      </x:c>
      <x:c r="B892" s="14" t="str">
        <x:v>заполнение носослезной борозды</x:v>
      </x:c>
      <x:c r="C892" s="31" t="n">
        <x:v>0</x:v>
      </x:c>
      <x:c r="D892" s="31" t="n">
        <x:v>2</x:v>
      </x:c>
      <x:c r="E892" s="33" t="n">
        <x:f>IF(D892&gt;0,C892/D892,"")</x:f>
        <x:v>0</x:v>
      </x:c>
      <x:c r="F892" s="35" t="n">
        <x:v>53</x:v>
      </x:c>
    </x:row>
    <x:row r="893" ht="42" customHeight="1">
      <x:c r="A893" s="12" t="str">
        <x:v>https://kozhaclinic.ru/inekcionnaya-kosmetologiya/konturnaya-plastika/korrektsiya-nososleznoy-borozdy/</x:v>
      </x:c>
      <x:c r="B893" s="12" t="str">
        <x:v>выраженная носослезная борозда</x:v>
      </x:c>
      <x:c r="C893" s="30" t="n">
        <x:v>0</x:v>
      </x:c>
      <x:c r="D893" s="30" t="n">
        <x:v>1</x:v>
      </x:c>
      <x:c r="E893" s="32" t="n">
        <x:f>IF(D893&gt;0,C893/D893,"")</x:f>
        <x:v>0</x:v>
      </x:c>
      <x:c r="F893" s="34" t="n">
        <x:v>6</x:v>
      </x:c>
    </x:row>
    <x:row r="894" ht="42" customHeight="1">
      <x:c r="A894" s="14" t="str">
        <x:v>https://kozhaclinic.ru/inekcionnaya-kosmetologiya/konturnaya-plastika/korrektsiya-nososleznoy-borozdy/</x:v>
      </x:c>
      <x:c r="B894" s="14" t="str">
        <x:v>коррекция носослезной борозды это</x:v>
      </x:c>
      <x:c r="C894" s="31" t="n">
        <x:v>0</x:v>
      </x:c>
      <x:c r="D894" s="31" t="n">
        <x:v>1</x:v>
      </x:c>
      <x:c r="E894" s="33" t="n">
        <x:f>IF(D894&gt;0,C894/D894,"")</x:f>
        <x:v>0</x:v>
      </x:c>
      <x:c r="F894" s="35" t="n">
        <x:v>10</x:v>
      </x:c>
    </x:row>
    <x:row r="895" ht="42" customHeight="1">
      <x:c r="A895" s="12" t="str">
        <x:v>https://kozhaclinic.ru/inekcionnaya-kosmetologiya/konturnaya-plastika/korrektsiya-nososleznoy-borozdy/</x:v>
      </x:c>
      <x:c r="B895" s="12" t="str">
        <x:v>коррекция носогубных складок сургут</x:v>
      </x:c>
      <x:c r="C895" s="30" t="n">
        <x:v>0</x:v>
      </x:c>
      <x:c r="D895" s="30" t="n">
        <x:v>1</x:v>
      </x:c>
      <x:c r="E895" s="32" t="n">
        <x:f>IF(D895&gt;0,C895/D895,"")</x:f>
        <x:v>0</x:v>
      </x:c>
      <x:c r="F895" s="34" t="n">
        <x:v>18</x:v>
      </x:c>
    </x:row>
    <x:row r="896" ht="42" customHeight="1">
      <x:c r="A896" s="14" t="str">
        <x:v>https://kozhaclinic.ru/inekcionnaya-kosmetologiya/konturnaya-plastika/korrektsiya-nososleznoy-borozdy/</x:v>
      </x:c>
      <x:c r="B896" s="14" t="str">
        <x:v>коррекция носогубных складок цена</x:v>
      </x:c>
      <x:c r="C896" s="31" t="n">
        <x:v>0</x:v>
      </x:c>
      <x:c r="D896" s="31" t="n">
        <x:v>1</x:v>
      </x:c>
      <x:c r="E896" s="33" t="n">
        <x:f>IF(D896&gt;0,C896/D896,"")</x:f>
        <x:v>0</x:v>
      </x:c>
      <x:c r="F896" s="35" t="n">
        <x:v>25</x:v>
      </x:c>
    </x:row>
    <x:row r="897" ht="42" customHeight="1">
      <x:c r="A897" s="12" t="str">
        <x:v>https://kozhaclinic.ru/inekcionnaya-kosmetologiya/konturnaya-plastika/korrektsiya-nososleznoy-borozdy/</x:v>
      </x:c>
      <x:c r="B897" s="12" t="str">
        <x:v>носослезная борозда коррекция цена</x:v>
      </x:c>
      <x:c r="C897" s="30" t="n">
        <x:v>0</x:v>
      </x:c>
      <x:c r="D897" s="30" t="n">
        <x:v>1</x:v>
      </x:c>
      <x:c r="E897" s="32" t="n">
        <x:f>IF(D897&gt;0,C897/D897,"")</x:f>
        <x:v>0</x:v>
      </x:c>
      <x:c r="F897" s="34" t="n">
        <x:v>29</x:v>
      </x:c>
    </x:row>
    <x:row r="898" ht="42" customHeight="1">
      <x:c r="A898" s="14" t="str">
        <x:v>https://kozhaclinic.ru/inekcionnaya-kosmetologiya/konturnaya-plastika/korrektsiya-nososleznoy-borozdy/</x:v>
      </x:c>
      <x:c r="B898" s="14" t="str">
        <x:v>сколько стоит коррекция носослезной борозды</x:v>
      </x:c>
      <x:c r="C898" s="31" t="n">
        <x:v>0</x:v>
      </x:c>
      <x:c r="D898" s="31" t="n">
        <x:v>1</x:v>
      </x:c>
      <x:c r="E898" s="33" t="n">
        <x:f>IF(D898&gt;0,C898/D898,"")</x:f>
        <x:v>0</x:v>
      </x:c>
      <x:c r="F898" s="35" t="n">
        <x:v>29</x:v>
      </x:c>
    </x:row>
    <x:row r="899" ht="42" customHeight="1">
      <x:c r="A899" s="12" t="str">
        <x:v>https://kozhaclinic.ru/inekcionnaya-kosmetologiya/konturnaya-plastika/korrektsiya-nososleznoy-borozdy/</x:v>
      </x:c>
      <x:c r="B899" s="12" t="str">
        <x:v>носослезные борозды коррекция</x:v>
      </x:c>
      <x:c r="C899" s="30" t="n">
        <x:v>0</x:v>
      </x:c>
      <x:c r="D899" s="30" t="n">
        <x:v>1</x:v>
      </x:c>
      <x:c r="E899" s="32" t="n">
        <x:f>IF(D899&gt;0,C899/D899,"")</x:f>
        <x:v>0</x:v>
      </x:c>
      <x:c r="F899" s="34" t="n">
        <x:v>33</x:v>
      </x:c>
    </x:row>
    <x:row r="900" ht="42" customHeight="1">
      <x:c r="A900" s="14" t="str">
        <x:v>https://kozhaclinic.ru/inekcionnaya-kosmetologiya/konturnaya-plastika/korrektsiya-nososleznoy-borozdy/</x:v>
      </x:c>
      <x:c r="B900" s="14" t="str">
        <x:v>биоревитализация носослезной борозды</x:v>
      </x:c>
      <x:c r="C900" s="31" t="n">
        <x:v>0</x:v>
      </x:c>
      <x:c r="D900" s="31" t="n">
        <x:v>1</x:v>
      </x:c>
      <x:c r="E900" s="33" t="n">
        <x:f>IF(D900&gt;0,C900/D900,"")</x:f>
        <x:v>0</x:v>
      </x:c>
      <x:c r="F900" s="35" t="n">
        <x:v>36</x:v>
      </x:c>
    </x:row>
    <x:row r="901" ht="42" customHeight="1">
      <x:c r="A901" s="12" t="str">
        <x:v>https://kozhaclinic.ru/inekcionnaya-kosmetologiya/konturnaya-plastika/korrektsiya-nososleznoy-borozdy/</x:v>
      </x:c>
      <x:c r="B901" s="12" t="str">
        <x:v>коррекция слезной борозды</x:v>
      </x:c>
      <x:c r="C901" s="30" t="n">
        <x:v>0</x:v>
      </x:c>
      <x:c r="D901" s="30" t="n">
        <x:v>1</x:v>
      </x:c>
      <x:c r="E901" s="32" t="n">
        <x:f>IF(D901&gt;0,C901/D901,"")</x:f>
        <x:v>0</x:v>
      </x:c>
      <x:c r="F901" s="34" t="n">
        <x:v>38</x:v>
      </x:c>
    </x:row>
    <x:row r="902" ht="42" customHeight="1">
      <x:c r="A902" s="14" t="str">
        <x:v>https://kozhaclinic.ru/inekcionnaya-kosmetologiya/konturnaya-plastika/korrektsiya-nososleznoy-borozdy/</x:v>
      </x:c>
      <x:c r="B902" s="14" t="str">
        <x:v>носослезная борозда клиника</x:v>
      </x:c>
      <x:c r="C902" s="31" t="n">
        <x:v>0</x:v>
      </x:c>
      <x:c r="D902" s="31" t="n">
        <x:v>1</x:v>
      </x:c>
      <x:c r="E902" s="33" t="n">
        <x:f>IF(D902&gt;0,C902/D902,"")</x:f>
        <x:v>0</x:v>
      </x:c>
      <x:c r="F902" s="35" t="n">
        <x:v>43</x:v>
      </x:c>
    </x:row>
    <x:row r="903" ht="42" customHeight="1">
      <x:c r="A903" s="12" t="str">
        <x:v>https://kozhaclinic.ru/inekcionnaya-kosmetologiya/konturnaya-plastika/korrektsiya-nososleznoy-borozdy/</x:v>
      </x:c>
      <x:c r="B903" s="12" t="str">
        <x:v>коррекция носослезной борозды стоимость</x:v>
      </x:c>
      <x:c r="C903" s="30" t="n">
        <x:v>0</x:v>
      </x:c>
      <x:c r="D903" s="30" t="n">
        <x:v>1</x:v>
      </x:c>
      <x:c r="E903" s="32" t="n">
        <x:f>IF(D903&gt;0,C903/D903,"")</x:f>
        <x:v>0</x:v>
      </x:c>
      <x:c r="F903" s="34" t="n">
        <x:v>51</x:v>
      </x:c>
    </x:row>
    <x:row r="904" ht="42" customHeight="1">
      <x:c r="A904" s="14" t="str">
        <x:v>https://kozhaclinic.ru/inekcionnaya-kosmetologiya/konturnaya-plastika/korrektsiya-nososleznoy-borozdy/</x:v>
      </x:c>
      <x:c r="B904" s="14" t="str">
        <x:v>пластика носослезной борозды</x:v>
      </x:c>
      <x:c r="C904" s="31" t="n">
        <x:v>0</x:v>
      </x:c>
      <x:c r="D904" s="31" t="n">
        <x:v>1</x:v>
      </x:c>
      <x:c r="E904" s="33" t="n">
        <x:f>IF(D904&gt;0,C904/D904,"")</x:f>
        <x:v>0</x:v>
      </x:c>
      <x:c r="F904" s="35" t="n">
        <x:v>58</x:v>
      </x:c>
    </x:row>
    <x:row r="905" ht="42" customHeight="1">
      <x:c r="A905" s="12" t="str">
        <x:v>https://kozhaclinic.ru/inekcionnaya-kosmetologiya/konturnaya-plastika/korrektsiya-nososleznoy-borozdy/</x:v>
      </x:c>
      <x:c r="B905" s="12" t="str">
        <x:v>коррекция носослезной борозды спб</x:v>
      </x:c>
      <x:c r="C905" s="30" t="n">
        <x:v>0</x:v>
      </x:c>
      <x:c r="D905" s="30" t="n">
        <x:v>1</x:v>
      </x:c>
      <x:c r="E905" s="32" t="n">
        <x:f>IF(D905&gt;0,C905/D905,"")</x:f>
        <x:v>0</x:v>
      </x:c>
      <x:c r="F905" s="34" t="n">
        <x:v>69</x:v>
      </x:c>
    </x:row>
    <x:row r="906" ht="42" customHeight="1">
      <x:c r="A906" s="14" t="str">
        <x:v>https://kozhaclinic.ru/inekcionnaya-kosmetologiya/konturnaya-plastika/korrektsiya-nososleznoy-borozdy/</x:v>
      </x:c>
      <x:c r="B906" s="14" t="str">
        <x:v>коррекция носослезной борозды как делают</x:v>
      </x:c>
      <x:c r="C906" s="31" t="n">
        <x:v>0</x:v>
      </x:c>
      <x:c r="D906" s="31" t="n">
        <x:v>1</x:v>
      </x:c>
      <x:c r="E906" s="33" t="n">
        <x:f>IF(D906&gt;0,C906/D906,"")</x:f>
        <x:v>0</x:v>
      </x:c>
      <x:c r="F906" s="35" t="n">
        <x:v>70</x:v>
      </x:c>
    </x:row>
    <x:row r="907" ht="42" customHeight="1">
      <x:c r="A907" s="12" t="str">
        <x:v>https://kozhaclinic.ru/inekcionnaya-kosmetologiya/omolozhenie-i-pitanie-kozhi/biorevitalizatsiya-shei-i-dekolte/</x:v>
      </x:c>
      <x:c r="B907" s="12" t="str">
        <x:v>биоревитализация шеи</x:v>
      </x:c>
      <x:c r="C907" s="30" t="n">
        <x:v>0</x:v>
      </x:c>
      <x:c r="D907" s="30" t="n">
        <x:v>137</x:v>
      </x:c>
      <x:c r="E907" s="32" t="n">
        <x:f>IF(D907&gt;0,C907/D907,"")</x:f>
        <x:v>0</x:v>
      </x:c>
      <x:c r="F907" s="34" t="n">
        <x:v>10.14</x:v>
      </x:c>
    </x:row>
    <x:row r="908" ht="42" customHeight="1">
      <x:c r="A908" s="14" t="str">
        <x:v>https://kozhaclinic.ru/inekcionnaya-kosmetologiya/omolozhenie-i-pitanie-kozhi/biorevitalizatsiya-shei-i-dekolte/</x:v>
      </x:c>
      <x:c r="B908" s="14" t="str">
        <x:v>биоревитализация декольте</x:v>
      </x:c>
      <x:c r="C908" s="31" t="n">
        <x:v>0</x:v>
      </x:c>
      <x:c r="D908" s="31" t="n">
        <x:v>112</x:v>
      </x:c>
      <x:c r="E908" s="33" t="n">
        <x:f>IF(D908&gt;0,C908/D908,"")</x:f>
        <x:v>0</x:v>
      </x:c>
      <x:c r="F908" s="35" t="n">
        <x:v>7.23</x:v>
      </x:c>
    </x:row>
    <x:row r="909" ht="42" customHeight="1">
      <x:c r="A909" s="12" t="str">
        <x:v>https://kozhaclinic.ru/inekcionnaya-kosmetologiya/omolozhenie-i-pitanie-kozhi/biorevitalizatsiya-shei-i-dekolte/</x:v>
      </x:c>
      <x:c r="B909" s="12" t="str">
        <x:v>уколы в шею от морщин</x:v>
      </x:c>
      <x:c r="C909" s="30" t="n">
        <x:v>0</x:v>
      </x:c>
      <x:c r="D909" s="30" t="n">
        <x:v>105</x:v>
      </x:c>
      <x:c r="E909" s="32" t="n">
        <x:f>IF(D909&gt;0,C909/D909,"")</x:f>
        <x:v>0</x:v>
      </x:c>
      <x:c r="F909" s="34" t="n">
        <x:v>11.4</x:v>
      </x:c>
    </x:row>
    <x:row r="910" ht="42" customHeight="1">
      <x:c r="A910" s="14" t="str">
        <x:v>https://kozhaclinic.ru/inekcionnaya-kosmetologiya/omolozhenie-i-pitanie-kozhi/biorevitalizatsiya-shei-i-dekolte/</x:v>
      </x:c>
      <x:c r="B910" s="14" t="str">
        <x:v>биоревитализация шеи и декольте</x:v>
      </x:c>
      <x:c r="C910" s="31" t="n">
        <x:v>0</x:v>
      </x:c>
      <x:c r="D910" s="31" t="n">
        <x:v>100</x:v>
      </x:c>
      <x:c r="E910" s="33" t="n">
        <x:f>IF(D910&gt;0,C910/D910,"")</x:f>
        <x:v>0</x:v>
      </x:c>
      <x:c r="F910" s="35" t="n">
        <x:v>8.58</x:v>
      </x:c>
    </x:row>
    <x:row r="911" ht="42" customHeight="1">
      <x:c r="A911" s="12" t="str">
        <x:v>https://kozhaclinic.ru/inekcionnaya-kosmetologiya/omolozhenie-i-pitanie-kozhi/biorevitalizatsiya-shei-i-dekolte/</x:v>
      </x:c>
      <x:c r="B911" s="12" t="str">
        <x:v>биоревитализация зоны декольте</x:v>
      </x:c>
      <x:c r="C911" s="30" t="n">
        <x:v>0</x:v>
      </x:c>
      <x:c r="D911" s="30" t="n">
        <x:v>53</x:v>
      </x:c>
      <x:c r="E911" s="32" t="n">
        <x:f>IF(D911&gt;0,C911/D911,"")</x:f>
        <x:v>0</x:v>
      </x:c>
      <x:c r="F911" s="34" t="n">
        <x:v>8.75</x:v>
      </x:c>
    </x:row>
    <x:row r="912" ht="42" customHeight="1">
      <x:c r="A912" s="14" t="str">
        <x:v>https://kozhaclinic.ru/inekcionnaya-kosmetologiya/omolozhenie-i-pitanie-kozhi/biorevitalizatsiya-shei-i-dekolte/</x:v>
      </x:c>
      <x:c r="B912" s="14" t="str">
        <x:v>биоревитализация шеи и зоны декольте</x:v>
      </x:c>
      <x:c r="C912" s="31" t="n">
        <x:v>0</x:v>
      </x:c>
      <x:c r="D912" s="31" t="n">
        <x:v>34</x:v>
      </x:c>
      <x:c r="E912" s="33" t="n">
        <x:f>IF(D912&gt;0,C912/D912,"")</x:f>
        <x:v>0</x:v>
      </x:c>
      <x:c r="F912" s="35" t="n">
        <x:v>8.12</x:v>
      </x:c>
    </x:row>
    <x:row r="913" ht="42" customHeight="1">
      <x:c r="A913" s="12" t="str">
        <x:v>https://kozhaclinic.ru/inekcionnaya-kosmetologiya/omolozhenie-i-pitanie-kozhi/biorevitalizatsiya-shei-i-dekolte/</x:v>
      </x:c>
      <x:c r="B913" s="12" t="str">
        <x:v>уколы в шею</x:v>
      </x:c>
      <x:c r="C913" s="30" t="n">
        <x:v>0</x:v>
      </x:c>
      <x:c r="D913" s="30" t="n">
        <x:v>28</x:v>
      </x:c>
      <x:c r="E913" s="32" t="n">
        <x:f>IF(D913&gt;0,C913/D913,"")</x:f>
        <x:v>0</x:v>
      </x:c>
      <x:c r="F913" s="34" t="n">
        <x:v>9.86</x:v>
      </x:c>
    </x:row>
    <x:row r="914" ht="42" customHeight="1">
      <x:c r="A914" s="14" t="str">
        <x:v>https://kozhaclinic.ru/inekcionnaya-kosmetologiya/omolozhenie-i-pitanie-kozhi/biorevitalizatsiya-shei-i-dekolte/</x:v>
      </x:c>
      <x:c r="B914" s="14" t="str">
        <x:v>гиалуроновая кислота в шею</x:v>
      </x:c>
      <x:c r="C914" s="31" t="n">
        <x:v>0</x:v>
      </x:c>
      <x:c r="D914" s="31" t="n">
        <x:v>18</x:v>
      </x:c>
      <x:c r="E914" s="33" t="n">
        <x:f>IF(D914&gt;0,C914/D914,"")</x:f>
        <x:v>0</x:v>
      </x:c>
      <x:c r="F914" s="35" t="n">
        <x:v>9.5</x:v>
      </x:c>
    </x:row>
    <x:row r="915" ht="42" customHeight="1">
      <x:c r="A915" s="12" t="str">
        <x:v>https://kozhaclinic.ru/inekcionnaya-kosmetologiya/omolozhenie-i-pitanie-kozhi/biorevitalizatsiya-shei-i-dekolte/</x:v>
      </x:c>
      <x:c r="B915" s="12" t="str">
        <x:v>биоревитализация шея</x:v>
      </x:c>
      <x:c r="C915" s="30" t="n">
        <x:v>0</x:v>
      </x:c>
      <x:c r="D915" s="30" t="n">
        <x:v>17</x:v>
      </x:c>
      <x:c r="E915" s="32" t="n">
        <x:f>IF(D915&gt;0,C915/D915,"")</x:f>
        <x:v>0</x:v>
      </x:c>
      <x:c r="F915" s="34" t="n">
        <x:v>8.82</x:v>
      </x:c>
    </x:row>
    <x:row r="916" ht="42" customHeight="1">
      <x:c r="A916" s="14" t="str">
        <x:v>https://kozhaclinic.ru/inekcionnaya-kosmetologiya/omolozhenie-i-pitanie-kozhi/biorevitalizatsiya-shei-i-dekolte/</x:v>
      </x:c>
      <x:c r="B916" s="14" t="str">
        <x:v>уколы красоты для шеи</x:v>
      </x:c>
      <x:c r="C916" s="31" t="n">
        <x:v>0</x:v>
      </x:c>
      <x:c r="D916" s="31" t="n">
        <x:v>15</x:v>
      </x:c>
      <x:c r="E916" s="33" t="n">
        <x:f>IF(D916&gt;0,C916/D916,"")</x:f>
        <x:v>0</x:v>
      </x:c>
      <x:c r="F916" s="35" t="n">
        <x:v>10.27</x:v>
      </x:c>
    </x:row>
    <x:row r="917" ht="42" customHeight="1">
      <x:c r="A917" s="12" t="str">
        <x:v>https://kozhaclinic.ru/inekcionnaya-kosmetologiya/omolozhenie-i-pitanie-kozhi/biorevitalizatsiya-shei-i-dekolte/</x:v>
      </x:c>
      <x:c r="B917" s="12" t="str">
        <x:v>биоревитализация сургут</x:v>
      </x:c>
      <x:c r="C917" s="30" t="n">
        <x:v>0</x:v>
      </x:c>
      <x:c r="D917" s="30" t="n">
        <x:v>12</x:v>
      </x:c>
      <x:c r="E917" s="32" t="n">
        <x:f>IF(D917&gt;0,C917/D917,"")</x:f>
        <x:v>0</x:v>
      </x:c>
      <x:c r="F917" s="34" t="n">
        <x:v>10.75</x:v>
      </x:c>
    </x:row>
    <x:row r="918" ht="42" customHeight="1">
      <x:c r="A918" s="14" t="str">
        <x:v>https://kozhaclinic.ru/inekcionnaya-kosmetologiya/omolozhenie-i-pitanie-kozhi/biorevitalizatsiya-shei-i-dekolte/</x:v>
      </x:c>
      <x:c r="B918" s="14" t="str">
        <x:v>биоревитализация для шеи</x:v>
      </x:c>
      <x:c r="C918" s="31" t="n">
        <x:v>0</x:v>
      </x:c>
      <x:c r="D918" s="31" t="n">
        <x:v>12</x:v>
      </x:c>
      <x:c r="E918" s="33" t="n">
        <x:f>IF(D918&gt;0,C918/D918,"")</x:f>
        <x:v>0</x:v>
      </x:c>
      <x:c r="F918" s="35" t="n">
        <x:v>16.92</x:v>
      </x:c>
    </x:row>
    <x:row r="919" ht="42" customHeight="1">
      <x:c r="A919" s="12" t="str">
        <x:v>https://kozhaclinic.ru/inekcionnaya-kosmetologiya/omolozhenie-i-pitanie-kozhi/biorevitalizatsiya-shei-i-dekolte/</x:v>
      </x:c>
      <x:c r="B919" s="12" t="str">
        <x:v>биоревитализация на шею</x:v>
      </x:c>
      <x:c r="C919" s="30" t="n">
        <x:v>0</x:v>
      </x:c>
      <x:c r="D919" s="30" t="n">
        <x:v>10</x:v>
      </x:c>
      <x:c r="E919" s="32" t="n">
        <x:f>IF(D919&gt;0,C919/D919,"")</x:f>
        <x:v>0</x:v>
      </x:c>
      <x:c r="F919" s="34" t="n">
        <x:v>7.9</x:v>
      </x:c>
    </x:row>
    <x:row r="920" ht="42" customHeight="1">
      <x:c r="A920" s="14" t="str">
        <x:v>https://kozhaclinic.ru/inekcionnaya-kosmetologiya/omolozhenie-i-pitanie-kozhi/biorevitalizatsiya-shei-i-dekolte/</x:v>
      </x:c>
      <x:c r="B920" s="14" t="str">
        <x:v>гиалуроновая кислота для шеи</x:v>
      </x:c>
      <x:c r="C920" s="31" t="n">
        <x:v>0</x:v>
      </x:c>
      <x:c r="D920" s="31" t="n">
        <x:v>9</x:v>
      </x:c>
      <x:c r="E920" s="33" t="n">
        <x:f>IF(D920&gt;0,C920/D920,"")</x:f>
        <x:v>0</x:v>
      </x:c>
      <x:c r="F920" s="35" t="n">
        <x:v>9.44</x:v>
      </x:c>
    </x:row>
    <x:row r="921" ht="42" customHeight="1">
      <x:c r="A921" s="12" t="str">
        <x:v>https://kozhaclinic.ru/inekcionnaya-kosmetologiya/omolozhenie-i-pitanie-kozhi/biorevitalizatsiya-shei-i-dekolte/</x:v>
      </x:c>
      <x:c r="B921" s="12" t="str">
        <x:v>биоревитализация лицо шея декольте</x:v>
      </x:c>
      <x:c r="C921" s="30" t="n">
        <x:v>0</x:v>
      </x:c>
      <x:c r="D921" s="30" t="n">
        <x:v>9</x:v>
      </x:c>
      <x:c r="E921" s="32" t="n">
        <x:f>IF(D921&gt;0,C921/D921,"")</x:f>
        <x:v>0</x:v>
      </x:c>
      <x:c r="F921" s="34" t="n">
        <x:v>9.89</x:v>
      </x:c>
    </x:row>
    <x:row r="922" ht="42" customHeight="1">
      <x:c r="A922" s="14" t="str">
        <x:v>https://kozhaclinic.ru/inekcionnaya-kosmetologiya/omolozhenie-i-pitanie-kozhi/biorevitalizatsiya-shei-i-dekolte/</x:v>
      </x:c>
      <x:c r="B922" s="14" t="str">
        <x:v>биоревитализация зоны шеи</x:v>
      </x:c>
      <x:c r="C922" s="31" t="n">
        <x:v>0</x:v>
      </x:c>
      <x:c r="D922" s="31" t="n">
        <x:v>8</x:v>
      </x:c>
      <x:c r="E922" s="33" t="n">
        <x:f>IF(D922&gt;0,C922/D922,"")</x:f>
        <x:v>0</x:v>
      </x:c>
      <x:c r="F922" s="35" t="n">
        <x:v>4.5</x:v>
      </x:c>
    </x:row>
    <x:row r="923" ht="42" customHeight="1">
      <x:c r="A923" s="12" t="str">
        <x:v>https://kozhaclinic.ru/inekcionnaya-kosmetologiya/omolozhenie-i-pitanie-kozhi/biorevitalizatsiya-shei-i-dekolte/</x:v>
      </x:c>
      <x:c r="B923" s="12" t="str">
        <x:v>биоревитализация декольте и шеи</x:v>
      </x:c>
      <x:c r="C923" s="30" t="n">
        <x:v>0</x:v>
      </x:c>
      <x:c r="D923" s="30" t="n">
        <x:v>8</x:v>
      </x:c>
      <x:c r="E923" s="32" t="n">
        <x:f>IF(D923&gt;0,C923/D923,"")</x:f>
        <x:v>0</x:v>
      </x:c>
      <x:c r="F923" s="34" t="n">
        <x:v>7.38</x:v>
      </x:c>
    </x:row>
    <x:row r="924" ht="42" customHeight="1">
      <x:c r="A924" s="14" t="str">
        <x:v>https://kozhaclinic.ru/inekcionnaya-kosmetologiya/omolozhenie-i-pitanie-kozhi/biorevitalizatsiya-shei-i-dekolte/</x:v>
      </x:c>
      <x:c r="B924" s="14" t="str">
        <x:v>биоревитализация для шеи и декольте</x:v>
      </x:c>
      <x:c r="C924" s="31" t="n">
        <x:v>0</x:v>
      </x:c>
      <x:c r="D924" s="31" t="n">
        <x:v>8</x:v>
      </x:c>
      <x:c r="E924" s="33" t="n">
        <x:f>IF(D924&gt;0,C924/D924,"")</x:f>
        <x:v>0</x:v>
      </x:c>
      <x:c r="F924" s="35" t="n">
        <x:v>8.25</x:v>
      </x:c>
    </x:row>
    <x:row r="925" ht="42" customHeight="1">
      <x:c r="A925" s="12" t="str">
        <x:v>https://kozhaclinic.ru/inekcionnaya-kosmetologiya/omolozhenie-i-pitanie-kozhi/biorevitalizatsiya-shei-i-dekolte/</x:v>
      </x:c>
      <x:c r="B925" s="12" t="str">
        <x:v>биоревитализация кожи шеи</x:v>
      </x:c>
      <x:c r="C925" s="30" t="n">
        <x:v>0</x:v>
      </x:c>
      <x:c r="D925" s="30" t="n">
        <x:v>8</x:v>
      </x:c>
      <x:c r="E925" s="32" t="n">
        <x:f>IF(D925&gt;0,C925/D925,"")</x:f>
        <x:v>0</x:v>
      </x:c>
      <x:c r="F925" s="34" t="n">
        <x:v>10.12</x:v>
      </x:c>
    </x:row>
    <x:row r="926" ht="42" customHeight="1">
      <x:c r="A926" s="14" t="str">
        <x:v>https://kozhaclinic.ru/inekcionnaya-kosmetologiya/omolozhenie-i-pitanie-kozhi/biorevitalizatsiya-shei-i-dekolte/</x:v>
      </x:c>
      <x:c r="B926" s="14" t="str">
        <x:v>биоревитализация шеи и декольте препараты</x:v>
      </x:c>
      <x:c r="C926" s="31" t="n">
        <x:v>0</x:v>
      </x:c>
      <x:c r="D926" s="31" t="n">
        <x:v>7</x:v>
      </x:c>
      <x:c r="E926" s="33" t="n">
        <x:f>IF(D926&gt;0,C926/D926,"")</x:f>
        <x:v>0</x:v>
      </x:c>
      <x:c r="F926" s="35" t="n">
        <x:v>8</x:v>
      </x:c>
    </x:row>
    <x:row r="927" ht="42" customHeight="1">
      <x:c r="A927" s="12" t="str">
        <x:v>https://kozhaclinic.ru/inekcionnaya-kosmetologiya/omolozhenie-i-pitanie-kozhi/biorevitalizatsiya-shei-i-dekolte/</x:v>
      </x:c>
      <x:c r="B927" s="12" t="str">
        <x:v>биоревитализация шея и декольте</x:v>
      </x:c>
      <x:c r="C927" s="30" t="n">
        <x:v>0</x:v>
      </x:c>
      <x:c r="D927" s="30" t="n">
        <x:v>6</x:v>
      </x:c>
      <x:c r="E927" s="32" t="n">
        <x:f>IF(D927&gt;0,C927/D927,"")</x:f>
        <x:v>0</x:v>
      </x:c>
      <x:c r="F927" s="34" t="n">
        <x:v>10.17</x:v>
      </x:c>
    </x:row>
    <x:row r="928" ht="42" customHeight="1">
      <x:c r="A928" s="14" t="str">
        <x:v>https://kozhaclinic.ru/inekcionnaya-kosmetologiya/omolozhenie-i-pitanie-kozhi/biorevitalizatsiya-shei-i-dekolte/</x:v>
      </x:c>
      <x:c r="B928" s="14" t="str">
        <x:v>уколы красоты в шею</x:v>
      </x:c>
      <x:c r="C928" s="31" t="n">
        <x:v>0</x:v>
      </x:c>
      <x:c r="D928" s="31" t="n">
        <x:v>6</x:v>
      </x:c>
      <x:c r="E928" s="33" t="n">
        <x:f>IF(D928&gt;0,C928/D928,"")</x:f>
        <x:v>0</x:v>
      </x:c>
      <x:c r="F928" s="35" t="n">
        <x:v>10.17</x:v>
      </x:c>
    </x:row>
    <x:row r="929" ht="42" customHeight="1">
      <x:c r="A929" s="12" t="str">
        <x:v>https://kozhaclinic.ru/inekcionnaya-kosmetologiya/omolozhenie-i-pitanie-kozhi/biorevitalizatsiya-shei-i-dekolte/</x:v>
      </x:c>
      <x:c r="B929" s="12" t="str">
        <x:v>гиалуронка в шею</x:v>
      </x:c>
      <x:c r="C929" s="30" t="n">
        <x:v>0</x:v>
      </x:c>
      <x:c r="D929" s="30" t="n">
        <x:v>6</x:v>
      </x:c>
      <x:c r="E929" s="32" t="n">
        <x:f>IF(D929&gt;0,C929/D929,"")</x:f>
        <x:v>0</x:v>
      </x:c>
      <x:c r="F929" s="34" t="n">
        <x:v>15.33</x:v>
      </x:c>
    </x:row>
    <x:row r="930" ht="42" customHeight="1">
      <x:c r="A930" s="14" t="str">
        <x:v>https://kozhaclinic.ru/inekcionnaya-kosmetologiya/omolozhenie-i-pitanie-kozhi/biorevitalizatsiya-shei-i-dekolte/</x:v>
      </x:c>
      <x:c r="B930" s="14" t="str">
        <x:v>уколы гиалуроновой кислоты в шею</x:v>
      </x:c>
      <x:c r="C930" s="31" t="n">
        <x:v>0</x:v>
      </x:c>
      <x:c r="D930" s="31" t="n">
        <x:v>5</x:v>
      </x:c>
      <x:c r="E930" s="33" t="n">
        <x:f>IF(D930&gt;0,C930/D930,"")</x:f>
        <x:v>0</x:v>
      </x:c>
      <x:c r="F930" s="35" t="n">
        <x:v>12.6</x:v>
      </x:c>
    </x:row>
    <x:row r="931" ht="42" customHeight="1">
      <x:c r="A931" s="12" t="str">
        <x:v>https://kozhaclinic.ru/inekcionnaya-kosmetologiya/omolozhenie-i-pitanie-kozhi/biorevitalizatsiya-shei-i-dekolte/</x:v>
      </x:c>
      <x:c r="B931" s="12" t="str">
        <x:v>биоревитализация шеи сургут</x:v>
      </x:c>
      <x:c r="C931" s="30" t="n">
        <x:v>0</x:v>
      </x:c>
      <x:c r="D931" s="30" t="n">
        <x:v>4</x:v>
      </x:c>
      <x:c r="E931" s="32" t="n">
        <x:f>IF(D931&gt;0,C931/D931,"")</x:f>
        <x:v>0</x:v>
      </x:c>
      <x:c r="F931" s="34" t="n">
        <x:v>5</x:v>
      </x:c>
    </x:row>
    <x:row r="932" ht="42" customHeight="1">
      <x:c r="A932" s="14" t="str">
        <x:v>https://kozhaclinic.ru/inekcionnaya-kosmetologiya/omolozhenie-i-pitanie-kozhi/biorevitalizatsiya-shei-i-dekolte/</x:v>
      </x:c>
      <x:c r="B932" s="14" t="str">
        <x:v>гиалуроновая кислота для шеи и декольте</x:v>
      </x:c>
      <x:c r="C932" s="31" t="n">
        <x:v>0</x:v>
      </x:c>
      <x:c r="D932" s="31" t="n">
        <x:v>4</x:v>
      </x:c>
      <x:c r="E932" s="33" t="n">
        <x:f>IF(D932&gt;0,C932/D932,"")</x:f>
        <x:v>0</x:v>
      </x:c>
      <x:c r="F932" s="35" t="n">
        <x:v>6.75</x:v>
      </x:c>
    </x:row>
    <x:row r="933" ht="42" customHeight="1">
      <x:c r="A933" s="12" t="str">
        <x:v>https://kozhaclinic.ru/inekcionnaya-kosmetologiya/omolozhenie-i-pitanie-kozhi/biorevitalizatsiya-shei-i-dekolte/</x:v>
      </x:c>
      <x:c r="B933" s="12" t="str">
        <x:v>биоревитализация в шею</x:v>
      </x:c>
      <x:c r="C933" s="30" t="n">
        <x:v>0</x:v>
      </x:c>
      <x:c r="D933" s="30" t="n">
        <x:v>3</x:v>
      </x:c>
      <x:c r="E933" s="32" t="n">
        <x:f>IF(D933&gt;0,C933/D933,"")</x:f>
        <x:v>0</x:v>
      </x:c>
      <x:c r="F933" s="34" t="n">
        <x:v>9.33</x:v>
      </x:c>
    </x:row>
    <x:row r="934" ht="42" customHeight="1">
      <x:c r="A934" s="14" t="str">
        <x:v>https://kozhaclinic.ru/inekcionnaya-kosmetologiya/omolozhenie-i-pitanie-kozhi/biorevitalizatsiya-shei-i-dekolte/</x:v>
      </x:c>
      <x:c r="B934" s="14" t="str">
        <x:v>биоревитализанты для шеи</x:v>
      </x:c>
      <x:c r="C934" s="31" t="n">
        <x:v>0</x:v>
      </x:c>
      <x:c r="D934" s="31" t="n">
        <x:v>3</x:v>
      </x:c>
      <x:c r="E934" s="33" t="n">
        <x:f>IF(D934&gt;0,C934/D934,"")</x:f>
        <x:v>0</x:v>
      </x:c>
      <x:c r="F934" s="35" t="n">
        <x:v>9.67</x:v>
      </x:c>
    </x:row>
    <x:row r="935" ht="42" customHeight="1">
      <x:c r="A935" s="12" t="str">
        <x:v>https://kozhaclinic.ru/inekcionnaya-kosmetologiya/omolozhenie-i-pitanie-kozhi/biorevitalizatsiya-shei-i-dekolte/</x:v>
      </x:c>
      <x:c r="B935" s="12" t="str">
        <x:v>биоревитализация шеи отзывы</x:v>
      </x:c>
      <x:c r="C935" s="30" t="n">
        <x:v>0</x:v>
      </x:c>
      <x:c r="D935" s="30" t="n">
        <x:v>2</x:v>
      </x:c>
      <x:c r="E935" s="32" t="n">
        <x:f>IF(D935&gt;0,C935/D935,"")</x:f>
        <x:v>0</x:v>
      </x:c>
      <x:c r="F935" s="34" t="n">
        <x:v>2</x:v>
      </x:c>
    </x:row>
    <x:row r="936" ht="42" customHeight="1">
      <x:c r="A936" s="14" t="str">
        <x:v>https://kozhaclinic.ru/inekcionnaya-kosmetologiya/omolozhenie-i-pitanie-kozhi/biorevitalizatsiya-shei-i-dekolte/</x:v>
      </x:c>
      <x:c r="B936" s="14" t="str">
        <x:v>биоревитализанты для зоны декольте</x:v>
      </x:c>
      <x:c r="C936" s="31" t="n">
        <x:v>0</x:v>
      </x:c>
      <x:c r="D936" s="31" t="n">
        <x:v>2</x:v>
      </x:c>
      <x:c r="E936" s="33" t="n">
        <x:f>IF(D936&gt;0,C936/D936,"")</x:f>
        <x:v>0</x:v>
      </x:c>
      <x:c r="F936" s="35" t="n">
        <x:v>4.5</x:v>
      </x:c>
    </x:row>
    <x:row r="937" ht="42" customHeight="1">
      <x:c r="A937" s="12" t="str">
        <x:v>https://kozhaclinic.ru/inekcionnaya-kosmetologiya/omolozhenie-i-pitanie-kozhi/biorevitalizatsiya-shei-i-dekolte/</x:v>
      </x:c>
      <x:c r="B937" s="12" t="str">
        <x:v>коррекция шеи (кольца венеры) сургут</x:v>
      </x:c>
      <x:c r="C937" s="30" t="n">
        <x:v>0</x:v>
      </x:c>
      <x:c r="D937" s="30" t="n">
        <x:v>2</x:v>
      </x:c>
      <x:c r="E937" s="32" t="n">
        <x:f>IF(D937&gt;0,C937/D937,"")</x:f>
        <x:v>0</x:v>
      </x:c>
      <x:c r="F937" s="34" t="n">
        <x:v>4.5</x:v>
      </x:c>
    </x:row>
    <x:row r="938" ht="42" customHeight="1">
      <x:c r="A938" s="14" t="str">
        <x:v>https://kozhaclinic.ru/inekcionnaya-kosmetologiya/omolozhenie-i-pitanie-kozhi/biorevitalizatsiya-shei-i-dekolte/</x:v>
      </x:c>
      <x:c r="B938" s="14" t="str">
        <x:v>биоревитализация шеи эффект</x:v>
      </x:c>
      <x:c r="C938" s="31" t="n">
        <x:v>0</x:v>
      </x:c>
      <x:c r="D938" s="31" t="n">
        <x:v>2</x:v>
      </x:c>
      <x:c r="E938" s="33" t="n">
        <x:f>IF(D938&gt;0,C938/D938,"")</x:f>
        <x:v>0</x:v>
      </x:c>
      <x:c r="F938" s="35" t="n">
        <x:v>5</x:v>
      </x:c>
    </x:row>
    <x:row r="939" ht="42" customHeight="1">
      <x:c r="A939" s="12" t="str">
        <x:v>https://kozhaclinic.ru/inekcionnaya-kosmetologiya/omolozhenie-i-pitanie-kozhi/biorevitalizatsiya-shei-i-dekolte/</x:v>
      </x:c>
      <x:c r="B939" s="12" t="str">
        <x:v>коррекция колец венеры сургут</x:v>
      </x:c>
      <x:c r="C939" s="30" t="n">
        <x:v>0</x:v>
      </x:c>
      <x:c r="D939" s="30" t="n">
        <x:v>2</x:v>
      </x:c>
      <x:c r="E939" s="32" t="n">
        <x:f>IF(D939&gt;0,C939/D939,"")</x:f>
        <x:v>0</x:v>
      </x:c>
      <x:c r="F939" s="34" t="n">
        <x:v>5</x:v>
      </x:c>
    </x:row>
    <x:row r="940" ht="42" customHeight="1">
      <x:c r="A940" s="14" t="str">
        <x:v>https://kozhaclinic.ru/inekcionnaya-kosmetologiya/omolozhenie-i-pitanie-kozhi/biorevitalizatsiya-shei-i-dekolte/</x:v>
      </x:c>
      <x:c r="B940" s="14" t="str">
        <x:v>убрать кольца венеры на шее сургут</x:v>
      </x:c>
      <x:c r="C940" s="31" t="n">
        <x:v>0</x:v>
      </x:c>
      <x:c r="D940" s="31" t="n">
        <x:v>2</x:v>
      </x:c>
      <x:c r="E940" s="33" t="n">
        <x:f>IF(D940&gt;0,C940/D940,"")</x:f>
        <x:v>0</x:v>
      </x:c>
      <x:c r="F940" s="35" t="n">
        <x:v>5</x:v>
      </x:c>
    </x:row>
    <x:row r="941" ht="42" customHeight="1">
      <x:c r="A941" s="12" t="str">
        <x:v>https://kozhaclinic.ru/inekcionnaya-kosmetologiya/omolozhenie-i-pitanie-kozhi/biorevitalizatsiya-shei-i-dekolte/</x:v>
      </x:c>
      <x:c r="B941" s="12" t="str">
        <x:v>биоревитализация шеи цена</x:v>
      </x:c>
      <x:c r="C941" s="30" t="n">
        <x:v>0</x:v>
      </x:c>
      <x:c r="D941" s="30" t="n">
        <x:v>2</x:v>
      </x:c>
      <x:c r="E941" s="32" t="n">
        <x:f>IF(D941&gt;0,C941/D941,"")</x:f>
        <x:v>0</x:v>
      </x:c>
      <x:c r="F941" s="34" t="n">
        <x:v>6</x:v>
      </x:c>
    </x:row>
    <x:row r="942" ht="42" customHeight="1">
      <x:c r="A942" s="14" t="str">
        <x:v>https://kozhaclinic.ru/inekcionnaya-kosmetologiya/omolozhenie-i-pitanie-kozhi/biorevitalizatsiya-shei-i-dekolte/</x:v>
      </x:c>
      <x:c r="B942" s="14" t="str">
        <x:v>биоревитализация шеи фото до и после</x:v>
      </x:c>
      <x:c r="C942" s="31" t="n">
        <x:v>0</x:v>
      </x:c>
      <x:c r="D942" s="31" t="n">
        <x:v>1</x:v>
      </x:c>
      <x:c r="E942" s="33" t="n">
        <x:f>IF(D942&gt;0,C942/D942,"")</x:f>
        <x:v>0</x:v>
      </x:c>
      <x:c r="F942" s="35" t="n">
        <x:v>2</x:v>
      </x:c>
    </x:row>
    <x:row r="943" ht="42" customHeight="1">
      <x:c r="A943" s="12" t="str">
        <x:v>https://kozhaclinic.ru/inekcionnaya-kosmetologiya/omolozhenie-i-pitanie-kozhi/biorevitalizatsiya-shei-i-dekolte/</x:v>
      </x:c>
      <x:c r="B943" s="12" t="str">
        <x:v>зона шеи</x:v>
      </x:c>
      <x:c r="C943" s="30" t="n">
        <x:v>0</x:v>
      </x:c>
      <x:c r="D943" s="30" t="n">
        <x:v>1</x:v>
      </x:c>
      <x:c r="E943" s="32" t="n">
        <x:f>IF(D943&gt;0,C943/D943,"")</x:f>
        <x:v>0</x:v>
      </x:c>
      <x:c r="F943" s="34" t="n">
        <x:v>2</x:v>
      </x:c>
    </x:row>
    <x:row r="944" ht="42" customHeight="1">
      <x:c r="A944" s="14" t="str">
        <x:v>https://kozhaclinic.ru/inekcionnaya-kosmetologiya/omolozhenie-i-pitanie-kozhi/biorevitalizatsiya-shei-i-dekolte/</x:v>
      </x:c>
      <x:c r="B944" s="14" t="str">
        <x:v>коррекция шеи (кольца венеры) косметология сургут</x:v>
      </x:c>
      <x:c r="C944" s="31" t="n">
        <x:v>0</x:v>
      </x:c>
      <x:c r="D944" s="31" t="n">
        <x:v>1</x:v>
      </x:c>
      <x:c r="E944" s="33" t="n">
        <x:f>IF(D944&gt;0,C944/D944,"")</x:f>
        <x:v>0</x:v>
      </x:c>
      <x:c r="F944" s="35" t="n">
        <x:v>5</x:v>
      </x:c>
    </x:row>
    <x:row r="945" ht="42" customHeight="1">
      <x:c r="A945" s="12" t="str">
        <x:v>https://kozhaclinic.ru/inekcionnaya-kosmetologiya/omolozhenie-i-pitanie-kozhi/biorevitalizatsiya-shei-i-dekolte/</x:v>
      </x:c>
      <x:c r="B945" s="12" t="str">
        <x:v>биоревитализация лица шеи зоны декольте</x:v>
      </x:c>
      <x:c r="C945" s="30" t="n">
        <x:v>0</x:v>
      </x:c>
      <x:c r="D945" s="30" t="n">
        <x:v>1</x:v>
      </x:c>
      <x:c r="E945" s="32" t="n">
        <x:f>IF(D945&gt;0,C945/D945,"")</x:f>
        <x:v>0</x:v>
      </x:c>
      <x:c r="F945" s="34" t="n">
        <x:v>7</x:v>
      </x:c>
    </x:row>
    <x:row r="946" ht="42" customHeight="1">
      <x:c r="A946" s="14" t="str">
        <x:v>https://kozhaclinic.ru/inekcionnaya-kosmetologiya/omolozhenie-i-pitanie-kozhi/biorevitalizatsiya-shei-i-dekolte/</x:v>
      </x:c>
      <x:c r="B946" s="14" t="str">
        <x:v>биоревитализация шеи и декольте до и после</x:v>
      </x:c>
      <x:c r="C946" s="31" t="n">
        <x:v>0</x:v>
      </x:c>
      <x:c r="D946" s="31" t="n">
        <x:v>1</x:v>
      </x:c>
      <x:c r="E946" s="33" t="n">
        <x:f>IF(D946&gt;0,C946/D946,"")</x:f>
        <x:v>0</x:v>
      </x:c>
      <x:c r="F946" s="35" t="n">
        <x:v>8</x:v>
      </x:c>
    </x:row>
    <x:row r="947" ht="42" customHeight="1">
      <x:c r="A947" s="12" t="str">
        <x:v>https://kozhaclinic.ru/inekcionnaya-kosmetologiya/omolozhenie-i-pitanie-kozhi/biorevitalizatsiya-shei-i-dekolte/</x:v>
      </x:c>
      <x:c r="B947" s="12" t="str">
        <x:v>что колят в шею</x:v>
      </x:c>
      <x:c r="C947" s="30" t="n">
        <x:v>0</x:v>
      </x:c>
      <x:c r="D947" s="30" t="n">
        <x:v>1</x:v>
      </x:c>
      <x:c r="E947" s="32" t="n">
        <x:f>IF(D947&gt;0,C947/D947,"")</x:f>
        <x:v>0</x:v>
      </x:c>
      <x:c r="F947" s="34" t="n">
        <x:v>9</x:v>
      </x:c>
    </x:row>
    <x:row r="948" ht="42" customHeight="1">
      <x:c r="A948" s="14" t="str">
        <x:v>https://kozhaclinic.ru/uhodovye-procedury/pilingi/piling-prx-t33/</x:v>
      </x:c>
      <x:c r="B948" s="14" t="str">
        <x:v>пилинг без шелушения</x:v>
      </x:c>
      <x:c r="C948" s="31" t="n">
        <x:v>0</x:v>
      </x:c>
      <x:c r="D948" s="31" t="n">
        <x:v>8</x:v>
      </x:c>
      <x:c r="E948" s="33" t="n">
        <x:f>IF(D948&gt;0,C948/D948,"")</x:f>
        <x:v>0</x:v>
      </x:c>
      <x:c r="F948" s="35" t="n">
        <x:v>8.12</x:v>
      </x:c>
    </x:row>
    <x:row r="949" ht="42" customHeight="1">
      <x:c r="A949" s="12" t="str">
        <x:v>https://kozhaclinic.ru/uhodovye-procedury/pilingi/piling-prx-t33/</x:v>
      </x:c>
      <x:c r="B949" s="12" t="str">
        <x:v>prx-t33 сургут</x:v>
      </x:c>
      <x:c r="C949" s="30" t="n">
        <x:v>0</x:v>
      </x:c>
      <x:c r="D949" s="30" t="n">
        <x:v>3</x:v>
      </x:c>
      <x:c r="E949" s="32" t="n">
        <x:f>IF(D949&gt;0,C949/D949,"")</x:f>
        <x:v>0</x:v>
      </x:c>
      <x:c r="F949" s="34" t="n">
        <x:v>1.33</x:v>
      </x:c>
    </x:row>
    <x:row r="950" ht="42" customHeight="1">
      <x:c r="A950" s="14" t="str">
        <x:v>https://kozhaclinic.ru/uhodovye-procedury/pilingi/piling-prx-t33/</x:v>
      </x:c>
      <x:c r="B950" s="14" t="str">
        <x:v>пилинг prx-t33 сургут</x:v>
      </x:c>
      <x:c r="C950" s="31" t="n">
        <x:v>0</x:v>
      </x:c>
      <x:c r="D950" s="31" t="n">
        <x:v>3</x:v>
      </x:c>
      <x:c r="E950" s="33" t="n">
        <x:f>IF(D950&gt;0,C950/D950,"")</x:f>
        <x:v>0</x:v>
      </x:c>
      <x:c r="F950" s="35" t="n">
        <x:v>2.67</x:v>
      </x:c>
    </x:row>
    <x:row r="951" ht="42" customHeight="1">
      <x:c r="A951" s="12" t="str">
        <x:v>https://kozhaclinic.ru/uhodovye-procedury/pilingi/piling-prx-t33/</x:v>
      </x:c>
      <x:c r="B951" s="12" t="str">
        <x:v>пилинг сургут</x:v>
      </x:c>
      <x:c r="C951" s="30" t="n">
        <x:v>0</x:v>
      </x:c>
      <x:c r="D951" s="30" t="n">
        <x:v>3</x:v>
      </x:c>
      <x:c r="E951" s="32" t="n">
        <x:f>IF(D951&gt;0,C951/D951,"")</x:f>
        <x:v>0</x:v>
      </x:c>
      <x:c r="F951" s="34" t="n">
        <x:v>16.33</x:v>
      </x:c>
    </x:row>
    <x:row r="952" ht="42" customHeight="1">
      <x:c r="A952" s="14" t="str">
        <x:v>https://kozhaclinic.ru/uhodovye-procedury/pilingi/piling-prx-t33/</x:v>
      </x:c>
      <x:c r="B952" s="14" t="str">
        <x:v>prx-t33 пилинг сургут</x:v>
      </x:c>
      <x:c r="C952" s="31" t="n">
        <x:v>0</x:v>
      </x:c>
      <x:c r="D952" s="31" t="n">
        <x:v>2</x:v>
      </x:c>
      <x:c r="E952" s="33" t="n">
        <x:f>IF(D952&gt;0,C952/D952,"")</x:f>
        <x:v>0</x:v>
      </x:c>
      <x:c r="F952" s="35" t="n">
        <x:v>2.5</x:v>
      </x:c>
    </x:row>
    <x:row r="953" ht="42" customHeight="1">
      <x:c r="A953" s="12" t="str">
        <x:v>https://kozhaclinic.ru/uhodovye-procedury/pilingi/piling-prx-t33/</x:v>
      </x:c>
      <x:c r="B953" s="12" t="str">
        <x:v>пилинг лица сургут</x:v>
      </x:c>
      <x:c r="C953" s="30" t="n">
        <x:v>0</x:v>
      </x:c>
      <x:c r="D953" s="30" t="n">
        <x:v>2</x:v>
      </x:c>
      <x:c r="E953" s="32" t="n">
        <x:f>IF(D953&gt;0,C953/D953,"")</x:f>
        <x:v>0</x:v>
      </x:c>
      <x:c r="F953" s="34" t="n">
        <x:v>28.5</x:v>
      </x:c>
    </x:row>
    <x:row r="954" ht="42" customHeight="1">
      <x:c r="A954" s="14" t="str">
        <x:v>https://kozhaclinic.ru/uhodovye-procedury/pilingi/piling-prx-t33/</x:v>
      </x:c>
      <x:c r="B954" s="14" t="str">
        <x:v>пилинг prx-t33 цена</x:v>
      </x:c>
      <x:c r="C954" s="31" t="n">
        <x:v>0</x:v>
      </x:c>
      <x:c r="D954" s="31" t="n">
        <x:v>1</x:v>
      </x:c>
      <x:c r="E954" s="33" t="n">
        <x:f>IF(D954&gt;0,C954/D954,"")</x:f>
        <x:v>0</x:v>
      </x:c>
      <x:c r="F954" s="35" t="n">
        <x:v>1</x:v>
      </x:c>
    </x:row>
    <x:row r="955" ht="42" customHeight="1">
      <x:c r="A955" s="12" t="str">
        <x:v>https://kozhaclinic.ru/uhodovye-procedury/pilingi/piling-prx-t33/</x:v>
      </x:c>
      <x:c r="B955" s="12" t="str">
        <x:v>пилинг профессиональный сургут</x:v>
      </x:c>
      <x:c r="C955" s="30" t="n">
        <x:v>0</x:v>
      </x:c>
      <x:c r="D955" s="30" t="n">
        <x:v>1</x:v>
      </x:c>
      <x:c r="E955" s="32" t="n">
        <x:f>IF(D955&gt;0,C955/D955,"")</x:f>
        <x:v>0</x:v>
      </x:c>
      <x:c r="F955" s="34" t="n">
        <x:v>30</x:v>
      </x:c>
    </x:row>
    <x:row r="956" ht="42" customHeight="1">
      <x:c r="A956" s="14" t="str">
        <x:v>https://kozhaclinic.ru/korrektsiya-rastyazhek/</x:v>
      </x:c>
      <x:c r="B956" s="14" t="str">
        <x:v>коллагенотерапия растяжек</x:v>
      </x:c>
      <x:c r="C956" s="31" t="n">
        <x:v>0</x:v>
      </x:c>
      <x:c r="D956" s="31" t="n">
        <x:v>22</x:v>
      </x:c>
      <x:c r="E956" s="33" t="n">
        <x:f>IF(D956&gt;0,C956/D956,"")</x:f>
        <x:v>0</x:v>
      </x:c>
      <x:c r="F956" s="35" t="n">
        <x:v>14.14</x:v>
      </x:c>
    </x:row>
    <x:row r="957" ht="42" customHeight="1">
      <x:c r="A957" s="12" t="str">
        <x:v>https://kozhaclinic.ru/korrektsiya-rastyazhek/</x:v>
      </x:c>
      <x:c r="B957" s="12" t="str">
        <x:v>стрий на коже</x:v>
      </x:c>
      <x:c r="C957" s="30" t="n">
        <x:v>0</x:v>
      </x:c>
      <x:c r="D957" s="30" t="n">
        <x:v>8</x:v>
      </x:c>
      <x:c r="E957" s="32" t="n">
        <x:f>IF(D957&gt;0,C957/D957,"")</x:f>
        <x:v>0</x:v>
      </x:c>
      <x:c r="F957" s="34" t="n">
        <x:v>9.75</x:v>
      </x:c>
    </x:row>
    <x:row r="958" ht="42" customHeight="1">
      <x:c r="A958" s="14" t="str">
        <x:v>https://kozhaclinic.ru/korrektsiya-rastyazhek/</x:v>
      </x:c>
      <x:c r="B958" s="14" t="str">
        <x:v>убрать растяжки сургут</x:v>
      </x:c>
      <x:c r="C958" s="31" t="n">
        <x:v>0</x:v>
      </x:c>
      <x:c r="D958" s="31" t="n">
        <x:v>2</x:v>
      </x:c>
      <x:c r="E958" s="33" t="n">
        <x:f>IF(D958&gt;0,C958/D958,"")</x:f>
        <x:v>0</x:v>
      </x:c>
      <x:c r="F958" s="35" t="n">
        <x:v>12</x:v>
      </x:c>
    </x:row>
    <x:row r="959" ht="42" customHeight="1">
      <x:c r="A959" s="12" t="str">
        <x:v>https://kozhaclinic.ru/korrektsiya-rastyazhek/</x:v>
      </x:c>
      <x:c r="B959" s="12" t="str">
        <x:v>застарелые</x:v>
      </x:c>
      <x:c r="C959" s="30" t="n">
        <x:v>0</x:v>
      </x:c>
      <x:c r="D959" s="30" t="n">
        <x:v>1</x:v>
      </x:c>
      <x:c r="E959" s="32" t="n">
        <x:f>IF(D959&gt;0,C959/D959,"")</x:f>
        <x:v>0</x:v>
      </x:c>
      <x:c r="F959" s="34" t="n">
        <x:v>3</x:v>
      </x:c>
    </x:row>
    <x:row r="960" ht="42" customHeight="1">
      <x:c r="A960" s="14" t="str">
        <x:v>https://kozhaclinic.ru/korrektsiya-rastyazhek/</x:v>
      </x:c>
      <x:c r="B960" s="14" t="str">
        <x:v>повысить упругость кожи</x:v>
      </x:c>
      <x:c r="C960" s="31" t="n">
        <x:v>0</x:v>
      </x:c>
      <x:c r="D960" s="31" t="n">
        <x:v>1</x:v>
      </x:c>
      <x:c r="E960" s="33" t="n">
        <x:f>IF(D960&gt;0,C960/D960,"")</x:f>
        <x:v>0</x:v>
      </x:c>
      <x:c r="F960" s="35" t="n">
        <x:v>7</x:v>
      </x:c>
    </x:row>
    <x:row r="961" ht="42" customHeight="1">
      <x:c r="A961" s="12" t="str">
        <x:v>https://kozhaclinic.ru/osmotry-i-konsultatsii/konsultatsiya-vracha-trikhologa-s-naznacheniem-plana-protsedur/</x:v>
      </x:c>
      <x:c r="B961" s="12" t="str">
        <x:v>трихолог сургут</x:v>
      </x:c>
      <x:c r="C961" s="30" t="n">
        <x:v>15</x:v>
      </x:c>
      <x:c r="D961" s="30" t="n">
        <x:v>308</x:v>
      </x:c>
      <x:c r="E961" s="32" t="n">
        <x:f>IF(D961&gt;0,C961/D961,"")</x:f>
        <x:v>0.048701298701298704</x:v>
      </x:c>
      <x:c r="F961" s="34" t="n">
        <x:v>5.19</x:v>
      </x:c>
    </x:row>
    <x:row r="962" ht="42" customHeight="1">
      <x:c r="A962" s="14" t="str">
        <x:v>https://kozhaclinic.ru/osmotry-i-konsultatsii/konsultatsiya-vracha-trikhologa-s-naznacheniem-plana-protsedur/</x:v>
      </x:c>
      <x:c r="B962" s="14" t="str">
        <x:v>трихолог сургут бесплатно</x:v>
      </x:c>
      <x:c r="C962" s="31" t="n">
        <x:v>1</x:v>
      </x:c>
      <x:c r="D962" s="31" t="n">
        <x:v>22</x:v>
      </x:c>
      <x:c r="E962" s="33" t="n">
        <x:f>IF(D962&gt;0,C962/D962,"")</x:f>
        <x:v>0.045454545454545456</x:v>
      </x:c>
      <x:c r="F962" s="35" t="n">
        <x:v>5.95</x:v>
      </x:c>
    </x:row>
    <x:row r="963" ht="42" customHeight="1">
      <x:c r="A963" s="12" t="str">
        <x:v>https://kozhaclinic.ru/osmotry-i-konsultatsii/konsultatsiya-vracha-trikhologa-s-naznacheniem-plana-protsedur/</x:v>
      </x:c>
      <x:c r="B963" s="12" t="str">
        <x:v>трихолог</x:v>
      </x:c>
      <x:c r="C963" s="30" t="n">
        <x:v>0</x:v>
      </x:c>
      <x:c r="D963" s="30" t="n">
        <x:v>48</x:v>
      </x:c>
      <x:c r="E963" s="32" t="n">
        <x:f>IF(D963&gt;0,C963/D963,"")</x:f>
        <x:v>0</x:v>
      </x:c>
      <x:c r="F963" s="34" t="n">
        <x:v>5.35</x:v>
      </x:c>
    </x:row>
    <x:row r="964" ht="42" customHeight="1">
      <x:c r="A964" s="14" t="str">
        <x:v>https://kozhaclinic.ru/osmotry-i-konsultatsii/konsultatsiya-vracha-trikhologa-s-naznacheniem-plana-protsedur/</x:v>
      </x:c>
      <x:c r="B964" s="14" t="str">
        <x:v>врач трихолог</x:v>
      </x:c>
      <x:c r="C964" s="31" t="n">
        <x:v>0</x:v>
      </x:c>
      <x:c r="D964" s="31" t="n">
        <x:v>7</x:v>
      </x:c>
      <x:c r="E964" s="33" t="n">
        <x:f>IF(D964&gt;0,C964/D964,"")</x:f>
        <x:v>0</x:v>
      </x:c>
      <x:c r="F964" s="35" t="n">
        <x:v>4</x:v>
      </x:c>
    </x:row>
    <x:row r="965" ht="42" customHeight="1">
      <x:c r="A965" s="12" t="str">
        <x:v>https://kozhaclinic.ru/osmotry-i-konsultatsii/konsultatsiya-vracha-trikhologa-s-naznacheniem-plana-protsedur/</x:v>
      </x:c>
      <x:c r="B965" s="12" t="str">
        <x:v>кожа головы трихолог</x:v>
      </x:c>
      <x:c r="C965" s="30" t="n">
        <x:v>0</x:v>
      </x:c>
      <x:c r="D965" s="30" t="n">
        <x:v>7</x:v>
      </x:c>
      <x:c r="E965" s="32" t="n">
        <x:f>IF(D965&gt;0,C965/D965,"")</x:f>
        <x:v>0</x:v>
      </x:c>
      <x:c r="F965" s="34" t="n">
        <x:v>11.43</x:v>
      </x:c>
    </x:row>
    <x:row r="966" ht="42" customHeight="1">
      <x:c r="A966" s="14" t="str">
        <x:v>https://kozhaclinic.ru/osmotry-i-konsultatsii/konsultatsiya-vracha-trikhologa-s-naznacheniem-plana-protsedur/</x:v>
      </x:c>
      <x:c r="B966" s="14" t="str">
        <x:v>хороший трихолог</x:v>
      </x:c>
      <x:c r="C966" s="31" t="n">
        <x:v>0</x:v>
      </x:c>
      <x:c r="D966" s="31" t="n">
        <x:v>6</x:v>
      </x:c>
      <x:c r="E966" s="33" t="n">
        <x:f>IF(D966&gt;0,C966/D966,"")</x:f>
        <x:v>0</x:v>
      </x:c>
      <x:c r="F966" s="35" t="n">
        <x:v>4</x:v>
      </x:c>
    </x:row>
    <x:row r="967" ht="42" customHeight="1">
      <x:c r="A967" s="12" t="str">
        <x:v>https://kozhaclinic.ru/osmotry-i-konsultatsii/konsultatsiya-vracha-trikhologa-s-naznacheniem-plana-protsedur/</x:v>
      </x:c>
      <x:c r="B967" s="12" t="str">
        <x:v>трихологи</x:v>
      </x:c>
      <x:c r="C967" s="30" t="n">
        <x:v>0</x:v>
      </x:c>
      <x:c r="D967" s="30" t="n">
        <x:v>5</x:v>
      </x:c>
      <x:c r="E967" s="32" t="n">
        <x:f>IF(D967&gt;0,C967/D967,"")</x:f>
        <x:v>0</x:v>
      </x:c>
      <x:c r="F967" s="34" t="n">
        <x:v>5.6</x:v>
      </x:c>
    </x:row>
    <x:row r="968" ht="42" customHeight="1">
      <x:c r="A968" s="14" t="str">
        <x:v>https://kozhaclinic.ru/osmotry-i-konsultatsii/konsultatsiya-vracha-trikhologa-s-naznacheniem-plana-protsedur/</x:v>
      </x:c>
      <x:c r="B968" s="14" t="str">
        <x:v>врач по волосам</x:v>
      </x:c>
      <x:c r="C968" s="31" t="n">
        <x:v>0</x:v>
      </x:c>
      <x:c r="D968" s="31" t="n">
        <x:v>5</x:v>
      </x:c>
      <x:c r="E968" s="33" t="n">
        <x:f>IF(D968&gt;0,C968/D968,"")</x:f>
        <x:v>0</x:v>
      </x:c>
      <x:c r="F968" s="35" t="n">
        <x:v>7.6</x:v>
      </x:c>
    </x:row>
    <x:row r="969" ht="42" customHeight="1">
      <x:c r="A969" s="12" t="str">
        <x:v>https://kozhaclinic.ru/osmotry-i-konsultatsii/konsultatsiya-vracha-trikhologa-s-naznacheniem-plana-protsedur/</x:v>
      </x:c>
      <x:c r="B969" s="12" t="str">
        <x:v>трихолог отзывы</x:v>
      </x:c>
      <x:c r="C969" s="30" t="n">
        <x:v>0</x:v>
      </x:c>
      <x:c r="D969" s="30" t="n">
        <x:v>5</x:v>
      </x:c>
      <x:c r="E969" s="32" t="n">
        <x:f>IF(D969&gt;0,C969/D969,"")</x:f>
        <x:v>0</x:v>
      </x:c>
      <x:c r="F969" s="34" t="n">
        <x:v>8.2</x:v>
      </x:c>
    </x:row>
    <x:row r="970" ht="42" customHeight="1">
      <x:c r="A970" s="14" t="str">
        <x:v>https://kozhaclinic.ru/osmotry-i-konsultatsii/konsultatsiya-vracha-trikhologa-s-naznacheniem-plana-protsedur/</x:v>
      </x:c>
      <x:c r="B970" s="14" t="str">
        <x:v>консультации трихолога</x:v>
      </x:c>
      <x:c r="C970" s="31" t="n">
        <x:v>0</x:v>
      </x:c>
      <x:c r="D970" s="31" t="n">
        <x:v>4</x:v>
      </x:c>
      <x:c r="E970" s="33" t="n">
        <x:f>IF(D970&gt;0,C970/D970,"")</x:f>
        <x:v>0</x:v>
      </x:c>
      <x:c r="F970" s="35" t="n">
        <x:v>51.5</x:v>
      </x:c>
    </x:row>
    <x:row r="971" ht="42" customHeight="1">
      <x:c r="A971" s="12" t="str">
        <x:v>https://kozhaclinic.ru/osmotry-i-konsultatsii/konsultatsiya-vracha-trikhologa-s-naznacheniem-plana-protsedur/</x:v>
      </x:c>
      <x:c r="B971" s="12" t="str">
        <x:v>врач для волос</x:v>
      </x:c>
      <x:c r="C971" s="30" t="n">
        <x:v>0</x:v>
      </x:c>
      <x:c r="D971" s="30" t="n">
        <x:v>3</x:v>
      </x:c>
      <x:c r="E971" s="32" t="n">
        <x:f>IF(D971&gt;0,C971/D971,"")</x:f>
        <x:v>0</x:v>
      </x:c>
      <x:c r="F971" s="34" t="n">
        <x:v>6.33</x:v>
      </x:c>
    </x:row>
    <x:row r="972" ht="42" customHeight="1">
      <x:c r="A972" s="14" t="str">
        <x:v>https://kozhaclinic.ru/osmotry-i-konsultatsii/konsultatsiya-vracha-trikhologa-s-naznacheniem-plana-protsedur/</x:v>
      </x:c>
      <x:c r="B972" s="14" t="str">
        <x:v>коллагенирование волос сургут</x:v>
      </x:c>
      <x:c r="C972" s="31" t="n">
        <x:v>0</x:v>
      </x:c>
      <x:c r="D972" s="31" t="n">
        <x:v>3</x:v>
      </x:c>
      <x:c r="E972" s="33" t="n">
        <x:f>IF(D972&gt;0,C972/D972,"")</x:f>
        <x:v>0</x:v>
      </x:c>
      <x:c r="F972" s="35" t="n">
        <x:v>28.33</x:v>
      </x:c>
    </x:row>
    <x:row r="973" ht="42" customHeight="1">
      <x:c r="A973" s="12" t="str">
        <x:v>https://kozhaclinic.ru/osmotry-i-konsultatsii/konsultatsiya-vracha-trikhologa-s-naznacheniem-plana-protsedur/</x:v>
      </x:c>
      <x:c r="B973" s="12" t="str">
        <x:v>как записаться к трихологу</x:v>
      </x:c>
      <x:c r="C973" s="30" t="n">
        <x:v>0</x:v>
      </x:c>
      <x:c r="D973" s="30" t="n">
        <x:v>2</x:v>
      </x:c>
      <x:c r="E973" s="32" t="n">
        <x:f>IF(D973&gt;0,C973/D973,"")</x:f>
        <x:v>0</x:v>
      </x:c>
      <x:c r="F973" s="34" t="n">
        <x:v>1</x:v>
      </x:c>
    </x:row>
    <x:row r="974" ht="42" customHeight="1">
      <x:c r="A974" s="14" t="str">
        <x:v>https://kozhaclinic.ru/osmotry-i-konsultatsii/konsultatsiya-vracha-trikhologa-s-naznacheniem-plana-protsedur/</x:v>
      </x:c>
      <x:c r="B974" s="14" t="str">
        <x:v>прием трихолога</x:v>
      </x:c>
      <x:c r="C974" s="31" t="n">
        <x:v>0</x:v>
      </x:c>
      <x:c r="D974" s="31" t="n">
        <x:v>2</x:v>
      </x:c>
      <x:c r="E974" s="33" t="n">
        <x:f>IF(D974&gt;0,C974/D974,"")</x:f>
        <x:v>0</x:v>
      </x:c>
      <x:c r="F974" s="35" t="n">
        <x:v>1.5</x:v>
      </x:c>
    </x:row>
    <x:row r="975" ht="42" customHeight="1">
      <x:c r="A975" s="12" t="str">
        <x:v>https://kozhaclinic.ru/osmotry-i-konsultatsii/konsultatsiya-vracha-trikhologa-s-naznacheniem-plana-protsedur/</x:v>
      </x:c>
      <x:c r="B975" s="12" t="str">
        <x:v>врач по выпадению волос</x:v>
      </x:c>
      <x:c r="C975" s="30" t="n">
        <x:v>0</x:v>
      </x:c>
      <x:c r="D975" s="30" t="n">
        <x:v>2</x:v>
      </x:c>
      <x:c r="E975" s="32" t="n">
        <x:f>IF(D975&gt;0,C975/D975,"")</x:f>
        <x:v>0</x:v>
      </x:c>
      <x:c r="F975" s="34" t="n">
        <x:v>5</x:v>
      </x:c>
    </x:row>
    <x:row r="976" ht="42" customHeight="1">
      <x:c r="A976" s="14" t="str">
        <x:v>https://kozhaclinic.ru/osmotry-i-konsultatsii/konsultatsiya-vracha-trikhologa-s-naznacheniem-plana-protsedur/</x:v>
      </x:c>
      <x:c r="B976" s="14" t="str">
        <x:v>какой врач по волосам</x:v>
      </x:c>
      <x:c r="C976" s="31" t="n">
        <x:v>0</x:v>
      </x:c>
      <x:c r="D976" s="31" t="n">
        <x:v>2</x:v>
      </x:c>
      <x:c r="E976" s="33" t="n">
        <x:f>IF(D976&gt;0,C976/D976,"")</x:f>
        <x:v>0</x:v>
      </x:c>
      <x:c r="F976" s="35" t="n">
        <x:v>6</x:v>
      </x:c>
    </x:row>
    <x:row r="977" ht="42" customHeight="1">
      <x:c r="A977" s="12" t="str">
        <x:v>https://kozhaclinic.ru/osmotry-i-konsultatsii/konsultatsiya-vracha-trikhologa-s-naznacheniem-plana-protsedur/</x:v>
      </x:c>
      <x:c r="B977" s="12" t="str">
        <x:v>трихоскопия</x:v>
      </x:c>
      <x:c r="C977" s="30" t="n">
        <x:v>0</x:v>
      </x:c>
      <x:c r="D977" s="30" t="n">
        <x:v>2</x:v>
      </x:c>
      <x:c r="E977" s="32" t="n">
        <x:f>IF(D977&gt;0,C977/D977,"")</x:f>
        <x:v>0</x:v>
      </x:c>
      <x:c r="F977" s="34" t="n">
        <x:v>6</x:v>
      </x:c>
    </x:row>
    <x:row r="978" ht="42" customHeight="1">
      <x:c r="A978" s="14" t="str">
        <x:v>https://kozhaclinic.ru/osmotry-i-konsultatsii/konsultatsiya-vracha-trikhologa-s-naznacheniem-plana-protsedur/</x:v>
      </x:c>
      <x:c r="B978" s="14" t="str">
        <x:v>тризолог</x:v>
      </x:c>
      <x:c r="C978" s="31" t="n">
        <x:v>0</x:v>
      </x:c>
      <x:c r="D978" s="31" t="n">
        <x:v>2</x:v>
      </x:c>
      <x:c r="E978" s="33" t="n">
        <x:f>IF(D978&gt;0,C978/D978,"")</x:f>
        <x:v>0</x:v>
      </x:c>
      <x:c r="F978" s="35" t="n">
        <x:v>7</x:v>
      </x:c>
    </x:row>
    <x:row r="979" ht="42" customHeight="1">
      <x:c r="A979" s="12" t="str">
        <x:v>https://kozhaclinic.ru/osmotry-i-konsultatsii/konsultatsiya-vracha-trikhologa-s-naznacheniem-plana-protsedur/</x:v>
      </x:c>
      <x:c r="B979" s="12" t="str">
        <x:v>врач который лечит кожу головы</x:v>
      </x:c>
      <x:c r="C979" s="30" t="n">
        <x:v>0</x:v>
      </x:c>
      <x:c r="D979" s="30" t="n">
        <x:v>2</x:v>
      </x:c>
      <x:c r="E979" s="32" t="n">
        <x:f>IF(D979&gt;0,C979/D979,"")</x:f>
        <x:v>0</x:v>
      </x:c>
      <x:c r="F979" s="34" t="n">
        <x:v>8.5</x:v>
      </x:c>
    </x:row>
    <x:row r="980" ht="42" customHeight="1">
      <x:c r="A980" s="14" t="str">
        <x:v>https://kozhaclinic.ru/osmotry-i-konsultatsii/konsultatsiya-vracha-trikhologa-s-naznacheniem-plana-protsedur/</x:v>
      </x:c>
      <x:c r="B980" s="14" t="str">
        <x:v>специалист по волосам и коже головы</x:v>
      </x:c>
      <x:c r="C980" s="31" t="n">
        <x:v>0</x:v>
      </x:c>
      <x:c r="D980" s="31" t="n">
        <x:v>2</x:v>
      </x:c>
      <x:c r="E980" s="33" t="n">
        <x:f>IF(D980&gt;0,C980/D980,"")</x:f>
        <x:v>0</x:v>
      </x:c>
      <x:c r="F980" s="35" t="n">
        <x:v>76</x:v>
      </x:c>
    </x:row>
    <x:row r="981" ht="42" customHeight="1">
      <x:c r="A981" s="12" t="str">
        <x:v>https://kozhaclinic.ru/osmotry-i-konsultatsii/konsultatsiya-vracha-trikhologa-s-naznacheniem-plana-protsedur/</x:v>
      </x:c>
      <x:c r="B981" s="12" t="str">
        <x:v>врач который лечит волосы на голове</x:v>
      </x:c>
      <x:c r="C981" s="30" t="n">
        <x:v>0</x:v>
      </x:c>
      <x:c r="D981" s="30" t="n">
        <x:v>1</x:v>
      </x:c>
      <x:c r="E981" s="32" t="n">
        <x:f>IF(D981&gt;0,C981/D981,"")</x:f>
        <x:v>0</x:v>
      </x:c>
      <x:c r="F981" s="34" t="n">
        <x:v>1</x:v>
      </x:c>
    </x:row>
    <x:row r="982" ht="42" customHeight="1">
      <x:c r="A982" s="14" t="str">
        <x:v>https://kozhaclinic.ru/osmotry-i-konsultatsii/konsultatsiya-vracha-trikhologa-s-naznacheniem-plana-protsedur/</x:v>
      </x:c>
      <x:c r="B982" s="14" t="str">
        <x:v>есть ли трихолог в обычной поликлинике</x:v>
      </x:c>
      <x:c r="C982" s="31" t="n">
        <x:v>0</x:v>
      </x:c>
      <x:c r="D982" s="31" t="n">
        <x:v>1</x:v>
      </x:c>
      <x:c r="E982" s="33" t="n">
        <x:f>IF(D982&gt;0,C982/D982,"")</x:f>
        <x:v>0</x:v>
      </x:c>
      <x:c r="F982" s="35" t="n">
        <x:v>1</x:v>
      </x:c>
    </x:row>
    <x:row r="983" ht="42" customHeight="1">
      <x:c r="A983" s="12" t="str">
        <x:v>https://kozhaclinic.ru/osmotry-i-konsultatsii/konsultatsiya-vracha-trikhologa-s-naznacheniem-plana-protsedur/</x:v>
      </x:c>
      <x:c r="B983" s="12" t="str">
        <x:v>консультация трихолога</x:v>
      </x:c>
      <x:c r="C983" s="30" t="n">
        <x:v>0</x:v>
      </x:c>
      <x:c r="D983" s="30" t="n">
        <x:v>1</x:v>
      </x:c>
      <x:c r="E983" s="32" t="n">
        <x:f>IF(D983&gt;0,C983/D983,"")</x:f>
        <x:v>0</x:v>
      </x:c>
      <x:c r="F983" s="34" t="n">
        <x:v>1</x:v>
      </x:c>
    </x:row>
    <x:row r="984" ht="42" customHeight="1">
      <x:c r="A984" s="14" t="str">
        <x:v>https://kozhaclinic.ru/osmotry-i-konsultatsii/konsultatsiya-vracha-trikhologa-s-naznacheniem-plana-protsedur/</x:v>
      </x:c>
      <x:c r="B984" s="14" t="str">
        <x:v>трихолг</x:v>
      </x:c>
      <x:c r="C984" s="31" t="n">
        <x:v>0</x:v>
      </x:c>
      <x:c r="D984" s="31" t="n">
        <x:v>1</x:v>
      </x:c>
      <x:c r="E984" s="33" t="n">
        <x:f>IF(D984&gt;0,C984/D984,"")</x:f>
        <x:v>0</x:v>
      </x:c>
      <x:c r="F984" s="35" t="n">
        <x:v>1</x:v>
      </x:c>
    </x:row>
    <x:row r="985" ht="42" customHeight="1">
      <x:c r="A985" s="12" t="str">
        <x:v>https://kozhaclinic.ru/osmotry-i-konsultatsii/konsultatsiya-vracha-trikhologa-s-naznacheniem-plana-protsedur/</x:v>
      </x:c>
      <x:c r="B985" s="12" t="str">
        <x:v>трихолого</x:v>
      </x:c>
      <x:c r="C985" s="30" t="n">
        <x:v>0</x:v>
      </x:c>
      <x:c r="D985" s="30" t="n">
        <x:v>1</x:v>
      </x:c>
      <x:c r="E985" s="32" t="n">
        <x:f>IF(D985&gt;0,C985/D985,"")</x:f>
        <x:v>0</x:v>
      </x:c>
      <x:c r="F985" s="34" t="n">
        <x:v>1</x:v>
      </x:c>
    </x:row>
    <x:row r="986" ht="42" customHeight="1">
      <x:c r="A986" s="14" t="str">
        <x:v>https://kozhaclinic.ru/osmotry-i-konsultatsii/konsultatsiya-vracha-trikhologa-s-naznacheniem-plana-protsedur/</x:v>
      </x:c>
      <x:c r="B986" s="14" t="str">
        <x:v>специалист по коже головы</x:v>
      </x:c>
      <x:c r="C986" s="31" t="n">
        <x:v>0</x:v>
      </x:c>
      <x:c r="D986" s="31" t="n">
        <x:v>1</x:v>
      </x:c>
      <x:c r="E986" s="33" t="n">
        <x:f>IF(D986&gt;0,C986/D986,"")</x:f>
        <x:v>0</x:v>
      </x:c>
      <x:c r="F986" s="35" t="n">
        <x:v>2</x:v>
      </x:c>
    </x:row>
    <x:row r="987" ht="42" customHeight="1">
      <x:c r="A987" s="12" t="str">
        <x:v>https://kozhaclinic.ru/osmotry-i-konsultatsii/konsultatsiya-vracha-trikhologa-s-naznacheniem-plana-protsedur/</x:v>
      </x:c>
      <x:c r="B987" s="12" t="str">
        <x:v>врач кожи головы</x:v>
      </x:c>
      <x:c r="C987" s="30" t="n">
        <x:v>0</x:v>
      </x:c>
      <x:c r="D987" s="30" t="n">
        <x:v>1</x:v>
      </x:c>
      <x:c r="E987" s="32" t="n">
        <x:f>IF(D987&gt;0,C987/D987,"")</x:f>
        <x:v>0</x:v>
      </x:c>
      <x:c r="F987" s="34" t="n">
        <x:v>4</x:v>
      </x:c>
    </x:row>
    <x:row r="988" ht="42" customHeight="1">
      <x:c r="A988" s="14" t="str">
        <x:v>https://kozhaclinic.ru/osmotry-i-konsultatsii/konsultatsiya-vracha-trikhologa-s-naznacheniem-plana-protsedur/</x:v>
      </x:c>
      <x:c r="B988" s="14" t="str">
        <x:v>дерматолог кожа головы</x:v>
      </x:c>
      <x:c r="C988" s="31" t="n">
        <x:v>0</x:v>
      </x:c>
      <x:c r="D988" s="31" t="n">
        <x:v>1</x:v>
      </x:c>
      <x:c r="E988" s="33" t="n">
        <x:f>IF(D988&gt;0,C988/D988,"")</x:f>
        <x:v>0</x:v>
      </x:c>
      <x:c r="F988" s="35" t="n">
        <x:v>4</x:v>
      </x:c>
    </x:row>
    <x:row r="989" ht="42" customHeight="1">
      <x:c r="A989" s="12" t="str">
        <x:v>https://kozhaclinic.ru/osmotry-i-konsultatsii/konsultatsiya-vracha-trikhologa-s-naznacheniem-plana-protsedur/</x:v>
      </x:c>
      <x:c r="B989" s="12" t="str">
        <x:v>трихоскопия кожи головы</x:v>
      </x:c>
      <x:c r="C989" s="30" t="n">
        <x:v>0</x:v>
      </x:c>
      <x:c r="D989" s="30" t="n">
        <x:v>1</x:v>
      </x:c>
      <x:c r="E989" s="32" t="n">
        <x:f>IF(D989&gt;0,C989/D989,"")</x:f>
        <x:v>0</x:v>
      </x:c>
      <x:c r="F989" s="34" t="n">
        <x:v>4</x:v>
      </x:c>
    </x:row>
    <x:row r="990" ht="42" customHeight="1">
      <x:c r="A990" s="14" t="str">
        <x:v>https://kozhaclinic.ru/osmotry-i-konsultatsii/konsultatsiya-vracha-trikhologa-s-naznacheniem-plana-protsedur/</x:v>
      </x:c>
      <x:c r="B990" s="14" t="str">
        <x:v>врач который лечит выпадение волос</x:v>
      </x:c>
      <x:c r="C990" s="31" t="n">
        <x:v>0</x:v>
      </x:c>
      <x:c r="D990" s="31" t="n">
        <x:v>1</x:v>
      </x:c>
      <x:c r="E990" s="33" t="n">
        <x:f>IF(D990&gt;0,C990/D990,"")</x:f>
        <x:v>0</x:v>
      </x:c>
      <x:c r="F990" s="35" t="n">
        <x:v>5</x:v>
      </x:c>
    </x:row>
    <x:row r="991" ht="42" customHeight="1">
      <x:c r="A991" s="12" t="str">
        <x:v>https://kozhaclinic.ru/osmotry-i-konsultatsii/konsultatsiya-vracha-trikhologa-s-naznacheniem-plana-protsedur/</x:v>
      </x:c>
      <x:c r="B991" s="12" t="str">
        <x:v>специалист по волосам</x:v>
      </x:c>
      <x:c r="C991" s="30" t="n">
        <x:v>0</x:v>
      </x:c>
      <x:c r="D991" s="30" t="n">
        <x:v>1</x:v>
      </x:c>
      <x:c r="E991" s="32" t="n">
        <x:f>IF(D991&gt;0,C991/D991,"")</x:f>
        <x:v>0</x:v>
      </x:c>
      <x:c r="F991" s="34" t="n">
        <x:v>5</x:v>
      </x:c>
    </x:row>
    <x:row r="992" ht="42" customHeight="1">
      <x:c r="A992" s="14" t="str">
        <x:v>https://kozhaclinic.ru/osmotry-i-konsultatsii/konsultatsiya-vracha-trikhologa-s-naznacheniem-plana-protsedur/</x:v>
      </x:c>
      <x:c r="B992" s="14" t="str">
        <x:v>трихологи сургута</x:v>
      </x:c>
      <x:c r="C992" s="31" t="n">
        <x:v>0</x:v>
      </x:c>
      <x:c r="D992" s="31" t="n">
        <x:v>1</x:v>
      </x:c>
      <x:c r="E992" s="33" t="n">
        <x:f>IF(D992&gt;0,C992/D992,"")</x:f>
        <x:v>0</x:v>
      </x:c>
      <x:c r="F992" s="35" t="n">
        <x:v>5</x:v>
      </x:c>
    </x:row>
    <x:row r="993" ht="42" customHeight="1">
      <x:c r="A993" s="12" t="str">
        <x:v>https://kozhaclinic.ru/osmotry-i-konsultatsii/konsultatsiya-vracha-trikhologa-s-naznacheniem-plana-protsedur/</x:v>
      </x:c>
      <x:c r="B993" s="12" t="str">
        <x:v>трихолор</x:v>
      </x:c>
      <x:c r="C993" s="30" t="n">
        <x:v>0</x:v>
      </x:c>
      <x:c r="D993" s="30" t="n">
        <x:v>1</x:v>
      </x:c>
      <x:c r="E993" s="32" t="n">
        <x:f>IF(D993&gt;0,C993/D993,"")</x:f>
        <x:v>0</x:v>
      </x:c>
      <x:c r="F993" s="34" t="n">
        <x:v>5</x:v>
      </x:c>
    </x:row>
    <x:row r="994" ht="42" customHeight="1">
      <x:c r="A994" s="14" t="str">
        <x:v>https://kozhaclinic.ru/osmotry-i-konsultatsii/konsultatsiya-vracha-trikhologa-s-naznacheniem-plana-protsedur/</x:v>
      </x:c>
      <x:c r="B994" s="14" t="str">
        <x:v>трехолог</x:v>
      </x:c>
      <x:c r="C994" s="31" t="n">
        <x:v>0</x:v>
      </x:c>
      <x:c r="D994" s="31" t="n">
        <x:v>1</x:v>
      </x:c>
      <x:c r="E994" s="33" t="n">
        <x:f>IF(D994&gt;0,C994/D994,"")</x:f>
        <x:v>0</x:v>
      </x:c>
      <x:c r="F994" s="35" t="n">
        <x:v>6</x:v>
      </x:c>
    </x:row>
    <x:row r="995" ht="42" customHeight="1">
      <x:c r="A995" s="12" t="str">
        <x:v>https://kozhaclinic.ru/osmotry-i-konsultatsii/konsultatsiya-vracha-trikhologa-s-naznacheniem-plana-protsedur/</x:v>
      </x:c>
      <x:c r="B995" s="12" t="str">
        <x:v>запись к трихологу</x:v>
      </x:c>
      <x:c r="C995" s="30" t="n">
        <x:v>0</x:v>
      </x:c>
      <x:c r="D995" s="30" t="n">
        <x:v>1</x:v>
      </x:c>
      <x:c r="E995" s="32" t="n">
        <x:f>IF(D995&gt;0,C995/D995,"")</x:f>
        <x:v>0</x:v>
      </x:c>
      <x:c r="F995" s="34" t="n">
        <x:v>7</x:v>
      </x:c>
    </x:row>
    <x:row r="996" ht="42" customHeight="1">
      <x:c r="A996" s="14" t="str">
        <x:v>https://kozhaclinic.ru/osmotry-i-konsultatsii/konsultatsiya-vracha-trikhologa-s-naznacheniem-plana-protsedur/</x:v>
      </x:c>
      <x:c r="B996" s="14" t="str">
        <x:v>трахеолог</x:v>
      </x:c>
      <x:c r="C996" s="31" t="n">
        <x:v>0</x:v>
      </x:c>
      <x:c r="D996" s="31" t="n">
        <x:v>1</x:v>
      </x:c>
      <x:c r="E996" s="33" t="n">
        <x:f>IF(D996&gt;0,C996/D996,"")</x:f>
        <x:v>0</x:v>
      </x:c>
      <x:c r="F996" s="35" t="n">
        <x:v>7</x:v>
      </x:c>
    </x:row>
    <x:row r="997" ht="42" customHeight="1">
      <x:c r="A997" s="12" t="str">
        <x:v>https://kozhaclinic.ru/osmotry-i-konsultatsii/konsultatsiya-vracha-trikhologa-s-naznacheniem-plana-protsedur/</x:v>
      </x:c>
      <x:c r="B997" s="12" t="str">
        <x:v>сколько стоит трихоскопия</x:v>
      </x:c>
      <x:c r="C997" s="30" t="n">
        <x:v>0</x:v>
      </x:c>
      <x:c r="D997" s="30" t="n">
        <x:v>1</x:v>
      </x:c>
      <x:c r="E997" s="32" t="n">
        <x:f>IF(D997&gt;0,C997/D997,"")</x:f>
        <x:v>0</x:v>
      </x:c>
      <x:c r="F997" s="34" t="n">
        <x:v>9</x:v>
      </x:c>
    </x:row>
    <x:row r="998" ht="42" customHeight="1">
      <x:c r="A998" s="14" t="str">
        <x:v>https://kozhaclinic.ru/osmotry-i-konsultatsii/konsultatsiya-vracha-trikhologa-s-naznacheniem-plana-protsedur/</x:v>
      </x:c>
      <x:c r="B998" s="14" t="str">
        <x:v>трихоскопию</x:v>
      </x:c>
      <x:c r="C998" s="31" t="n">
        <x:v>0</x:v>
      </x:c>
      <x:c r="D998" s="31" t="n">
        <x:v>1</x:v>
      </x:c>
      <x:c r="E998" s="33" t="n">
        <x:f>IF(D998&gt;0,C998/D998,"")</x:f>
        <x:v>0</x:v>
      </x:c>
      <x:c r="F998" s="35" t="n">
        <x:v>9</x:v>
      </x:c>
    </x:row>
    <x:row r="999" ht="42" customHeight="1">
      <x:c r="A999" s="12" t="str">
        <x:v>https://kozhaclinic.ru/osmotry-i-konsultatsii/konsultatsiya-vracha-trikhologa-s-naznacheniem-plana-protsedur/</x:v>
      </x:c>
      <x:c r="B999" s="12" t="str">
        <x:v>трахолог</x:v>
      </x:c>
      <x:c r="C999" s="30" t="n">
        <x:v>0</x:v>
      </x:c>
      <x:c r="D999" s="30" t="n">
        <x:v>1</x:v>
      </x:c>
      <x:c r="E999" s="32" t="n">
        <x:f>IF(D999&gt;0,C999/D999,"")</x:f>
        <x:v>0</x:v>
      </x:c>
      <x:c r="F999" s="34" t="n">
        <x:v>10</x:v>
      </x:c>
    </x:row>
    <x:row r="1000" ht="42" customHeight="1">
      <x:c r="A1000" s="14" t="str">
        <x:v>https://kozhaclinic.ru/osmotry-i-konsultatsii/konsultatsiya-vracha-trikhologa-s-naznacheniem-plana-protsedur/</x:v>
      </x:c>
      <x:c r="B1000" s="14" t="str">
        <x:v>детский трихолог</x:v>
      </x:c>
      <x:c r="C1000" s="31" t="n">
        <x:v>0</x:v>
      </x:c>
      <x:c r="D1000" s="31" t="n">
        <x:v>1</x:v>
      </x:c>
      <x:c r="E1000" s="33" t="n">
        <x:f>IF(D1000&gt;0,C1000/D1000,"")</x:f>
        <x:v>0</x:v>
      </x:c>
      <x:c r="F1000" s="35" t="n">
        <x:v>11</x:v>
      </x:c>
    </x:row>
    <x:row r="1001" ht="42" customHeight="1">
      <x:c r="A1001" s="12" t="str">
        <x:v>https://kozhaclinic.ru/osmotry-i-konsultatsii/konsultatsiya-vracha-trikhologa-s-naznacheniem-plana-protsedur/</x:v>
      </x:c>
      <x:c r="B1001" s="12" t="str">
        <x:v>тоихолог</x:v>
      </x:c>
      <x:c r="C1001" s="30" t="n">
        <x:v>0</x:v>
      </x:c>
      <x:c r="D1001" s="30" t="n">
        <x:v>1</x:v>
      </x:c>
      <x:c r="E1001" s="32" t="n">
        <x:f>IF(D1001&gt;0,C1001/D1001,"")</x:f>
        <x:v>0</x:v>
      </x:c>
      <x:c r="F1001" s="34" t="n">
        <x:v>12</x:v>
      </x:c>
    </x:row>
    <x:row r="1002" ht="42" customHeight="1">
      <x:c r="A1002" s="14" t="str">
        <x:v>https://kozhaclinic.ru/osmotry-i-konsultatsii/konsultatsiya-vracha-trikhologa-s-naznacheniem-plana-protsedur/</x:v>
      </x:c>
      <x:c r="B1002" s="14" t="str">
        <x:v>диагностика трихолог</x:v>
      </x:c>
      <x:c r="C1002" s="31" t="n">
        <x:v>0</x:v>
      </x:c>
      <x:c r="D1002" s="31" t="n">
        <x:v>1</x:v>
      </x:c>
      <x:c r="E1002" s="33" t="n">
        <x:f>IF(D1002&gt;0,C1002/D1002,"")</x:f>
        <x:v>0</x:v>
      </x:c>
      <x:c r="F1002" s="35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7f44abc677004bf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6.25" hidden="0" customWidth="1"/>
    <x:col min="2" max="2" width="71.25" hidden="0" customWidth="1"/>
    <x:col min="3" max="3" width="12.5" hidden="0" customWidth="1"/>
    <x:col min="4" max="4" width="13.75" hidden="0" customWidth="1"/>
    <x:col min="5" max="5" width="13.75" hidden="0" customWidth="1"/>
    <x:col min="6" max="6" width="15" hidden="0" customWidth="1"/>
    <x:col min="7" max="7" width="17.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Запросы Яндекса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1 039 строк месячной выгрузки. Сентябрь 2026, все регионы и устройства, органическая выдача.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4" t="str">
        <x:v>«Спрос» — отдельный показатель Вебмастера, не частотность Wordstat. При отсутствии показов позиция и CTR не вычисляются.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8" customHeight="1">
      <x:c r="A6" s="10" t="str">
        <x:v>Запрос</x:v>
      </x:c>
      <x:c r="B6" s="10" t="str">
        <x:v>Страница</x:v>
      </x:c>
      <x:c r="C6" s="10" t="str">
        <x:v>Клики</x:v>
      </x:c>
      <x:c r="D6" s="10" t="str">
        <x:v>Показы</x:v>
      </x:c>
      <x:c r="E6" s="10" t="str">
        <x:v>CTR</x:v>
      </x:c>
      <x:c r="F6" s="10" t="str">
        <x:v>Средняя позиция</x:v>
      </x:c>
      <x:c r="G6" s="10" t="str">
        <x:v>Спрос Вебмастера</x:v>
      </x:c>
    </x:row>
    <x:row r="7" ht="42" customHeight="1">
      <x:c r="A7" s="12" t="str">
        <x:v>ботулинотерапия сургут</x:v>
      </x:c>
      <x:c r="B7" s="12" t="str">
        <x:v>https://kozhaclinic.ru/inekcionnaya-kosmetologiya/botulinoterapiya/</x:v>
      </x:c>
      <x:c r="C7" s="30" t="n">
        <x:v>2</x:v>
      </x:c>
      <x:c r="D7" s="30" t="n">
        <x:v>13</x:v>
      </x:c>
      <x:c r="E7" s="32" t="n">
        <x:f>IF(AND(ISNUMBER(C7),ISNUMBER(D7),D7&gt;0),C7/D7,"")</x:f>
        <x:v>0.15384615384615385</x:v>
      </x:c>
      <x:c r="F7" s="34" t="n">
        <x:v>4</x:v>
      </x:c>
      <x:c r="G7" s="30" t="n">
        <x:v>14</x:v>
      </x:c>
    </x:row>
    <x:row r="8" ht="42" customHeight="1">
      <x:c r="A8" s="14" t="str">
        <x:v>биоревитализация сургут</x:v>
      </x:c>
      <x:c r="B8" s="14" t="str">
        <x:v>https://kozhaclinic.ru/inekcionnaya-kosmetologiya/omolozhenie-i-pitanie-kozhi/biorevitalizatsiya/</x:v>
      </x:c>
      <x:c r="C8" s="31" t="n">
        <x:v>2</x:v>
      </x:c>
      <x:c r="D8" s="31" t="n">
        <x:v>21</x:v>
      </x:c>
      <x:c r="E8" s="33" t="n">
        <x:f>IF(AND(ISNUMBER(C8),ISNUMBER(D8),D8&gt;0),C8/D8,"")</x:f>
        <x:v>0.09523809523809523</x:v>
      </x:c>
      <x:c r="F8" s="35" t="n">
        <x:v>4.5</x:v>
      </x:c>
      <x:c r="G8" s="31" t="n">
        <x:v>20</x:v>
      </x:c>
    </x:row>
    <x:row r="9" ht="42" customHeight="1">
      <x:c r="A9" s="12" t="str">
        <x:v>контурная пластика сургут</x:v>
      </x:c>
      <x:c r="B9" s="12" t="str">
        <x:v>https://kozhaclinic.ru/inekcionnaya-kosmetologiya/konturnaya-plastika/konturnaya-plastika-litsa/</x:v>
      </x:c>
      <x:c r="C9" s="30" t="n">
        <x:v>0</x:v>
      </x:c>
      <x:c r="D9" s="30" t="n">
        <x:v>2</x:v>
      </x:c>
      <x:c r="E9" s="32" t="n">
        <x:f>IF(AND(ISNUMBER(C9),ISNUMBER(D9),D9&gt;0),C9/D9,"")</x:f>
        <x:v>0</x:v>
      </x:c>
      <x:c r="F9" s="34" t="n">
        <x:v>6.5</x:v>
      </x:c>
      <x:c r="G9" s="30" t="n">
        <x:v>2</x:v>
      </x:c>
    </x:row>
    <x:row r="10" ht="42" customHeight="1">
      <x:c r="A10" s="14" t="str">
        <x:v>увеличение губ сургут</x:v>
      </x:c>
      <x:c r="B10" s="14" t="str">
        <x:v>https://kozhaclinic.ru/inekcionnaya-kosmetologiya/konturnaya-plastika/uvelichenie-gub/</x:v>
      </x:c>
      <x:c r="C10" s="31" t="n">
        <x:v>1</x:v>
      </x:c>
      <x:c r="D10" s="31" t="n">
        <x:v>40</x:v>
      </x:c>
      <x:c r="E10" s="33" t="n">
        <x:f>IF(AND(ISNUMBER(C10),ISNUMBER(D10),D10&gt;0),C10/D10,"")</x:f>
        <x:v>0.025</x:v>
      </x:c>
      <x:c r="F10" s="35" t="n">
        <x:v>6</x:v>
      </x:c>
      <x:c r="G10" s="31" t="n">
        <x:v>40</x:v>
      </x:c>
    </x:row>
    <x:row r="11" ht="42" customHeight="1">
      <x:c r="A11" s="12" t="str">
        <x:v>микроигольчатый rf лифтинг цена</x:v>
      </x:c>
      <x:c r="B11" s="12" t="str">
        <x:v>https://kozhaclinic.ru/apparatnaya-kosmetologiya/igolchatyy-rf-lifting-na-morpheus-8/</x:v>
      </x:c>
      <x:c r="C11" s="30" t="n">
        <x:v>0</x:v>
      </x:c>
      <x:c r="D11" s="30" t="n">
        <x:v>2</x:v>
      </x:c>
      <x:c r="E11" s="32" t="n">
        <x:f>IF(AND(ISNUMBER(C11),ISNUMBER(D11),D11&gt;0),C11/D11,"")</x:f>
        <x:v>0</x:v>
      </x:c>
      <x:c r="F11" s="34" t="n">
        <x:v>8.5</x:v>
      </x:c>
      <x:c r="G11" s="30" t="n">
        <x:v>747</x:v>
      </x:c>
    </x:row>
    <x:row r="12" ht="42" customHeight="1">
      <x:c r="A12" s="14" t="str">
        <x:v>рф лифтинг цена</x:v>
      </x:c>
      <x:c r="B12" s="14" t="str">
        <x:v>https://kozhaclinic.ru/apparatnaya-kosmetologiya/igolchatyy-rf-lifting-na-morpheus-8/</x:v>
      </x:c>
      <x:c r="C12" s="31" t="n">
        <x:v>0</x:v>
      </x:c>
      <x:c r="D12" s="31" t="n">
        <x:v>2</x:v>
      </x:c>
      <x:c r="E12" s="33" t="n">
        <x:f>IF(AND(ISNUMBER(C12),ISNUMBER(D12),D12&gt;0),C12/D12,"")</x:f>
        <x:v>0</x:v>
      </x:c>
      <x:c r="F12" s="35" t="n">
        <x:v>3.5</x:v>
      </x:c>
      <x:c r="G12" s="31" t="n">
        <x:v>5721</x:v>
      </x:c>
    </x:row>
    <x:row r="13" ht="42" customHeight="1">
      <x:c r="A13" s="12" t="str">
        <x:v>рф лифтинг сургут</x:v>
      </x:c>
      <x:c r="B13" s="12" t="str">
        <x:v>https://kozhaclinic.ru/apparatnaya-kosmetologiya/igolchatyy-rf-lifting-na-morpheus-8/</x:v>
      </x:c>
      <x:c r="C13" s="30" t="n">
        <x:v>0</x:v>
      </x:c>
      <x:c r="D13" s="30" t="n">
        <x:v>25</x:v>
      </x:c>
      <x:c r="E13" s="32" t="n">
        <x:f>IF(AND(ISNUMBER(C13),ISNUMBER(D13),D13&gt;0),C13/D13,"")</x:f>
        <x:v>0</x:v>
      </x:c>
      <x:c r="F13" s="34" t="n">
        <x:v>7.2</x:v>
      </x:c>
      <x:c r="G13" s="30" t="n">
        <x:v>26</x:v>
      </x:c>
    </x:row>
    <x:row r="14" ht="42" customHeight="1">
      <x:c r="A14" s="14" t="str">
        <x:v>увеличение губ сургут цены</x:v>
      </x:c>
      <x:c r="B14" s="14" t="str">
        <x:v>https://kozhaclinic.ru/inekcionnaya-kosmetologiya/konturnaya-plastika/uvelichenie-gub/</x:v>
      </x:c>
      <x:c r="C14" s="31" t="n">
        <x:v>1</x:v>
      </x:c>
      <x:c r="D14" s="31" t="n">
        <x:v>16</x:v>
      </x:c>
      <x:c r="E14" s="33" t="n">
        <x:f>IF(AND(ISNUMBER(C14),ISNUMBER(D14),D14&gt;0),C14/D14,"")</x:f>
        <x:v>0.0625</x:v>
      </x:c>
      <x:c r="F14" s="35" t="n">
        <x:v>9</x:v>
      </x:c>
      <x:c r="G14" s="31" t="n">
        <x:v>18</x:v>
      </x:c>
    </x:row>
    <x:row r="15" ht="42" customHeight="1">
      <x:c r="A15" s="12" t="str">
        <x:v>чистка лица сургут</x:v>
      </x:c>
      <x:c r="B15" s="12" t="str">
        <x:v>https://kozhaclinic.ru/</x:v>
      </x:c>
      <x:c r="C15" s="30" t="n">
        <x:v>0</x:v>
      </x:c>
      <x:c r="D15" s="30" t="n">
        <x:v>35</x:v>
      </x:c>
      <x:c r="E15" s="32" t="n">
        <x:f>IF(AND(ISNUMBER(C15),ISNUMBER(D15),D15&gt;0),C15/D15,"")</x:f>
        <x:v>0</x:v>
      </x:c>
      <x:c r="F15" s="34" t="n">
        <x:v>9.7</x:v>
      </x:c>
      <x:c r="G15" s="30" t="n">
        <x:v>44</x:v>
      </x:c>
    </x:row>
    <x:row r="16" ht="42" customHeight="1">
      <x:c r="A16" s="14" t="str">
        <x:v>rf лифтинг сургут</x:v>
      </x:c>
      <x:c r="B16" s="14" t="str">
        <x:v>https://kozhaclinic.ru/apparatnaya-kosmetologiya/igolchatyy-rf-lifting-na-morpheus-8/</x:v>
      </x:c>
      <x:c r="C16" s="31" t="n">
        <x:v>1</x:v>
      </x:c>
      <x:c r="D16" s="31" t="n">
        <x:v>13</x:v>
      </x:c>
      <x:c r="E16" s="33" t="n">
        <x:f>IF(AND(ISNUMBER(C16),ISNUMBER(D16),D16&gt;0),C16/D16,"")</x:f>
        <x:v>0.07692307692307693</x:v>
      </x:c>
      <x:c r="F16" s="35" t="n">
        <x:v>8.6</x:v>
      </x:c>
      <x:c r="G16" s="31" t="n">
        <x:v>16</x:v>
      </x:c>
    </x:row>
    <x:row r="17" ht="42" customHeight="1">
      <x:c r="A17" s="12" t="str">
        <x:v>лазерная эпиляция сургут</x:v>
      </x:c>
      <x:c r="B17" s="12" t="str">
        <x:v>https://kozhaclinic.ru/lazernaya-kosmetologiya/lazernaya-epilyaciya/</x:v>
      </x:c>
      <x:c r="C17" s="30" t="n">
        <x:v>2</x:v>
      </x:c>
      <x:c r="D17" s="30" t="n">
        <x:v>285</x:v>
      </x:c>
      <x:c r="E17" s="32" t="n">
        <x:f>IF(AND(ISNUMBER(C17),ISNUMBER(D17),D17&gt;0),C17/D17,"")</x:f>
        <x:v>0.007017543859649123</x:v>
      </x:c>
      <x:c r="F17" s="34" t="n">
        <x:v>10.3</x:v>
      </x:c>
      <x:c r="G17" s="30" t="n">
        <x:v>385</x:v>
      </x:c>
    </x:row>
    <x:row r="18" ht="42" customHeight="1">
      <x:c r="A18" s="14" t="str">
        <x:v>удаление родинок сургут</x:v>
      </x:c>
      <x:c r="B18" s="14" t="str">
        <x:v>https://kozhaclinic.ru/udalenie-novoobrazovanij/udalenie-rodinok/</x:v>
      </x:c>
      <x:c r="C18" s="31" t="n">
        <x:v>8</x:v>
      </x:c>
      <x:c r="D18" s="31" t="n">
        <x:v>157</x:v>
      </x:c>
      <x:c r="E18" s="33" t="n">
        <x:f>IF(AND(ISNUMBER(C18),ISNUMBER(D18),D18&gt;0),C18/D18,"")</x:f>
        <x:v>0.050955414012738856</x:v>
      </x:c>
      <x:c r="F18" s="35" t="n">
        <x:v>4.2</x:v>
      </x:c>
      <x:c r="G18" s="31" t="n">
        <x:v>156</x:v>
      </x:c>
    </x:row>
    <x:row r="19" ht="42" customHeight="1">
      <x:c r="A19" s="12" t="str">
        <x:v>микроигольчатый рф лифтинг лица цена</x:v>
      </x:c>
      <x:c r="B19" s="12" t="str">
        <x:v>https://kozhaclinic.ru/apparatnaya-kosmetologiya/igolchatyy-rf-lifting-na-morpheus-8/</x:v>
      </x:c>
      <x:c r="C19" s="30" t="n">
        <x:v>0</x:v>
      </x:c>
      <x:c r="D19" s="30" t="n">
        <x:v>2</x:v>
      </x:c>
      <x:c r="E19" s="32" t="n">
        <x:f>IF(AND(ISNUMBER(C19),ISNUMBER(D19),D19&gt;0),C19/D19,"")</x:f>
        <x:v>0</x:v>
      </x:c>
      <x:c r="F19" s="34" t="n">
        <x:v>5.5</x:v>
      </x:c>
      <x:c r="G19" s="30" t="n">
        <x:v>553</x:v>
      </x:c>
    </x:row>
    <x:row r="20" ht="42" customHeight="1">
      <x:c r="A20" s="14" t="str">
        <x:v>контурная пластика лица</x:v>
      </x:c>
      <x:c r="B20" s="14" t="str">
        <x:v>https://kozhaclinic.ru/inekcionnaya-kosmetologiya/konturnaya-plastika/konturnaya-plastika-litsa/</x:v>
      </x:c>
      <x:c r="C20" s="31" t="n">
        <x:v>0</x:v>
      </x:c>
      <x:c r="D20" s="31" t="n">
        <x:v>2</x:v>
      </x:c>
      <x:c r="E20" s="33" t="n">
        <x:f>IF(AND(ISNUMBER(C20),ISNUMBER(D20),D20&gt;0),C20/D20,"")</x:f>
        <x:v>0</x:v>
      </x:c>
      <x:c r="F20" s="35" t="n">
        <x:v>6.5</x:v>
      </x:c>
      <x:c r="G20" s="31" t="n">
        <x:v>4162</x:v>
      </x:c>
    </x:row>
    <x:row r="21" ht="42" customHeight="1">
      <x:c r="A21" s="12" t="str">
        <x:v>удаление папиллом сургут</x:v>
      </x:c>
      <x:c r="B21" s="12" t="str">
        <x:v>https://kozhaclinic.ru/udalenie-novoobrazovanij/udalenie-papilom/</x:v>
      </x:c>
      <x:c r="C21" s="30" t="n">
        <x:v>7</x:v>
      </x:c>
      <x:c r="D21" s="30" t="n">
        <x:v>183</x:v>
      </x:c>
      <x:c r="E21" s="32" t="n">
        <x:f>IF(AND(ISNUMBER(C21),ISNUMBER(D21),D21&gt;0),C21/D21,"")</x:f>
        <x:v>0.03825136612021858</x:v>
      </x:c>
      <x:c r="F21" s="34" t="n">
        <x:v>5.2</x:v>
      </x:c>
      <x:c r="G21" s="30" t="n">
        <x:v>188</x:v>
      </x:c>
    </x:row>
    <x:row r="22" ht="42" customHeight="1">
      <x:c r="A22" s="14" t="str">
        <x:v>контурная пластика</x:v>
      </x:c>
      <x:c r="B22" s="14" t="str">
        <x:v>https://kozhaclinic.ru/inekcionnaya-kosmetologiya/konturnaya-plastika/</x:v>
      </x:c>
      <x:c r="C22" s="31" t="n">
        <x:v>0</x:v>
      </x:c>
      <x:c r="D22" s="31" t="n">
        <x:v>2</x:v>
      </x:c>
      <x:c r="E22" s="33" t="n">
        <x:f>IF(AND(ISNUMBER(C22),ISNUMBER(D22),D22&gt;0),C22/D22,"")</x:f>
        <x:v>0</x:v>
      </x:c>
      <x:c r="F22" s="35" t="n">
        <x:v>9.5</x:v>
      </x:c>
      <x:c r="G22" s="31" t="n">
        <x:v>4035</x:v>
      </x:c>
    </x:row>
    <x:row r="23" ht="42" customHeight="1">
      <x:c r="A23" s="12" t="str">
        <x:v>плазмолифтинг сургут</x:v>
      </x:c>
      <x:c r="B23" s="12" t="str">
        <x:v>https://kozhaclinic.ru/inekcionnaya-kosmetologiya/omolozhenie-i-pitanie-kozhi/plazmolifting-dlya-volos/</x:v>
      </x:c>
      <x:c r="C23" s="30" t="n">
        <x:v>0</x:v>
      </x:c>
      <x:c r="D23" s="30" t="n">
        <x:v>10</x:v>
      </x:c>
      <x:c r="E23" s="32" t="n">
        <x:f>IF(AND(ISNUMBER(C23),ISNUMBER(D23),D23&gt;0),C23/D23,"")</x:f>
        <x:v>0</x:v>
      </x:c>
      <x:c r="F23" s="34" t="n">
        <x:v>10.5</x:v>
      </x:c>
      <x:c r="G23" s="30" t="n">
        <x:v>14</x:v>
      </x:c>
    </x:row>
    <x:row r="24" ht="42" customHeight="1">
      <x:c r="A24" s="14" t="str">
        <x:v>косметолог сургут чистка лица</x:v>
      </x:c>
      <x:c r="B24" s="14" t="str">
        <x:v>https://kozhaclinic.ru/</x:v>
      </x:c>
      <x:c r="C24" s="31" t="n">
        <x:v>0</x:v>
      </x:c>
      <x:c r="D24" s="31" t="n">
        <x:v>10</x:v>
      </x:c>
      <x:c r="E24" s="33" t="n">
        <x:f>IF(AND(ISNUMBER(C24),ISNUMBER(D24),D24&gt;0),C24/D24,"")</x:f>
        <x:v>0</x:v>
      </x:c>
      <x:c r="F24" s="35" t="n">
        <x:v>10</x:v>
      </x:c>
      <x:c r="G24" s="31" t="n">
        <x:v>13</x:v>
      </x:c>
    </x:row>
    <x:row r="25" ht="42" customHeight="1">
      <x:c r="A25" s="12" t="str">
        <x:v>косметология сургут</x:v>
      </x:c>
      <x:c r="B25" s="12" t="str">
        <x:v>https://kozhaclinic.ru/</x:v>
      </x:c>
      <x:c r="C25" s="30" t="n">
        <x:v>0</x:v>
      </x:c>
      <x:c r="D25" s="30" t="n">
        <x:v>90</x:v>
      </x:c>
      <x:c r="E25" s="32" t="n">
        <x:f>IF(AND(ISNUMBER(C25),ISNUMBER(D25),D25&gt;0),C25/D25,"")</x:f>
        <x:v>0</x:v>
      </x:c>
      <x:c r="F25" s="34" t="n">
        <x:v>6</x:v>
      </x:c>
      <x:c r="G25" s="30" t="n">
        <x:v>94</x:v>
      </x:c>
    </x:row>
    <x:row r="26" ht="42" customHeight="1">
      <x:c r="A26" s="14" t="str">
        <x:v>биоревитализация стоимость</x:v>
      </x:c>
      <x:c r="B26" s="14" t="str">
        <x:v>https://kozhaclinic.ru/inekcionnaya-kosmetologiya/omolozhenie-i-pitanie-kozhi/biorevitalizatsiya/</x:v>
      </x:c>
      <x:c r="C26" s="31" t="n">
        <x:v>0</x:v>
      </x:c>
      <x:c r="D26" s="31" t="n">
        <x:v>4</x:v>
      </x:c>
      <x:c r="E26" s="33" t="n">
        <x:f>IF(AND(ISNUMBER(C26),ISNUMBER(D26),D26&gt;0),C26/D26,"")</x:f>
        <x:v>0</x:v>
      </x:c>
      <x:c r="F26" s="35" t="n">
        <x:v>5.2</x:v>
      </x:c>
      <x:c r="G26" s="31" t="n">
        <x:v>2097</x:v>
      </x:c>
    </x:row>
    <x:row r="27" ht="42" customHeight="1">
      <x:c r="A27" s="12" t="str">
        <x:v>удаление бородавок сургут</x:v>
      </x:c>
      <x:c r="B27" s="12" t="str">
        <x:v>https://kozhaclinic.ru/udalenie-novoobrazovanij/udalenie-borodavok/</x:v>
      </x:c>
      <x:c r="C27" s="30" t="n">
        <x:v>6</x:v>
      </x:c>
      <x:c r="D27" s="30" t="n">
        <x:v>119</x:v>
      </x:c>
      <x:c r="E27" s="32" t="n">
        <x:f>IF(AND(ISNUMBER(C27),ISNUMBER(D27),D27&gt;0),C27/D27,"")</x:f>
        <x:v>0.05042016806722689</x:v>
      </x:c>
      <x:c r="F27" s="34" t="n">
        <x:v>5.1</x:v>
      </x:c>
      <x:c r="G27" s="30" t="n">
        <x:v>121</x:v>
      </x:c>
    </x:row>
    <x:row r="28" ht="42" customHeight="1">
      <x:c r="A28" s="14" t="str">
        <x:v>рф лифтинг лица цена</x:v>
      </x:c>
      <x:c r="B28" s="14" t="str">
        <x:v>https://kozhaclinic.ru/apparatnaya-kosmetologiya/igolchatyy-rf-lifting-na-morpheus-8/</x:v>
      </x:c>
      <x:c r="C28" s="31" t="n">
        <x:v>0</x:v>
      </x:c>
      <x:c r="D28" s="31" t="n">
        <x:v>0</x:v>
      </x:c>
      <x:c r="E28" s="33" t="str">
        <x:f>IF(AND(ISNUMBER(C28),ISNUMBER(D28),D28&gt;0),C28/D28,"")</x:f>
      </x:c>
      <x:c r="F28" s="35"/>
      <x:c r="G28" s="31" t="n">
        <x:v>2405</x:v>
      </x:c>
    </x:row>
    <x:row r="29" ht="42" customHeight="1">
      <x:c r="A29" s="12" t="str">
        <x:v>миграция филлера в губах</x:v>
      </x:c>
      <x:c r="B29" s="12" t="str">
        <x:v>https://kozhaclinic.ru/migratsiya-gelya-iz-gub/</x:v>
      </x:c>
      <x:c r="C29" s="30" t="n">
        <x:v>1</x:v>
      </x:c>
      <x:c r="D29" s="30" t="n">
        <x:v>248</x:v>
      </x:c>
      <x:c r="E29" s="32" t="n">
        <x:f>IF(AND(ISNUMBER(C29),ISNUMBER(D29),D29&gt;0),C29/D29,"")</x:f>
        <x:v>0.004032258064516129</x:v>
      </x:c>
      <x:c r="F29" s="34" t="n">
        <x:v>7.3</x:v>
      </x:c>
      <x:c r="G29" s="30" t="n">
        <x:v>271</x:v>
      </x:c>
    </x:row>
    <x:row r="30" ht="42" customHeight="1">
      <x:c r="A30" s="14" t="str">
        <x:v>плазмотерапия сургут</x:v>
      </x:c>
      <x:c r="B30" s="14" t="str">
        <x:v>https://kozhaclinic.ru/inekcionnaya-kosmetologiya/omolozhenie-i-pitanie-kozhi/prp-terapiya-cortexil/</x:v>
      </x:c>
      <x:c r="C30" s="31" t="n">
        <x:v>0</x:v>
      </x:c>
      <x:c r="D30" s="31" t="n">
        <x:v>11</x:v>
      </x:c>
      <x:c r="E30" s="33" t="n">
        <x:f>IF(AND(ISNUMBER(C30),ISNUMBER(D30),D30&gt;0),C30/D30,"")</x:f>
        <x:v>0</x:v>
      </x:c>
      <x:c r="F30" s="35" t="n">
        <x:v>8</x:v>
      </x:c>
      <x:c r="G30" s="31" t="n">
        <x:v>12</x:v>
      </x:c>
    </x:row>
    <x:row r="31" ht="42" customHeight="1">
      <x:c r="A31" s="12" t="str">
        <x:v>миграция губ</x:v>
      </x:c>
      <x:c r="B31" s="12" t="str">
        <x:v>https://kozhaclinic.ru/migratsiya-gelya-iz-gub/</x:v>
      </x:c>
      <x:c r="C31" s="30" t="n">
        <x:v>1</x:v>
      </x:c>
      <x:c r="D31" s="30" t="n">
        <x:v>77</x:v>
      </x:c>
      <x:c r="E31" s="32" t="n">
        <x:f>IF(AND(ISNUMBER(C31),ISNUMBER(D31),D31&gt;0),C31/D31,"")</x:f>
        <x:v>0.012987012987012988</x:v>
      </x:c>
      <x:c r="F31" s="34" t="n">
        <x:v>7</x:v>
      </x:c>
      <x:c r="G31" s="30" t="n">
        <x:v>94</x:v>
      </x:c>
    </x:row>
    <x:row r="32" ht="42" customHeight="1">
      <x:c r="A32" s="14" t="str">
        <x:v>кожа салон косметологии</x:v>
      </x:c>
      <x:c r="B32" s="14" t="str">
        <x:v>https://kozhaclinic.ru/akcii/</x:v>
      </x:c>
      <x:c r="C32" s="31" t="n">
        <x:v>0</x:v>
      </x:c>
      <x:c r="D32" s="31" t="n">
        <x:v>118</x:v>
      </x:c>
      <x:c r="E32" s="33" t="n">
        <x:f>IF(AND(ISNUMBER(C32),ISNUMBER(D32),D32&gt;0),C32/D32,"")</x:f>
        <x:v>0</x:v>
      </x:c>
      <x:c r="F32" s="35" t="n">
        <x:v>5</x:v>
      </x:c>
      <x:c r="G32" s="31" t="n">
        <x:v>120</x:v>
      </x:c>
    </x:row>
    <x:row r="33" ht="42" customHeight="1">
      <x:c r="A33" s="12" t="str">
        <x:v>кожа клиника сургут</x:v>
      </x:c>
      <x:c r="B33" s="12" t="str">
        <x:v>https://kozhaclinic.ru/</x:v>
      </x:c>
      <x:c r="C33" s="30" t="n">
        <x:v>26</x:v>
      </x:c>
      <x:c r="D33" s="30" t="n">
        <x:v>111</x:v>
      </x:c>
      <x:c r="E33" s="32" t="n">
        <x:f>IF(AND(ISNUMBER(C33),ISNUMBER(D33),D33&gt;0),C33/D33,"")</x:f>
        <x:v>0.23423423423423423</x:v>
      </x:c>
      <x:c r="F33" s="34" t="n">
        <x:v>1.9</x:v>
      </x:c>
      <x:c r="G33" s="30" t="n">
        <x:v>85</x:v>
      </x:c>
    </x:row>
    <x:row r="34" ht="42" customHeight="1">
      <x:c r="A34" s="14" t="str">
        <x:v>косметолог сургут чистка лица цена процедуры</x:v>
      </x:c>
      <x:c r="B34" s="14" t="str">
        <x:v>https://kozhaclinic.ru/ceny-prajs-list/</x:v>
      </x:c>
      <x:c r="C34" s="31" t="n">
        <x:v>0</x:v>
      </x:c>
      <x:c r="D34" s="31" t="n">
        <x:v>5</x:v>
      </x:c>
      <x:c r="E34" s="33" t="n">
        <x:f>IF(AND(ISNUMBER(C34),ISNUMBER(D34),D34&gt;0),C34/D34,"")</x:f>
        <x:v>0</x:v>
      </x:c>
      <x:c r="F34" s="35" t="n">
        <x:v>5.8</x:v>
      </x:c>
      <x:c r="G34" s="31" t="n">
        <x:v>5</x:v>
      </x:c>
    </x:row>
    <x:row r="35" ht="42" customHeight="1">
      <x:c r="A35" s="12" t="str">
        <x:v>лазерная эпиляция сургут цена</x:v>
      </x:c>
      <x:c r="B35" s="12" t="str">
        <x:v>https://kozhaclinic.ru/lazernaya-kosmetologiya/lazernaya-epilyaciya/dlya-zhenshchin/</x:v>
      </x:c>
      <x:c r="C35" s="30" t="n">
        <x:v>0</x:v>
      </x:c>
      <x:c r="D35" s="30" t="n">
        <x:v>9</x:v>
      </x:c>
      <x:c r="E35" s="32" t="n">
        <x:f>IF(AND(ISNUMBER(C35),ISNUMBER(D35),D35&gt;0),C35/D35,"")</x:f>
        <x:v>0</x:v>
      </x:c>
      <x:c r="F35" s="34" t="n">
        <x:v>10.2</x:v>
      </x:c>
      <x:c r="G35" s="30" t="n">
        <x:v>14</x:v>
      </x:c>
    </x:row>
    <x:row r="36" ht="42" customHeight="1">
      <x:c r="A36" s="14" t="str">
        <x:v>биоревитализация цена</x:v>
      </x:c>
      <x:c r="B36" s="14" t="str">
        <x:v>https://kozhaclinic.ru/inekcionnaya-kosmetologiya/omolozhenie-i-pitanie-kozhi/biorevitalizatsiya/</x:v>
      </x:c>
      <x:c r="C36" s="31" t="n">
        <x:v>0</x:v>
      </x:c>
      <x:c r="D36" s="31" t="n">
        <x:v>2</x:v>
      </x:c>
      <x:c r="E36" s="33" t="n">
        <x:f>IF(AND(ISNUMBER(C36),ISNUMBER(D36),D36&gt;0),C36/D36,"")</x:f>
        <x:v>0</x:v>
      </x:c>
      <x:c r="F36" s="35" t="n">
        <x:v>6.5</x:v>
      </x:c>
      <x:c r="G36" s="31" t="n">
        <x:v>10031</x:v>
      </x:c>
    </x:row>
    <x:row r="37" ht="42" customHeight="1">
      <x:c r="A37" s="12" t="str">
        <x:v>клиника лазерной эпиляции</x:v>
      </x:c>
      <x:c r="B37" s="12" t="str">
        <x:v>https://kozhaclinic.ru/lazernaya-kosmetologiya/dlya-zhenshchin/</x:v>
      </x:c>
      <x:c r="C37" s="30" t="n">
        <x:v>0</x:v>
      </x:c>
      <x:c r="D37" s="30" t="n">
        <x:v>2</x:v>
      </x:c>
      <x:c r="E37" s="32" t="n">
        <x:f>IF(AND(ISNUMBER(C37),ISNUMBER(D37),D37&gt;0),C37/D37,"")</x:f>
        <x:v>0</x:v>
      </x:c>
      <x:c r="F37" s="34" t="n">
        <x:v>8</x:v>
      </x:c>
      <x:c r="G37" s="30" t="n">
        <x:v>2280</x:v>
      </x:c>
    </x:row>
    <x:row r="38" ht="42" customHeight="1">
      <x:c r="A38" s="14" t="str">
        <x:v>rf лифтинг цена</x:v>
      </x:c>
      <x:c r="B38" s="14" t="str">
        <x:v>https://kozhaclinic.ru/apparatnaya-kosmetologiya/igolchatyy-rf-lifting-na-morpheus-8/</x:v>
      </x:c>
      <x:c r="C38" s="31" t="n">
        <x:v>0</x:v>
      </x:c>
      <x:c r="D38" s="31" t="n">
        <x:v>0</x:v>
      </x:c>
      <x:c r="E38" s="33" t="str">
        <x:f>IF(AND(ISNUMBER(C38),ISNUMBER(D38),D38&gt;0),C38/D38,"")</x:f>
      </x:c>
      <x:c r="F38" s="35"/>
      <x:c r="G38" s="31" t="n">
        <x:v>5165</x:v>
      </x:c>
    </x:row>
    <x:row r="39" ht="42" customHeight="1">
      <x:c r="A39" s="12" t="str">
        <x:v>косметолог сургут</x:v>
      </x:c>
      <x:c r="B39" s="12" t="str">
        <x:v>https://kozhaclinic.ru/</x:v>
      </x:c>
      <x:c r="C39" s="30" t="n">
        <x:v>2</x:v>
      </x:c>
      <x:c r="D39" s="30" t="n">
        <x:v>62</x:v>
      </x:c>
      <x:c r="E39" s="32" t="n">
        <x:f>IF(AND(ISNUMBER(C39),ISNUMBER(D39),D39&gt;0),C39/D39,"")</x:f>
        <x:v>0.03225806451612903</x:v>
      </x:c>
      <x:c r="F39" s="34" t="n">
        <x:v>9.5</x:v>
      </x:c>
      <x:c r="G39" s="30" t="n">
        <x:v>83</x:v>
      </x:c>
    </x:row>
    <x:row r="40" ht="42" customHeight="1">
      <x:c r="A40" s="14" t="str">
        <x:v>механическая чистка лица стоимость</x:v>
      </x:c>
      <x:c r="B40" s="14" t="str">
        <x:v>https://kozhaclinic.ru/uhodovye-procedury/chistki-litsa-i-spiny/kombinirovannaya-chistka/</x:v>
      </x:c>
      <x:c r="C40" s="31" t="n">
        <x:v>0</x:v>
      </x:c>
      <x:c r="D40" s="31" t="n">
        <x:v>1</x:v>
      </x:c>
      <x:c r="E40" s="33" t="n">
        <x:f>IF(AND(ISNUMBER(C40),ISNUMBER(D40),D40&gt;0),C40/D40,"")</x:f>
        <x:v>0</x:v>
      </x:c>
      <x:c r="F40" s="35" t="n">
        <x:v>11</x:v>
      </x:c>
      <x:c r="G40" s="31" t="n">
        <x:v>85</x:v>
      </x:c>
    </x:row>
    <x:row r="41" ht="42" customHeight="1">
      <x:c r="A41" s="12" t="str">
        <x:v>лазерная эпиляция цена</x:v>
      </x:c>
      <x:c r="B41" s="12" t="str">
        <x:v>https://kozhaclinic.ru/lazernaya-kosmetologiya/lazernaya-epilyaciya/dlya-zhenshchin/</x:v>
      </x:c>
      <x:c r="C41" s="30" t="n">
        <x:v>0</x:v>
      </x:c>
      <x:c r="D41" s="30" t="n">
        <x:v>3</x:v>
      </x:c>
      <x:c r="E41" s="32" t="n">
        <x:f>IF(AND(ISNUMBER(C41),ISNUMBER(D41),D41&gt;0),C41/D41,"")</x:f>
        <x:v>0</x:v>
      </x:c>
      <x:c r="F41" s="34" t="n">
        <x:v>9</x:v>
      </x:c>
      <x:c r="G41" s="30" t="n">
        <x:v>5533</x:v>
      </x:c>
    </x:row>
    <x:row r="42" ht="42" customHeight="1">
      <x:c r="A42" s="14" t="str">
        <x:v>клиника кожа сургут</x:v>
      </x:c>
      <x:c r="B42" s="14" t="str">
        <x:v>https://kozhaclinic.ru/</x:v>
      </x:c>
      <x:c r="C42" s="31" t="n">
        <x:v>9</x:v>
      </x:c>
      <x:c r="D42" s="31" t="n">
        <x:v>78</x:v>
      </x:c>
      <x:c r="E42" s="33" t="n">
        <x:f>IF(AND(ISNUMBER(C42),ISNUMBER(D42),D42&gt;0),C42/D42,"")</x:f>
        <x:v>0.11538461538461539</x:v>
      </x:c>
      <x:c r="F42" s="35" t="n">
        <x:v>2</x:v>
      </x:c>
      <x:c r="G42" s="31" t="n">
        <x:v>63</x:v>
      </x:c>
    </x:row>
    <x:row r="43" ht="42" customHeight="1">
      <x:c r="A43" s="12" t="str">
        <x:v>удаление невуса сургут</x:v>
      </x:c>
      <x:c r="B43" s="12" t="str">
        <x:v>https://kozhaclinic.ru/udalenie-novoobrazovanij/</x:v>
      </x:c>
      <x:c r="C43" s="30" t="n">
        <x:v>5</x:v>
      </x:c>
      <x:c r="D43" s="30" t="n">
        <x:v>78</x:v>
      </x:c>
      <x:c r="E43" s="32" t="n">
        <x:f>IF(AND(ISNUMBER(C43),ISNUMBER(D43),D43&gt;0),C43/D43,"")</x:f>
        <x:v>0.0641025641025641</x:v>
      </x:c>
      <x:c r="F43" s="34" t="n">
        <x:v>4.8</x:v>
      </x:c>
      <x:c r="G43" s="30" t="n">
        <x:v>80</x:v>
      </x:c>
    </x:row>
    <x:row r="44" ht="42" customHeight="1">
      <x:c r="A44" s="14" t="str">
        <x:v>кожа сургут</x:v>
      </x:c>
      <x:c r="B44" s="14" t="str">
        <x:v>https://kozhaclinic.ru/</x:v>
      </x:c>
      <x:c r="C44" s="31" t="n">
        <x:v>22</x:v>
      </x:c>
      <x:c r="D44" s="31" t="n">
        <x:v>44</x:v>
      </x:c>
      <x:c r="E44" s="33" t="n">
        <x:f>IF(AND(ISNUMBER(C44),ISNUMBER(D44),D44&gt;0),C44/D44,"")</x:f>
        <x:v>0.5</x:v>
      </x:c>
      <x:c r="F44" s="35" t="n">
        <x:v>1.9</x:v>
      </x:c>
      <x:c r="G44" s="31" t="n">
        <x:v>44</x:v>
      </x:c>
    </x:row>
    <x:row r="45" ht="42" customHeight="1">
      <x:c r="A45" s="12" t="str">
        <x:v>лазерное удаление родинок сургут</x:v>
      </x:c>
      <x:c r="B45" s="12" t="str">
        <x:v>https://kozhaclinic.ru/udalenie-novoobrazovanij/</x:v>
      </x:c>
      <x:c r="C45" s="30" t="n">
        <x:v>7</x:v>
      </x:c>
      <x:c r="D45" s="30" t="n">
        <x:v>72</x:v>
      </x:c>
      <x:c r="E45" s="32" t="n">
        <x:f>IF(AND(ISNUMBER(C45),ISNUMBER(D45),D45&gt;0),C45/D45,"")</x:f>
        <x:v>0.09722222222222222</x:v>
      </x:c>
      <x:c r="F45" s="34" t="n">
        <x:v>7.5</x:v>
      </x:c>
      <x:c r="G45" s="30" t="n">
        <x:v>82</x:v>
      </x:c>
    </x:row>
    <x:row r="46" ht="42" customHeight="1">
      <x:c r="A46" s="14" t="str">
        <x:v>удаление родинок лазером сургут</x:v>
      </x:c>
      <x:c r="B46" s="14" t="str">
        <x:v>https://kozhaclinic.ru/udalenie-novoobrazovanij/</x:v>
      </x:c>
      <x:c r="C46" s="31" t="n">
        <x:v>3</x:v>
      </x:c>
      <x:c r="D46" s="31" t="n">
        <x:v>57</x:v>
      </x:c>
      <x:c r="E46" s="33" t="n">
        <x:f>IF(AND(ISNUMBER(C46),ISNUMBER(D46),D46&gt;0),C46/D46,"")</x:f>
        <x:v>0.05263157894736842</x:v>
      </x:c>
      <x:c r="F46" s="35" t="n">
        <x:v>7.8</x:v>
      </x:c>
      <x:c r="G46" s="31" t="n">
        <x:v>77</x:v>
      </x:c>
    </x:row>
    <x:row r="47" ht="42" customHeight="1">
      <x:c r="A47" s="12" t="str">
        <x:v>что делать если филлер мигрировал в губах</x:v>
      </x:c>
      <x:c r="B47" s="12" t="str">
        <x:v>https://kozhaclinic.ru/migratsiya-gelya-iz-gub/</x:v>
      </x:c>
      <x:c r="C47" s="30" t="n">
        <x:v>6</x:v>
      </x:c>
      <x:c r="D47" s="30" t="n">
        <x:v>90</x:v>
      </x:c>
      <x:c r="E47" s="32" t="n">
        <x:f>IF(AND(ISNUMBER(C47),ISNUMBER(D47),D47&gt;0),C47/D47,"")</x:f>
        <x:v>0.06666666666666667</x:v>
      </x:c>
      <x:c r="F47" s="34" t="n">
        <x:v>5.9</x:v>
      </x:c>
      <x:c r="G47" s="30" t="n">
        <x:v>96</x:v>
      </x:c>
    </x:row>
    <x:row r="48" ht="42" customHeight="1">
      <x:c r="A48" s="14" t="str">
        <x:v>как понять что гель в губах мигрировал</x:v>
      </x:c>
      <x:c r="B48" s="14" t="str">
        <x:v>https://kozhaclinic.ru/migratsiya-gelya-iz-gub/</x:v>
      </x:c>
      <x:c r="C48" s="31" t="n">
        <x:v>13</x:v>
      </x:c>
      <x:c r="D48" s="31" t="n">
        <x:v>97</x:v>
      </x:c>
      <x:c r="E48" s="33" t="n">
        <x:f>IF(AND(ISNUMBER(C48),ISNUMBER(D48),D48&gt;0),C48/D48,"")</x:f>
        <x:v>0.13402061855670103</x:v>
      </x:c>
      <x:c r="F48" s="35" t="n">
        <x:v>6.1</x:v>
      </x:c>
      <x:c r="G48" s="31" t="n">
        <x:v>103</x:v>
      </x:c>
    </x:row>
    <x:row r="49" ht="42" customHeight="1">
      <x:c r="A49" s="12" t="str">
        <x:v>кожа сургут клиника косметологии</x:v>
      </x:c>
      <x:c r="B49" s="12" t="str">
        <x:v>https://kozhaclinic.ru/</x:v>
      </x:c>
      <x:c r="C49" s="30" t="n">
        <x:v>4</x:v>
      </x:c>
      <x:c r="D49" s="30" t="n">
        <x:v>22</x:v>
      </x:c>
      <x:c r="E49" s="32" t="n">
        <x:f>IF(AND(ISNUMBER(C49),ISNUMBER(D49),D49&gt;0),C49/D49,"")</x:f>
        <x:v>0.18181818181818182</x:v>
      </x:c>
      <x:c r="F49" s="34" t="n">
        <x:v>1.7</x:v>
      </x:c>
      <x:c r="G49" s="30" t="n">
        <x:v>17</x:v>
      </x:c>
    </x:row>
    <x:row r="50" ht="42" customHeight="1">
      <x:c r="A50" s="14" t="str">
        <x:v>удаление папиллом цена</x:v>
      </x:c>
      <x:c r="B50" s="14" t="str">
        <x:v>https://kozhaclinic.ru/udalenie-novoobrazovanij/udalenie-papilom/</x:v>
      </x:c>
      <x:c r="C50" s="31" t="n">
        <x:v>4</x:v>
      </x:c>
      <x:c r="D50" s="31" t="n">
        <x:v>81</x:v>
      </x:c>
      <x:c r="E50" s="33" t="n">
        <x:f>IF(AND(ISNUMBER(C50),ISNUMBER(D50),D50&gt;0),C50/D50,"")</x:f>
        <x:v>0.04938271604938271</x:v>
      </x:c>
      <x:c r="F50" s="35" t="n">
        <x:v>5.6</x:v>
      </x:c>
      <x:c r="G50" s="31" t="n">
        <x:v>4010</x:v>
      </x:c>
    </x:row>
    <x:row r="51" ht="42" customHeight="1">
      <x:c r="A51" s="12" t="str">
        <x:v>трихолог сургут</x:v>
      </x:c>
      <x:c r="B51" s="12" t="str">
        <x:v>https://kozhaclinic.ru/osmotry-i-konsultatsii/konsultatsiya-vracha-trikhologa-s-naznacheniem-plana-protsedur/</x:v>
      </x:c>
      <x:c r="C51" s="30" t="n">
        <x:v>1</x:v>
      </x:c>
      <x:c r="D51" s="30" t="n">
        <x:v>117</x:v>
      </x:c>
      <x:c r="E51" s="32" t="n">
        <x:f>IF(AND(ISNUMBER(C51),ISNUMBER(D51),D51&gt;0),C51/D51,"")</x:f>
        <x:v>0.008547008547008548</x:v>
      </x:c>
      <x:c r="F51" s="34" t="n">
        <x:v>11.4</x:v>
      </x:c>
      <x:c r="G51" s="30" t="n">
        <x:v>323</x:v>
      </x:c>
    </x:row>
    <x:row r="52" ht="42" customHeight="1">
      <x:c r="A52" s="14" t="str">
        <x:v>удаление новообразований</x:v>
      </x:c>
      <x:c r="B52" s="14" t="str">
        <x:v>https://kozhaclinic.ru/udalenie-novoobrazovanij/</x:v>
      </x:c>
      <x:c r="C52" s="31" t="n">
        <x:v>4</x:v>
      </x:c>
      <x:c r="D52" s="31" t="n">
        <x:v>79</x:v>
      </x:c>
      <x:c r="E52" s="33" t="n">
        <x:f>IF(AND(ISNUMBER(C52),ISNUMBER(D52),D52&gt;0),C52/D52,"")</x:f>
        <x:v>0.05063291139240506</x:v>
      </x:c>
      <x:c r="F52" s="35" t="n">
        <x:v>4.4</x:v>
      </x:c>
      <x:c r="G52" s="31" t="n">
        <x:v>1390</x:v>
      </x:c>
    </x:row>
    <x:row r="53" ht="42" customHeight="1">
      <x:c r="A53" s="12" t="str">
        <x:v>удаление бородавок цена</x:v>
      </x:c>
      <x:c r="B53" s="12" t="str">
        <x:v>https://kozhaclinic.ru/udalenie-novoobrazovanij/udalenie-borodavok/</x:v>
      </x:c>
      <x:c r="C53" s="30" t="n">
        <x:v>7</x:v>
      </x:c>
      <x:c r="D53" s="30" t="n">
        <x:v>81</x:v>
      </x:c>
      <x:c r="E53" s="32" t="n">
        <x:f>IF(AND(ISNUMBER(C53),ISNUMBER(D53),D53&gt;0),C53/D53,"")</x:f>
        <x:v>0.08641975308641975</x:v>
      </x:c>
      <x:c r="F53" s="34" t="n">
        <x:v>4.9</x:v>
      </x:c>
      <x:c r="G53" s="30" t="n">
        <x:v>3206</x:v>
      </x:c>
    </x:row>
    <x:row r="54" ht="42" customHeight="1">
      <x:c r="A54" s="14" t="str">
        <x:v>удаление родинок цена</x:v>
      </x:c>
      <x:c r="B54" s="14" t="str">
        <x:v>https://kozhaclinic.ru/udalenie-novoobrazovanij/</x:v>
      </x:c>
      <x:c r="C54" s="31" t="n">
        <x:v>10</x:v>
      </x:c>
      <x:c r="D54" s="31" t="n">
        <x:v>79</x:v>
      </x:c>
      <x:c r="E54" s="33" t="n">
        <x:f>IF(AND(ISNUMBER(C54),ISNUMBER(D54),D54&gt;0),C54/D54,"")</x:f>
        <x:v>0.12658227848101267</x:v>
      </x:c>
      <x:c r="F54" s="35" t="n">
        <x:v>5.4</x:v>
      </x:c>
      <x:c r="G54" s="31" t="n">
        <x:v>4377</x:v>
      </x:c>
    </x:row>
    <x:row r="55" ht="42" customHeight="1">
      <x:c r="A55" s="12" t="str">
        <x:v>удаление папиллом в сургуте</x:v>
      </x:c>
      <x:c r="B55" s="12" t="str">
        <x:v>https://kozhaclinic.ru/udalenie-novoobrazovanij/udalenie-papilom/</x:v>
      </x:c>
      <x:c r="C55" s="30" t="n">
        <x:v>3</x:v>
      </x:c>
      <x:c r="D55" s="30" t="n">
        <x:v>37</x:v>
      </x:c>
      <x:c r="E55" s="32" t="n">
        <x:f>IF(AND(ISNUMBER(C55),ISNUMBER(D55),D55&gt;0),C55/D55,"")</x:f>
        <x:v>0.08108108108108109</x:v>
      </x:c>
      <x:c r="F55" s="34" t="n">
        <x:v>4.8</x:v>
      </x:c>
      <x:c r="G55" s="30" t="n">
        <x:v>37</x:v>
      </x:c>
    </x:row>
    <x:row r="56" ht="42" customHeight="1">
      <x:c r="A56" s="14" t="str">
        <x:v>как понять что гель мигрировал</x:v>
      </x:c>
      <x:c r="B56" s="14" t="str">
        <x:v>https://kozhaclinic.ru/migratsiya-gelya-iz-gub/</x:v>
      </x:c>
      <x:c r="C56" s="31" t="n">
        <x:v>7</x:v>
      </x:c>
      <x:c r="D56" s="31" t="n">
        <x:v>70</x:v>
      </x:c>
      <x:c r="E56" s="33" t="n">
        <x:f>IF(AND(ISNUMBER(C56),ISNUMBER(D56),D56&gt;0),C56/D56,"")</x:f>
        <x:v>0.1</x:v>
      </x:c>
      <x:c r="F56" s="35" t="n">
        <x:v>6.7</x:v>
      </x:c>
      <x:c r="G56" s="31" t="n">
        <x:v>78</x:v>
      </x:c>
    </x:row>
    <x:row r="57" ht="42" customHeight="1">
      <x:c r="A57" s="12" t="str">
        <x:v>пластифицирующий массаж</x:v>
      </x:c>
      <x:c r="B57" s="12" t="str">
        <x:v>https://kozhaclinic.ru/uhodovye-procedury/massazhi/plastifitsiruyushchiy/</x:v>
      </x:c>
      <x:c r="C57" s="30" t="n">
        <x:v>2</x:v>
      </x:c>
      <x:c r="D57" s="30" t="n">
        <x:v>88</x:v>
      </x:c>
      <x:c r="E57" s="32" t="n">
        <x:f>IF(AND(ISNUMBER(C57),ISNUMBER(D57),D57&gt;0),C57/D57,"")</x:f>
        <x:v>0.022727272727272728</x:v>
      </x:c>
      <x:c r="F57" s="34" t="n">
        <x:v>6.2</x:v>
      </x:c>
      <x:c r="G57" s="30" t="n">
        <x:v>100</x:v>
      </x:c>
    </x:row>
    <x:row r="58" ht="42" customHeight="1">
      <x:c r="A58" s="14" t="str">
        <x:v>удаление родинок и папиллом</x:v>
      </x:c>
      <x:c r="B58" s="14" t="str">
        <x:v>https://kozhaclinic.ru/udalenie-novoobrazovanij/</x:v>
      </x:c>
      <x:c r="C58" s="31" t="n">
        <x:v>5</x:v>
      </x:c>
      <x:c r="D58" s="31" t="n">
        <x:v>78</x:v>
      </x:c>
      <x:c r="E58" s="33" t="n">
        <x:f>IF(AND(ISNUMBER(C58),ISNUMBER(D58),D58&gt;0),C58/D58,"")</x:f>
        <x:v>0.0641025641025641</x:v>
      </x:c>
      <x:c r="F58" s="35" t="n">
        <x:v>4.9</x:v>
      </x:c>
      <x:c r="G58" s="31" t="n">
        <x:v>602</x:v>
      </x:c>
    </x:row>
    <x:row r="59" ht="42" customHeight="1">
      <x:c r="A59" s="12" t="str">
        <x:v>удаление папиллом</x:v>
      </x:c>
      <x:c r="B59" s="12" t="str">
        <x:v>https://kozhaclinic.ru/udalenie-novoobrazovanij/udalenie-papilom/</x:v>
      </x:c>
      <x:c r="C59" s="30" t="n">
        <x:v>5</x:v>
      </x:c>
      <x:c r="D59" s="30" t="n">
        <x:v>83</x:v>
      </x:c>
      <x:c r="E59" s="32" t="n">
        <x:f>IF(AND(ISNUMBER(C59),ISNUMBER(D59),D59&gt;0),C59/D59,"")</x:f>
        <x:v>0.060240963855421686</x:v>
      </x:c>
      <x:c r="F59" s="34" t="n">
        <x:v>4.5</x:v>
      </x:c>
      <x:c r="G59" s="30" t="n">
        <x:v>12326</x:v>
      </x:c>
    </x:row>
    <x:row r="60" ht="42" customHeight="1">
      <x:c r="A60" s="14" t="str">
        <x:v>массаж лица сургут</x:v>
      </x:c>
      <x:c r="B60" s="14" t="str">
        <x:v>https://kozhaclinic.ru/uhodovye-procedury/massazhi/</x:v>
      </x:c>
      <x:c r="C60" s="31" t="n">
        <x:v>0</x:v>
      </x:c>
      <x:c r="D60" s="31" t="n">
        <x:v>13</x:v>
      </x:c>
      <x:c r="E60" s="33" t="n">
        <x:f>IF(AND(ISNUMBER(C60),ISNUMBER(D60),D60&gt;0),C60/D60,"")</x:f>
        <x:v>0</x:v>
      </x:c>
      <x:c r="F60" s="35" t="n">
        <x:v>10.6</x:v>
      </x:c>
      <x:c r="G60" s="31" t="n">
        <x:v>21</x:v>
      </x:c>
    </x:row>
    <x:row r="61" ht="42" customHeight="1">
      <x:c r="A61" s="12" t="str">
        <x:v>удаление бородавок лазером</x:v>
      </x:c>
      <x:c r="B61" s="12" t="str">
        <x:v>https://kozhaclinic.ru/udalenie-novoobrazovanij/udalenie-borodavok/</x:v>
      </x:c>
      <x:c r="C61" s="30" t="n">
        <x:v>5</x:v>
      </x:c>
      <x:c r="D61" s="30" t="n">
        <x:v>77</x:v>
      </x:c>
      <x:c r="E61" s="32" t="n">
        <x:f>IF(AND(ISNUMBER(C61),ISNUMBER(D61),D61&gt;0),C61/D61,"")</x:f>
        <x:v>0.06493506493506493</x:v>
      </x:c>
      <x:c r="F61" s="34" t="n">
        <x:v>4.8</x:v>
      </x:c>
      <x:c r="G61" s="30" t="n">
        <x:v>2814</x:v>
      </x:c>
    </x:row>
    <x:row r="62" ht="42" customHeight="1">
      <x:c r="A62" s="14" t="str">
        <x:v>увлажнение губ филлером</x:v>
      </x:c>
      <x:c r="B62" s="14" t="str">
        <x:v>https://kozhaclinic.ru/inekcionnaya-kosmetologiya/konturnaya-plastika/uvlazhnenie-gub/</x:v>
      </x:c>
      <x:c r="C62" s="31" t="n">
        <x:v>0</x:v>
      </x:c>
      <x:c r="D62" s="31" t="n">
        <x:v>0</x:v>
      </x:c>
      <x:c r="E62" s="33" t="str">
        <x:f>IF(AND(ISNUMBER(C62),ISNUMBER(D62),D62&gt;0),C62/D62,"")</x:f>
      </x:c>
      <x:c r="F62" s="35"/>
      <x:c r="G62" s="31" t="n">
        <x:v>16</x:v>
      </x:c>
    </x:row>
    <x:row r="63" ht="42" customHeight="1">
      <x:c r="A63" s="12" t="str">
        <x:v>удаление бородавок</x:v>
      </x:c>
      <x:c r="B63" s="12" t="str">
        <x:v>https://kozhaclinic.ru/udalenie-novoobrazovanij/udalenie-borodavok/</x:v>
      </x:c>
      <x:c r="C63" s="30" t="n">
        <x:v>7</x:v>
      </x:c>
      <x:c r="D63" s="30" t="n">
        <x:v>72</x:v>
      </x:c>
      <x:c r="E63" s="32" t="n">
        <x:f>IF(AND(ISNUMBER(C63),ISNUMBER(D63),D63&gt;0),C63/D63,"")</x:f>
        <x:v>0.09722222222222222</x:v>
      </x:c>
      <x:c r="F63" s="34" t="n">
        <x:v>3.5</x:v>
      </x:c>
      <x:c r="G63" s="30" t="n">
        <x:v>8095</x:v>
      </x:c>
    </x:row>
    <x:row r="64" ht="42" customHeight="1">
      <x:c r="A64" s="14" t="str">
        <x:v>миграция геля в губах</x:v>
      </x:c>
      <x:c r="B64" s="14" t="str">
        <x:v>https://kozhaclinic.ru/migratsiya-gelya-iz-gub/</x:v>
      </x:c>
      <x:c r="C64" s="31" t="n">
        <x:v>0</x:v>
      </x:c>
      <x:c r="D64" s="31" t="n">
        <x:v>38</x:v>
      </x:c>
      <x:c r="E64" s="33" t="n">
        <x:f>IF(AND(ISNUMBER(C64),ISNUMBER(D64),D64&gt;0),C64/D64,"")</x:f>
        <x:v>0</x:v>
      </x:c>
      <x:c r="F64" s="35" t="n">
        <x:v>6.8</x:v>
      </x:c>
      <x:c r="G64" s="31" t="n">
        <x:v>41</x:v>
      </x:c>
    </x:row>
    <x:row r="65" ht="42" customHeight="1">
      <x:c r="A65" s="12" t="str">
        <x:v>удаление лазером</x:v>
      </x:c>
      <x:c r="B65" s="12" t="str">
        <x:v>https://kozhaclinic.ru/udalenie-novoobrazovanij/</x:v>
      </x:c>
      <x:c r="C65" s="30" t="n">
        <x:v>9</x:v>
      </x:c>
      <x:c r="D65" s="30" t="n">
        <x:v>75</x:v>
      </x:c>
      <x:c r="E65" s="32" t="n">
        <x:f>IF(AND(ISNUMBER(C65),ISNUMBER(D65),D65&gt;0),C65/D65,"")</x:f>
        <x:v>0.12</x:v>
      </x:c>
      <x:c r="F65" s="34" t="n">
        <x:v>7.2</x:v>
      </x:c>
      <x:c r="G65" s="30" t="n">
        <x:v>419</x:v>
      </x:c>
    </x:row>
    <x:row r="66" ht="42" customHeight="1">
      <x:c r="A66" s="14" t="str">
        <x:v>удаление родинок</x:v>
      </x:c>
      <x:c r="B66" s="14" t="str">
        <x:v>https://kozhaclinic.ru/udalenie-novoobrazovanij/udalenie-rodinok/</x:v>
      </x:c>
      <x:c r="C66" s="31" t="n">
        <x:v>10</x:v>
      </x:c>
      <x:c r="D66" s="31" t="n">
        <x:v>79</x:v>
      </x:c>
      <x:c r="E66" s="33" t="n">
        <x:f>IF(AND(ISNUMBER(C66),ISNUMBER(D66),D66&gt;0),C66/D66,"")</x:f>
        <x:v>0.12658227848101267</x:v>
      </x:c>
      <x:c r="F66" s="35" t="n">
        <x:v>5.6</x:v>
      </x:c>
      <x:c r="G66" s="31" t="n">
        <x:v>9363</x:v>
      </x:c>
    </x:row>
    <x:row r="67" ht="42" customHeight="1">
      <x:c r="A67" s="12" t="str">
        <x:v>удаление невуса на лице</x:v>
      </x:c>
      <x:c r="B67" s="12" t="str">
        <x:v>https://kozhaclinic.ru/udalenie-novoobrazovanij/udalenie-rodinok/</x:v>
      </x:c>
      <x:c r="C67" s="30" t="n">
        <x:v>5</x:v>
      </x:c>
      <x:c r="D67" s="30" t="n">
        <x:v>36</x:v>
      </x:c>
      <x:c r="E67" s="32" t="n">
        <x:f>IF(AND(ISNUMBER(C67),ISNUMBER(D67),D67&gt;0),C67/D67,"")</x:f>
        <x:v>0.1388888888888889</x:v>
      </x:c>
      <x:c r="F67" s="34" t="n">
        <x:v>7.1</x:v>
      </x:c>
      <x:c r="G67" s="30" t="n">
        <x:v>648</x:v>
      </x:c>
    </x:row>
    <x:row r="68" ht="42" customHeight="1">
      <x:c r="A68" s="14" t="str">
        <x:v>почему мигрирует филлер</x:v>
      </x:c>
      <x:c r="B68" s="14" t="str">
        <x:v>https://kozhaclinic.ru/migratsiya-gelya-iz-gub/</x:v>
      </x:c>
      <x:c r="C68" s="31" t="n">
        <x:v>9</x:v>
      </x:c>
      <x:c r="D68" s="31" t="n">
        <x:v>70</x:v>
      </x:c>
      <x:c r="E68" s="33" t="n">
        <x:f>IF(AND(ISNUMBER(C68),ISNUMBER(D68),D68&gt;0),C68/D68,"")</x:f>
        <x:v>0.12857142857142856</x:v>
      </x:c>
      <x:c r="F68" s="35" t="n">
        <x:v>8.1</x:v>
      </x:c>
      <x:c r="G68" s="31" t="n">
        <x:v>81</x:v>
      </x:c>
    </x:row>
    <x:row r="69" ht="42" customHeight="1">
      <x:c r="A69" s="12" t="str">
        <x:v>лазерное удаление бородавок</x:v>
      </x:c>
      <x:c r="B69" s="12" t="str">
        <x:v>https://kozhaclinic.ru/udalenie-novoobrazovanij/udalenie-borodavok/</x:v>
      </x:c>
      <x:c r="C69" s="30" t="n">
        <x:v>10</x:v>
      </x:c>
      <x:c r="D69" s="30" t="n">
        <x:v>70</x:v>
      </x:c>
      <x:c r="E69" s="32" t="n">
        <x:f>IF(AND(ISNUMBER(C69),ISNUMBER(D69),D69&gt;0),C69/D69,"")</x:f>
        <x:v>0.14285714285714285</x:v>
      </x:c>
      <x:c r="F69" s="34" t="n">
        <x:v>6.6</x:v>
      </x:c>
      <x:c r="G69" s="30" t="n">
        <x:v>1017</x:v>
      </x:c>
    </x:row>
    <x:row r="70" ht="42" customHeight="1">
      <x:c r="A70" s="14" t="str">
        <x:v>ботокс в декольте</x:v>
      </x:c>
      <x:c r="B70" s="14" t="str">
        <x:v>https://kozhaclinic.ru/inekcionnaya-kosmetologiya/botulinoterapiya/botoks-dlya-shei-i-zony-dekolte/</x:v>
      </x:c>
      <x:c r="C70" s="31" t="n">
        <x:v>0</x:v>
      </x:c>
      <x:c r="D70" s="31" t="n">
        <x:v>9</x:v>
      </x:c>
      <x:c r="E70" s="33" t="n">
        <x:f>IF(AND(ISNUMBER(C70),ISNUMBER(D70),D70&gt;0),C70/D70,"")</x:f>
        <x:v>0</x:v>
      </x:c>
      <x:c r="F70" s="35" t="n">
        <x:v>5</x:v>
      </x:c>
      <x:c r="G70" s="31" t="n">
        <x:v>9</x:v>
      </x:c>
    </x:row>
    <x:row r="71" ht="42" customHeight="1">
      <x:c r="A71" s="12" t="str">
        <x:v>сургут косметология</x:v>
      </x:c>
      <x:c r="B71" s="12" t="str">
        <x:v>https://kozhaclinic.ru/</x:v>
      </x:c>
      <x:c r="C71" s="30" t="n">
        <x:v>0</x:v>
      </x:c>
      <x:c r="D71" s="30" t="n">
        <x:v>6</x:v>
      </x:c>
      <x:c r="E71" s="32" t="n">
        <x:f>IF(AND(ISNUMBER(C71),ISNUMBER(D71),D71&gt;0),C71/D71,"")</x:f>
        <x:v>0</x:v>
      </x:c>
      <x:c r="F71" s="34" t="n">
        <x:v>4.8</x:v>
      </x:c>
      <x:c r="G71" s="30" t="n">
        <x:v>6</x:v>
      </x:c>
    </x:row>
    <x:row r="72" ht="42" customHeight="1">
      <x:c r="A72" s="14" t="str">
        <x:v>удаление родинок на лице</x:v>
      </x:c>
      <x:c r="B72" s="14" t="str">
        <x:v>https://kozhaclinic.ru/udalenie-novoobrazovanij/udalenie-rodinok/</x:v>
      </x:c>
      <x:c r="C72" s="31" t="n">
        <x:v>2</x:v>
      </x:c>
      <x:c r="D72" s="31" t="n">
        <x:v>31</x:v>
      </x:c>
      <x:c r="E72" s="33" t="n">
        <x:f>IF(AND(ISNUMBER(C72),ISNUMBER(D72),D72&gt;0),C72/D72,"")</x:f>
        <x:v>0.06451612903225806</x:v>
      </x:c>
      <x:c r="F72" s="35" t="n">
        <x:v>9</x:v>
      </x:c>
      <x:c r="G72" s="31" t="n">
        <x:v>790</x:v>
      </x:c>
    </x:row>
    <x:row r="73" ht="42" customHeight="1">
      <x:c r="A73" s="12" t="str">
        <x:v>чистка спины от прыщей</x:v>
      </x:c>
      <x:c r="B73" s="12" t="str">
        <x:v>https://kozhaclinic.ru/uhodovye-procedury/chistki-litsa-i-spiny/chistka-spiny/</x:v>
      </x:c>
      <x:c r="C73" s="30" t="n">
        <x:v>0</x:v>
      </x:c>
      <x:c r="D73" s="30" t="n">
        <x:v>7</x:v>
      </x:c>
      <x:c r="E73" s="32" t="n">
        <x:f>IF(AND(ISNUMBER(C73),ISNUMBER(D73),D73&gt;0),C73/D73,"")</x:f>
        <x:v>0</x:v>
      </x:c>
      <x:c r="F73" s="34" t="n">
        <x:v>35.4</x:v>
      </x:c>
      <x:c r="G73" s="30" t="n">
        <x:v>315</x:v>
      </x:c>
    </x:row>
    <x:row r="74" ht="42" customHeight="1">
      <x:c r="A74" s="14" t="str">
        <x:v>клиника кожа</x:v>
      </x:c>
      <x:c r="B74" s="14" t="str">
        <x:v>https://kozhaclinic.ru/</x:v>
      </x:c>
      <x:c r="C74" s="31" t="n">
        <x:v>7</x:v>
      </x:c>
      <x:c r="D74" s="31" t="n">
        <x:v>25</x:v>
      </x:c>
      <x:c r="E74" s="33" t="n">
        <x:f>IF(AND(ISNUMBER(C74),ISNUMBER(D74),D74&gt;0),C74/D74,"")</x:f>
        <x:v>0.28</x:v>
      </x:c>
      <x:c r="F74" s="35" t="n">
        <x:v>1.9</x:v>
      </x:c>
      <x:c r="G74" s="31" t="n">
        <x:v>21</x:v>
      </x:c>
    </x:row>
    <x:row r="75" ht="42" customHeight="1">
      <x:c r="A75" s="12" t="str">
        <x:v>ленина 18 сургут</x:v>
      </x:c>
      <x:c r="B75" s="12" t="str">
        <x:v>https://kozhaclinic.ru/</x:v>
      </x:c>
      <x:c r="C75" s="30" t="n">
        <x:v>2</x:v>
      </x:c>
      <x:c r="D75" s="30" t="n">
        <x:v>53</x:v>
      </x:c>
      <x:c r="E75" s="32" t="n">
        <x:f>IF(AND(ISNUMBER(C75),ISNUMBER(D75),D75&gt;0),C75/D75,"")</x:f>
        <x:v>0.03773584905660377</x:v>
      </x:c>
      <x:c r="F75" s="34" t="n">
        <x:v>10.2</x:v>
      </x:c>
      <x:c r="G75" s="30" t="n">
        <x:v>67</x:v>
      </x:c>
    </x:row>
    <x:row r="76" ht="42" customHeight="1">
      <x:c r="A76" s="14" t="str">
        <x:v>увлажнение губ что это</x:v>
      </x:c>
      <x:c r="B76" s="14" t="str">
        <x:v>https://kozhaclinic.ru/inekcionnaya-kosmetologiya/konturnaya-plastika/uvlazhnenie-gub/</x:v>
      </x:c>
      <x:c r="C76" s="31" t="n">
        <x:v>0</x:v>
      </x:c>
      <x:c r="D76" s="31" t="n">
        <x:v>0</x:v>
      </x:c>
      <x:c r="E76" s="33" t="str">
        <x:f>IF(AND(ISNUMBER(C76),ISNUMBER(D76),D76&gt;0),C76/D76,"")</x:f>
      </x:c>
      <x:c r="F76" s="35"/>
      <x:c r="G76" s="31" t="n">
        <x:v>52</x:v>
      </x:c>
    </x:row>
    <x:row r="77" ht="42" customHeight="1">
      <x:c r="A77" s="12" t="str">
        <x:v>удаление папиллом адреса</x:v>
      </x:c>
      <x:c r="B77" s="12" t="str">
        <x:v>https://kozhaclinic.ru/udalenie-novoobrazovanij/udalenie-papilom/</x:v>
      </x:c>
      <x:c r="C77" s="30" t="n">
        <x:v>6</x:v>
      </x:c>
      <x:c r="D77" s="30" t="n">
        <x:v>48</x:v>
      </x:c>
      <x:c r="E77" s="32" t="n">
        <x:f>IF(AND(ISNUMBER(C77),ISNUMBER(D77),D77&gt;0),C77/D77,"")</x:f>
        <x:v>0.125</x:v>
      </x:c>
      <x:c r="F77" s="34" t="n">
        <x:v>8.4</x:v>
      </x:c>
      <x:c r="G77" s="30" t="n">
        <x:v>192</x:v>
      </x:c>
    </x:row>
    <x:row r="78" ht="42" customHeight="1">
      <x:c r="A78" s="14" t="str">
        <x:v>миграция губ после филлера</x:v>
      </x:c>
      <x:c r="B78" s="14" t="str">
        <x:v>https://kozhaclinic.ru/migratsiya-gelya-iz-gub/</x:v>
      </x:c>
      <x:c r="C78" s="31" t="n">
        <x:v>0</x:v>
      </x:c>
      <x:c r="D78" s="31" t="n">
        <x:v>57</x:v>
      </x:c>
      <x:c r="E78" s="33" t="n">
        <x:f>IF(AND(ISNUMBER(C78),ISNUMBER(D78),D78&gt;0),C78/D78,"")</x:f>
        <x:v>0</x:v>
      </x:c>
      <x:c r="F78" s="35" t="n">
        <x:v>6.9</x:v>
      </x:c>
      <x:c r="G78" s="31" t="n">
        <x:v>60</x:v>
      </x:c>
    </x:row>
    <x:row r="79" ht="42" customHeight="1">
      <x:c r="A79" s="12" t="str">
        <x:v>фотоомоложение сургут</x:v>
      </x:c>
      <x:c r="B79" s="12" t="str">
        <x:v>https://kozhaclinic.ru/apparatnaya-kosmetologiya/fotoomolozhenie-inmode/</x:v>
      </x:c>
      <x:c r="C79" s="30" t="n">
        <x:v>0</x:v>
      </x:c>
      <x:c r="D79" s="30" t="n">
        <x:v>15</x:v>
      </x:c>
      <x:c r="E79" s="32" t="n">
        <x:f>IF(AND(ISNUMBER(C79),ISNUMBER(D79),D79&gt;0),C79/D79,"")</x:f>
        <x:v>0</x:v>
      </x:c>
      <x:c r="F79" s="34" t="n">
        <x:v>4</x:v>
      </x:c>
      <x:c r="G79" s="30" t="n">
        <x:v>15</x:v>
      </x:c>
    </x:row>
    <x:row r="80" ht="42" customHeight="1">
      <x:c r="A80" s="14" t="str">
        <x:v>ленина 18</x:v>
      </x:c>
      <x:c r="B80" s="14" t="str">
        <x:v>https://kozhaclinic.ru/</x:v>
      </x:c>
      <x:c r="C80" s="31" t="n">
        <x:v>0</x:v>
      </x:c>
      <x:c r="D80" s="31" t="n">
        <x:v>33</x:v>
      </x:c>
      <x:c r="E80" s="33" t="n">
        <x:f>IF(AND(ISNUMBER(C80),ISNUMBER(D80),D80&gt;0),C80/D80,"")</x:f>
        <x:v>0</x:v>
      </x:c>
      <x:c r="F80" s="35" t="n">
        <x:v>9.7</x:v>
      </x:c>
      <x:c r="G80" s="31" t="n">
        <x:v>698</x:v>
      </x:c>
    </x:row>
    <x:row r="81" ht="42" customHeight="1">
      <x:c r="A81" s="12" t="str">
        <x:v>электроэпиляция сургут</x:v>
      </x:c>
      <x:c r="B81" s="12" t="str">
        <x:v>https://kozhaclinic.ru/ustranenie-nezhelatelnykh-volos/</x:v>
      </x:c>
      <x:c r="C81" s="30" t="n">
        <x:v>1</x:v>
      </x:c>
      <x:c r="D81" s="30" t="n">
        <x:v>76</x:v>
      </x:c>
      <x:c r="E81" s="32" t="n">
        <x:f>IF(AND(ISNUMBER(C81),ISNUMBER(D81),D81&gt;0),C81/D81,"")</x:f>
        <x:v>0.013157894736842105</x:v>
      </x:c>
      <x:c r="F81" s="34" t="n">
        <x:v>9.9</x:v>
      </x:c>
      <x:c r="G81" s="30" t="n">
        <x:v>98</x:v>
      </x:c>
    </x:row>
    <x:row r="82" ht="42" customHeight="1">
      <x:c r="A82" s="14" t="str">
        <x:v>увеличение губ</x:v>
      </x:c>
      <x:c r="B82" s="14" t="str">
        <x:v>https://kozhaclinic.ru/uvelichenie-gub/</x:v>
      </x:c>
      <x:c r="C82" s="31" t="n">
        <x:v>0</x:v>
      </x:c>
      <x:c r="D82" s="31" t="n">
        <x:v>7</x:v>
      </x:c>
      <x:c r="E82" s="33" t="n">
        <x:f>IF(AND(ISNUMBER(C82),ISNUMBER(D82),D82&gt;0),C82/D82,"")</x:f>
        <x:v>0</x:v>
      </x:c>
      <x:c r="F82" s="35" t="n">
        <x:v>5.5</x:v>
      </x:c>
      <x:c r="G82" s="31" t="n">
        <x:v>6691</x:v>
      </x:c>
    </x:row>
    <x:row r="83" ht="42" customHeight="1">
      <x:c r="A83" s="12" t="str">
        <x:v>убрать второй подбородок сургут</x:v>
      </x:c>
      <x:c r="B83" s="12" t="str">
        <x:v>https://kozhaclinic.ru/</x:v>
      </x:c>
      <x:c r="C83" s="30" t="n">
        <x:v>0</x:v>
      </x:c>
      <x:c r="D83" s="30" t="n">
        <x:v>4</x:v>
      </x:c>
      <x:c r="E83" s="32" t="n">
        <x:f>IF(AND(ISNUMBER(C83),ISNUMBER(D83),D83&gt;0),C83/D83,"")</x:f>
        <x:v>0</x:v>
      </x:c>
      <x:c r="F83" s="34" t="n">
        <x:v>6.2</x:v>
      </x:c>
      <x:c r="G83" s="30" t="n">
        <x:v>7</x:v>
      </x:c>
    </x:row>
    <x:row r="84" ht="42" customHeight="1">
      <x:c r="A84" s="14" t="str">
        <x:v>удаление невуса</x:v>
      </x:c>
      <x:c r="B84" s="14" t="str">
        <x:v>https://kozhaclinic.ru/udalenie-novoobrazovanij/udalenie-rodinok/</x:v>
      </x:c>
      <x:c r="C84" s="31" t="n">
        <x:v>5</x:v>
      </x:c>
      <x:c r="D84" s="31" t="n">
        <x:v>71</x:v>
      </x:c>
      <x:c r="E84" s="33" t="n">
        <x:f>IF(AND(ISNUMBER(C84),ISNUMBER(D84),D84&gt;0),C84/D84,"")</x:f>
        <x:v>0.07042253521126761</x:v>
      </x:c>
      <x:c r="F84" s="35" t="n">
        <x:v>5.3</x:v>
      </x:c>
      <x:c r="G84" s="31" t="n">
        <x:v>676</x:v>
      </x:c>
    </x:row>
    <x:row r="85" ht="42" customHeight="1">
      <x:c r="A85" s="12" t="str">
        <x:v>удаление папиллом лазером цена</x:v>
      </x:c>
      <x:c r="B85" s="12" t="str">
        <x:v>https://kozhaclinic.ru/udalenie-novoobrazovanij/</x:v>
      </x:c>
      <x:c r="C85" s="30" t="n">
        <x:v>3</x:v>
      </x:c>
      <x:c r="D85" s="30" t="n">
        <x:v>56</x:v>
      </x:c>
      <x:c r="E85" s="32" t="n">
        <x:f>IF(AND(ISNUMBER(C85),ISNUMBER(D85),D85&gt;0),C85/D85,"")</x:f>
        <x:v>0.05357142857142857</x:v>
      </x:c>
      <x:c r="F85" s="34" t="n">
        <x:v>7.3</x:v>
      </x:c>
      <x:c r="G85" s="30" t="n">
        <x:v>523</x:v>
      </x:c>
    </x:row>
    <x:row r="86" ht="42" customHeight="1">
      <x:c r="A86" s="14" t="str">
        <x:v>ботокс сургут</x:v>
      </x:c>
      <x:c r="B86" s="14" t="str">
        <x:v>https://kozhaclinic.ru/inekcionnaya-kosmetologiya/botulinoterapiya/</x:v>
      </x:c>
      <x:c r="C86" s="31" t="n">
        <x:v>0</x:v>
      </x:c>
      <x:c r="D86" s="31" t="n">
        <x:v>18</x:v>
      </x:c>
      <x:c r="E86" s="33" t="n">
        <x:f>IF(AND(ISNUMBER(C86),ISNUMBER(D86),D86&gt;0),C86/D86,"")</x:f>
        <x:v>0</x:v>
      </x:c>
      <x:c r="F86" s="35" t="n">
        <x:v>6.1</x:v>
      </x:c>
      <x:c r="G86" s="31" t="n">
        <x:v>18</x:v>
      </x:c>
    </x:row>
    <x:row r="87" ht="42" customHeight="1">
      <x:c r="A87" s="12" t="str">
        <x:v>где сделать ботокс в сургуте</x:v>
      </x:c>
      <x:c r="B87" s="12" t="str">
        <x:v>https://kozhaclinic.ru/inekcionnaya-kosmetologiya/</x:v>
      </x:c>
      <x:c r="C87" s="30" t="n">
        <x:v>0</x:v>
      </x:c>
      <x:c r="D87" s="30" t="n">
        <x:v>2</x:v>
      </x:c>
      <x:c r="E87" s="32" t="n">
        <x:f>IF(AND(ISNUMBER(C87),ISNUMBER(D87),D87&gt;0),C87/D87,"")</x:f>
        <x:v>0</x:v>
      </x:c>
      <x:c r="F87" s="34" t="n">
        <x:v>6</x:v>
      </x:c>
      <x:c r="G87" s="30" t="n">
        <x:v>3</x:v>
      </x:c>
    </x:row>
    <x:row r="88" ht="42" customHeight="1">
      <x:c r="A88" s="14" t="str">
        <x:v>кожа салон</x:v>
      </x:c>
      <x:c r="B88" s="14" t="str">
        <x:v>https://kozhaclinic.ru/portfolio/</x:v>
      </x:c>
      <x:c r="C88" s="31" t="n">
        <x:v>1</x:v>
      </x:c>
      <x:c r="D88" s="31" t="n">
        <x:v>28</x:v>
      </x:c>
      <x:c r="E88" s="33" t="n">
        <x:f>IF(AND(ISNUMBER(C88),ISNUMBER(D88),D88&gt;0),C88/D88,"")</x:f>
        <x:v>0.03571428571428571</x:v>
      </x:c>
      <x:c r="F88" s="35" t="n">
        <x:v>7.1</x:v>
      </x:c>
      <x:c r="G88" s="31" t="n">
        <x:v>35</x:v>
      </x:c>
    </x:row>
    <x:row r="89" ht="42" customHeight="1">
      <x:c r="A89" s="12" t="str">
        <x:v>лазерная эпиляция сургут александритовый лазер</x:v>
      </x:c>
      <x:c r="B89" s="12" t="str">
        <x:v>https://kozhaclinic.ru/ustranenie-nezhelatelnykh-volos/</x:v>
      </x:c>
      <x:c r="C89" s="30" t="n">
        <x:v>0</x:v>
      </x:c>
      <x:c r="D89" s="30" t="n">
        <x:v>1</x:v>
      </x:c>
      <x:c r="E89" s="32" t="n">
        <x:f>IF(AND(ISNUMBER(C89),ISNUMBER(D89),D89&gt;0),C89/D89,"")</x:f>
        <x:v>0</x:v>
      </x:c>
      <x:c r="F89" s="34" t="n">
        <x:v>13</x:v>
      </x:c>
      <x:c r="G89" s="30" t="n">
        <x:v>25</x:v>
      </x:c>
    </x:row>
    <x:row r="90" ht="42" customHeight="1">
      <x:c r="A90" s="14" t="str">
        <x:v>салон кожа</x:v>
      </x:c>
      <x:c r="B90" s="14" t="str">
        <x:v>https://kozhaclinic.ru/portfolio/</x:v>
      </x:c>
      <x:c r="C90" s="31" t="n">
        <x:v>0</x:v>
      </x:c>
      <x:c r="D90" s="31" t="n">
        <x:v>14</x:v>
      </x:c>
      <x:c r="E90" s="33" t="n">
        <x:f>IF(AND(ISNUMBER(C90),ISNUMBER(D90),D90&gt;0),C90/D90,"")</x:f>
        <x:v>0</x:v>
      </x:c>
      <x:c r="F90" s="35" t="n">
        <x:v>8.7</x:v>
      </x:c>
      <x:c r="G90" s="31" t="n">
        <x:v>21</x:v>
      </x:c>
    </x:row>
    <x:row r="91" ht="42" customHeight="1">
      <x:c r="A91" s="12" t="str">
        <x:v>подтяжка лица сургут</x:v>
      </x:c>
      <x:c r="B91" s="12" t="str">
        <x:v>https://kozhaclinic.ru/podtyazhka-kozhi-litsa/</x:v>
      </x:c>
      <x:c r="C91" s="30" t="n">
        <x:v>0</x:v>
      </x:c>
      <x:c r="D91" s="30" t="n">
        <x:v>17</x:v>
      </x:c>
      <x:c r="E91" s="32" t="n">
        <x:f>IF(AND(ISNUMBER(C91),ISNUMBER(D91),D91&gt;0),C91/D91,"")</x:f>
        <x:v>0</x:v>
      </x:c>
      <x:c r="F91" s="34" t="n">
        <x:v>7.2</x:v>
      </x:c>
      <x:c r="G91" s="30" t="n">
        <x:v>18</x:v>
      </x:c>
    </x:row>
    <x:row r="92" ht="42" customHeight="1">
      <x:c r="A92" s="14" t="str">
        <x:v>лазерная эпиляция в сургуте</x:v>
      </x:c>
      <x:c r="B92" s="14" t="str">
        <x:v>https://kozhaclinic.ru/</x:v>
      </x:c>
      <x:c r="C92" s="31" t="n">
        <x:v>0</x:v>
      </x:c>
      <x:c r="D92" s="31" t="n">
        <x:v>29</x:v>
      </x:c>
      <x:c r="E92" s="33" t="n">
        <x:f>IF(AND(ISNUMBER(C92),ISNUMBER(D92),D92&gt;0),C92/D92,"")</x:f>
        <x:v>0</x:v>
      </x:c>
      <x:c r="F92" s="35" t="n">
        <x:v>9.4</x:v>
      </x:c>
      <x:c r="G92" s="31" t="n">
        <x:v>70</x:v>
      </x:c>
    </x:row>
    <x:row r="93" ht="42" customHeight="1">
      <x:c r="A93" s="12" t="str">
        <x:v>фототерапия сургут</x:v>
      </x:c>
      <x:c r="B93" s="12" t="str">
        <x:v>https://kozhaclinic.ru/apparatnaya-kosmetologiya/fotoomolozhenie-inmode/</x:v>
      </x:c>
      <x:c r="C93" s="30" t="n">
        <x:v>1</x:v>
      </x:c>
      <x:c r="D93" s="30" t="n">
        <x:v>13</x:v>
      </x:c>
      <x:c r="E93" s="32" t="n">
        <x:f>IF(AND(ISNUMBER(C93),ISNUMBER(D93),D93&gt;0),C93/D93,"")</x:f>
        <x:v>0.07692307692307693</x:v>
      </x:c>
      <x:c r="F93" s="34" t="n">
        <x:v>7.1</x:v>
      </x:c>
      <x:c r="G93" s="30" t="n">
        <x:v>11</x:v>
      </x:c>
    </x:row>
    <x:row r="94" ht="42" customHeight="1">
      <x:c r="A94" s="14" t="str">
        <x:v>карбокситерапия в сургуте</x:v>
      </x:c>
      <x:c r="B94" s="14" t="str">
        <x:v>https://kozhaclinic.ru/inekcionnaya-kosmetologiya/omolozhenie-i-pitanie-kozhi/karboksiterapiya-inektsionnaya/</x:v>
      </x:c>
      <x:c r="C94" s="31" t="n">
        <x:v>0</x:v>
      </x:c>
      <x:c r="D94" s="31" t="n">
        <x:v>10</x:v>
      </x:c>
      <x:c r="E94" s="33" t="n">
        <x:f>IF(AND(ISNUMBER(C94),ISNUMBER(D94),D94&gt;0),C94/D94,"")</x:f>
        <x:v>0</x:v>
      </x:c>
      <x:c r="F94" s="35" t="n">
        <x:v>3.1</x:v>
      </x:c>
      <x:c r="G94" s="31" t="n">
        <x:v>10</x:v>
      </x:c>
    </x:row>
    <x:row r="95" ht="42" customHeight="1">
      <x:c r="A95" s="12" t="str">
        <x:v>карбокситерапия сургут</x:v>
      </x:c>
      <x:c r="B95" s="12" t="str">
        <x:v>https://kozhaclinic.ru/inekcionnaya-kosmetologiya/omolozhenie-i-pitanie-kozhi/karboksiterapiya-inektsionnaya/</x:v>
      </x:c>
      <x:c r="C95" s="30" t="n">
        <x:v>0</x:v>
      </x:c>
      <x:c r="D95" s="30" t="n">
        <x:v>11</x:v>
      </x:c>
      <x:c r="E95" s="32" t="n">
        <x:f>IF(AND(ISNUMBER(C95),ISNUMBER(D95),D95&gt;0),C95/D95,"")</x:f>
        <x:v>0</x:v>
      </x:c>
      <x:c r="F95" s="34" t="n">
        <x:v>5.2</x:v>
      </x:c>
      <x:c r="G95" s="30" t="n">
        <x:v>10</x:v>
      </x:c>
    </x:row>
    <x:row r="96" ht="42" customHeight="1">
      <x:c r="A96" s="14" t="str">
        <x:v>лазерная косметология</x:v>
      </x:c>
      <x:c r="B96" s="14" t="str">
        <x:v>https://kozhaclinic.ru/lazernaya-kosmetologiya/</x:v>
      </x:c>
      <x:c r="C96" s="31" t="n">
        <x:v>0</x:v>
      </x:c>
      <x:c r="D96" s="31" t="n">
        <x:v>0</x:v>
      </x:c>
      <x:c r="E96" s="33" t="str">
        <x:f>IF(AND(ISNUMBER(C96),ISNUMBER(D96),D96&gt;0),C96/D96,"")</x:f>
      </x:c>
      <x:c r="F96" s="35"/>
      <x:c r="G96" s="31" t="n">
        <x:v>1086</x:v>
      </x:c>
    </x:row>
    <x:row r="97" ht="42" customHeight="1">
      <x:c r="A97" s="12" t="str">
        <x:v>таскаева дарья геннадьевна дерматолог отзывы</x:v>
      </x:c>
      <x:c r="B97" s="12" t="str">
        <x:v>https://kozhaclinic.ru/o-nas/otzyvy/</x:v>
      </x:c>
      <x:c r="C97" s="30" t="n">
        <x:v>0</x:v>
      </x:c>
      <x:c r="D97" s="30" t="n">
        <x:v>20</x:v>
      </x:c>
      <x:c r="E97" s="32" t="n">
        <x:f>IF(AND(ISNUMBER(C97),ISNUMBER(D97),D97&gt;0),C97/D97,"")</x:f>
        <x:v>0</x:v>
      </x:c>
      <x:c r="F97" s="34" t="n">
        <x:v>4.7</x:v>
      </x:c>
      <x:c r="G97" s="30" t="n">
        <x:v>20</x:v>
      </x:c>
    </x:row>
    <x:row r="98" ht="42" customHeight="1">
      <x:c r="A98" s="14" t="str">
        <x:v>удалить бородавку сургут</x:v>
      </x:c>
      <x:c r="B98" s="14" t="str">
        <x:v>https://kozhaclinic.ru/udalenie-novoobrazovanij/udalenie-borodavok/</x:v>
      </x:c>
      <x:c r="C98" s="31" t="n">
        <x:v>0</x:v>
      </x:c>
      <x:c r="D98" s="31" t="n">
        <x:v>14</x:v>
      </x:c>
      <x:c r="E98" s="33" t="n">
        <x:f>IF(AND(ISNUMBER(C98),ISNUMBER(D98),D98&gt;0),C98/D98,"")</x:f>
        <x:v>0</x:v>
      </x:c>
      <x:c r="F98" s="35" t="n">
        <x:v>4.7</x:v>
      </x:c>
      <x:c r="G98" s="31" t="n">
        <x:v>14</x:v>
      </x:c>
    </x:row>
    <x:row r="99" ht="42" customHeight="1">
      <x:c r="A99" s="12" t="str">
        <x:v>пластифицирующий массаж лица что это такое</x:v>
      </x:c>
      <x:c r="B99" s="12" t="str">
        <x:v>https://kozhaclinic.ru/uhodovye-procedury/massazhi/plastifitsiruyushchiy/</x:v>
      </x:c>
      <x:c r="C99" s="30" t="n">
        <x:v>0</x:v>
      </x:c>
      <x:c r="D99" s="30" t="n">
        <x:v>18</x:v>
      </x:c>
      <x:c r="E99" s="32" t="n">
        <x:f>IF(AND(ISNUMBER(C99),ISNUMBER(D99),D99&gt;0),C99/D99,"")</x:f>
        <x:v>0</x:v>
      </x:c>
      <x:c r="F99" s="34" t="n">
        <x:v>5.4</x:v>
      </x:c>
      <x:c r="G99" s="30" t="n">
        <x:v>18</x:v>
      </x:c>
    </x:row>
    <x:row r="100" ht="42" customHeight="1">
      <x:c r="A100" s="14" t="str">
        <x:v>что такое увлажнение губ</x:v>
      </x:c>
      <x:c r="B100" s="14" t="str">
        <x:v>https://kozhaclinic.ru/inekcionnaya-kosmetologiya/konturnaya-plastika/uvlazhnenie-gub/</x:v>
      </x:c>
      <x:c r="C100" s="31" t="n">
        <x:v>0</x:v>
      </x:c>
      <x:c r="D100" s="31" t="n">
        <x:v>4</x:v>
      </x:c>
      <x:c r="E100" s="33" t="n">
        <x:f>IF(AND(ISNUMBER(C100),ISNUMBER(D100),D100&gt;0),C100/D100,"")</x:f>
        <x:v>0</x:v>
      </x:c>
      <x:c r="F100" s="35" t="n">
        <x:v>12.7</x:v>
      </x:c>
      <x:c r="G100" s="31" t="n">
        <x:v>21</x:v>
      </x:c>
    </x:row>
    <x:row r="101" ht="42" customHeight="1">
      <x:c r="A101" s="12" t="str">
        <x:v>сургут косметологическая клиника</x:v>
      </x:c>
      <x:c r="B101" s="12" t="str">
        <x:v>https://kozhaclinic.ru/</x:v>
      </x:c>
      <x:c r="C101" s="30" t="n">
        <x:v>0</x:v>
      </x:c>
      <x:c r="D101" s="30" t="n">
        <x:v>8</x:v>
      </x:c>
      <x:c r="E101" s="32" t="n">
        <x:f>IF(AND(ISNUMBER(C101),ISNUMBER(D101),D101&gt;0),C101/D101,"")</x:f>
        <x:v>0</x:v>
      </x:c>
      <x:c r="F101" s="34" t="n">
        <x:v>4.6</x:v>
      </x:c>
      <x:c r="G101" s="30" t="n">
        <x:v>8</x:v>
      </x:c>
    </x:row>
    <x:row r="102" ht="42" customHeight="1">
      <x:c r="A102" s="14" t="str">
        <x:v>удаление родинок в сургуте</x:v>
      </x:c>
      <x:c r="B102" s="14" t="str">
        <x:v>https://kozhaclinic.ru/udalenie-novoobrazovanij/udalenie-rodinok/</x:v>
      </x:c>
      <x:c r="C102" s="31" t="n">
        <x:v>1</x:v>
      </x:c>
      <x:c r="D102" s="31" t="n">
        <x:v>11</x:v>
      </x:c>
      <x:c r="E102" s="33" t="n">
        <x:f>IF(AND(ISNUMBER(C102),ISNUMBER(D102),D102&gt;0),C102/D102,"")</x:f>
        <x:v>0.09090909090909091</x:v>
      </x:c>
      <x:c r="F102" s="35" t="n">
        <x:v>2.8</x:v>
      </x:c>
      <x:c r="G102" s="31" t="n">
        <x:v>11</x:v>
      </x:c>
    </x:row>
    <x:row r="103" ht="42" customHeight="1">
      <x:c r="A103" s="12" t="str">
        <x:v>мезотерапия после пересадки волос</x:v>
      </x:c>
      <x:c r="B103" s="12" t="str">
        <x:v>https://kozhaclinic.ru/terapiya-posle-peresadki-volos/</x:v>
      </x:c>
      <x:c r="C103" s="30" t="n">
        <x:v>0</x:v>
      </x:c>
      <x:c r="D103" s="30" t="n">
        <x:v>35</x:v>
      </x:c>
      <x:c r="E103" s="32" t="n">
        <x:f>IF(AND(ISNUMBER(C103),ISNUMBER(D103),D103&gt;0),C103/D103,"")</x:f>
        <x:v>0</x:v>
      </x:c>
      <x:c r="F103" s="34" t="n">
        <x:v>7.5</x:v>
      </x:c>
      <x:c r="G103" s="30" t="n">
        <x:v>37</x:v>
      </x:c>
    </x:row>
    <x:row r="104" ht="42" customHeight="1">
      <x:c r="A104" s="14" t="str">
        <x:v>косметология в сургуте</x:v>
      </x:c>
      <x:c r="B104" s="14" t="str">
        <x:v>https://kozhaclinic.ru/</x:v>
      </x:c>
      <x:c r="C104" s="31" t="n">
        <x:v>0</x:v>
      </x:c>
      <x:c r="D104" s="31" t="n">
        <x:v>15</x:v>
      </x:c>
      <x:c r="E104" s="33" t="n">
        <x:f>IF(AND(ISNUMBER(C104),ISNUMBER(D104),D104&gt;0),C104/D104,"")</x:f>
        <x:v>0</x:v>
      </x:c>
      <x:c r="F104" s="35" t="n">
        <x:v>7.9</x:v>
      </x:c>
      <x:c r="G104" s="31" t="n">
        <x:v>18</x:v>
      </x:c>
    </x:row>
    <x:row r="105" ht="42" customHeight="1">
      <x:c r="A105" s="12" t="str">
        <x:v>миграция геля в слизистую верхней губы</x:v>
      </x:c>
      <x:c r="B105" s="12" t="str">
        <x:v>https://kozhaclinic.ru/migratsiya-gelya-iz-gub/</x:v>
      </x:c>
      <x:c r="C105" s="30" t="n">
        <x:v>0</x:v>
      </x:c>
      <x:c r="D105" s="30" t="n">
        <x:v>33</x:v>
      </x:c>
      <x:c r="E105" s="32" t="n">
        <x:f>IF(AND(ISNUMBER(C105),ISNUMBER(D105),D105&gt;0),C105/D105,"")</x:f>
        <x:v>0</x:v>
      </x:c>
      <x:c r="F105" s="34" t="n">
        <x:v>4.7</x:v>
      </x:c>
      <x:c r="G105" s="30" t="n">
        <x:v>33</x:v>
      </x:c>
    </x:row>
    <x:row r="106" ht="42" customHeight="1">
      <x:c r="A106" s="14" t="str">
        <x:v>мезотерапия сургут</x:v>
      </x:c>
      <x:c r="B106" s="14" t="str">
        <x:v>https://kozhaclinic.ru/inekcionnaya-kosmetologiya/omolozhenie-i-pitanie-kozhi/mezoterapiya/</x:v>
      </x:c>
      <x:c r="C106" s="31" t="n">
        <x:v>0</x:v>
      </x:c>
      <x:c r="D106" s="31" t="n">
        <x:v>8</x:v>
      </x:c>
      <x:c r="E106" s="33" t="n">
        <x:f>IF(AND(ISNUMBER(C106),ISNUMBER(D106),D106&gt;0),C106/D106,"")</x:f>
        <x:v>0</x:v>
      </x:c>
      <x:c r="F106" s="35" t="n">
        <x:v>7</x:v>
      </x:c>
      <x:c r="G106" s="31" t="n">
        <x:v>7</x:v>
      </x:c>
    </x:row>
    <x:row r="107" ht="42" customHeight="1">
      <x:c r="A107" s="12" t="str">
        <x:v>мезотерапия для лица цена</x:v>
      </x:c>
      <x:c r="B107" s="12" t="str">
        <x:v>https://kozhaclinic.ru/inekcionnaya-kosmetologiya/omolozhenie-i-pitanie-kozhi/mezoterapiya/</x:v>
      </x:c>
      <x:c r="C107" s="30" t="n">
        <x:v>0</x:v>
      </x:c>
      <x:c r="D107" s="30" t="n">
        <x:v>2</x:v>
      </x:c>
      <x:c r="E107" s="32" t="n">
        <x:f>IF(AND(ISNUMBER(C107),ISNUMBER(D107),D107&gt;0),C107/D107,"")</x:f>
        <x:v>0</x:v>
      </x:c>
      <x:c r="F107" s="34" t="n">
        <x:v>7.5</x:v>
      </x:c>
      <x:c r="G107" s="30" t="n">
        <x:v>1015</x:v>
      </x:c>
    </x:row>
    <x:row r="108" ht="42" customHeight="1">
      <x:c r="A108" s="14" t="str">
        <x:v>аппаратная медицинская косметология</x:v>
      </x:c>
      <x:c r="B108" s="14" t="str">
        <x:v>https://kozhaclinic.ru/apparatnaya-kosmetologiya/</x:v>
      </x:c>
      <x:c r="C108" s="31" t="n">
        <x:v>0</x:v>
      </x:c>
      <x:c r="D108" s="31" t="n">
        <x:v>0</x:v>
      </x:c>
      <x:c r="E108" s="33" t="str">
        <x:f>IF(AND(ISNUMBER(C108),ISNUMBER(D108),D108&gt;0),C108/D108,"")</x:f>
      </x:c>
      <x:c r="F108" s="35"/>
      <x:c r="G108" s="31" t="n">
        <x:v>187</x:v>
      </x:c>
    </x:row>
    <x:row r="109" ht="42" customHeight="1">
      <x:c r="A109" s="12" t="str">
        <x:v>ленина 18 сургут клиника</x:v>
      </x:c>
      <x:c r="B109" s="12" t="str">
        <x:v>https://kozhaclinic.ru/</x:v>
      </x:c>
      <x:c r="C109" s="30" t="n">
        <x:v>0</x:v>
      </x:c>
      <x:c r="D109" s="30" t="n">
        <x:v>28</x:v>
      </x:c>
      <x:c r="E109" s="32" t="n">
        <x:f>IF(AND(ISNUMBER(C109),ISNUMBER(D109),D109&gt;0),C109/D109,"")</x:f>
        <x:v>0</x:v>
      </x:c>
      <x:c r="F109" s="34" t="n">
        <x:v>6.7</x:v>
      </x:c>
      <x:c r="G109" s="30" t="n">
        <x:v>31</x:v>
      </x:c>
    </x:row>
    <x:row r="110" ht="42" customHeight="1">
      <x:c r="A110" s="14" t="str">
        <x:v>аппаратная косметология</x:v>
      </x:c>
      <x:c r="B110" s="14" t="str">
        <x:v>https://kozhaclinic.ru/apparatnaya-kosmetologiya/</x:v>
      </x:c>
      <x:c r="C110" s="31" t="n">
        <x:v>0</x:v>
      </x:c>
      <x:c r="D110" s="31" t="n">
        <x:v>1</x:v>
      </x:c>
      <x:c r="E110" s="33" t="n">
        <x:f>IF(AND(ISNUMBER(C110),ISNUMBER(D110),D110&gt;0),C110/D110,"")</x:f>
        <x:v>0</x:v>
      </x:c>
      <x:c r="F110" s="35" t="n">
        <x:v>9</x:v>
      </x:c>
      <x:c r="G110" s="31" t="n">
        <x:v>5281</x:v>
      </x:c>
    </x:row>
    <x:row r="111" ht="42" customHeight="1">
      <x:c r="A111" s="12" t="str">
        <x:v>удаление новообразований на лице</x:v>
      </x:c>
      <x:c r="B111" s="12" t="str">
        <x:v>https://kozhaclinic.ru/udalenie-novoobrazovanij/</x:v>
      </x:c>
      <x:c r="C111" s="30" t="n">
        <x:v>0</x:v>
      </x:c>
      <x:c r="D111" s="30" t="n">
        <x:v>1</x:v>
      </x:c>
      <x:c r="E111" s="32" t="n">
        <x:f>IF(AND(ISNUMBER(C111),ISNUMBER(D111),D111&gt;0),C111/D111,"")</x:f>
        <x:v>0</x:v>
      </x:c>
      <x:c r="F111" s="34" t="n">
        <x:v>3</x:v>
      </x:c>
      <x:c r="G111" s="30" t="n">
        <x:v>690</x:v>
      </x:c>
    </x:row>
    <x:row r="112" ht="42" customHeight="1">
      <x:c r="A112" s="14" t="str">
        <x:v>удаление шипицы сургут</x:v>
      </x:c>
      <x:c r="B112" s="14" t="str">
        <x:v>https://kozhaclinic.ru/udalenie-novoobrazovanij/udalenie-borodavok/</x:v>
      </x:c>
      <x:c r="C112" s="31" t="n">
        <x:v>0</x:v>
      </x:c>
      <x:c r="D112" s="31" t="n">
        <x:v>13</x:v>
      </x:c>
      <x:c r="E112" s="33" t="n">
        <x:f>IF(AND(ISNUMBER(C112),ISNUMBER(D112),D112&gt;0),C112/D112,"")</x:f>
        <x:v>0</x:v>
      </x:c>
      <x:c r="F112" s="35" t="n">
        <x:v>8.3</x:v>
      </x:c>
      <x:c r="G112" s="31" t="n">
        <x:v>15</x:v>
      </x:c>
    </x:row>
    <x:row r="113" ht="42" customHeight="1">
      <x:c r="A113" s="12" t="str">
        <x:v>чистка спины</x:v>
      </x:c>
      <x:c r="B113" s="12" t="str">
        <x:v>https://kozhaclinic.ru/uhodovye-procedury/chistki-litsa-i-spiny/chistka-spiny/</x:v>
      </x:c>
      <x:c r="C113" s="30" t="n">
        <x:v>0</x:v>
      </x:c>
      <x:c r="D113" s="30" t="n">
        <x:v>0</x:v>
      </x:c>
      <x:c r="E113" s="32" t="str">
        <x:f>IF(AND(ISNUMBER(C113),ISNUMBER(D113),D113&gt;0),C113/D113,"")</x:f>
      </x:c>
      <x:c r="F113" s="34"/>
      <x:c r="G113" s="30" t="n">
        <x:v>351</x:v>
      </x:c>
    </x:row>
    <x:row r="114" ht="42" customHeight="1">
      <x:c r="A114" s="14" t="str">
        <x:v>что такое миграция филлера в губах</x:v>
      </x:c>
      <x:c r="B114" s="14" t="str">
        <x:v>https://kozhaclinic.ru/migratsiya-gelya-iz-gub/</x:v>
      </x:c>
      <x:c r="C114" s="31" t="n">
        <x:v>1</x:v>
      </x:c>
      <x:c r="D114" s="31" t="n">
        <x:v>15</x:v>
      </x:c>
      <x:c r="E114" s="33" t="n">
        <x:f>IF(AND(ISNUMBER(C114),ISNUMBER(D114),D114&gt;0),C114/D114,"")</x:f>
        <x:v>0.06666666666666667</x:v>
      </x:c>
      <x:c r="F114" s="35" t="n">
        <x:v>5.8</x:v>
      </x:c>
      <x:c r="G114" s="31" t="n">
        <x:v>31</x:v>
      </x:c>
    </x:row>
    <x:row r="115" ht="42" customHeight="1">
      <x:c r="A115" s="12" t="str">
        <x:v>массаж лица в сургуте</x:v>
      </x:c>
      <x:c r="B115" s="12" t="str">
        <x:v>https://kozhaclinic.ru/uhodovye-procedury/massazhi/</x:v>
      </x:c>
      <x:c r="C115" s="30" t="n">
        <x:v>1</x:v>
      </x:c>
      <x:c r="D115" s="30" t="n">
        <x:v>7</x:v>
      </x:c>
      <x:c r="E115" s="32" t="n">
        <x:f>IF(AND(ISNUMBER(C115),ISNUMBER(D115),D115&gt;0),C115/D115,"")</x:f>
        <x:v>0.14285714285714285</x:v>
      </x:c>
      <x:c r="F115" s="34" t="n">
        <x:v>11.4</x:v>
      </x:c>
      <x:c r="G115" s="30" t="n">
        <x:v>22</x:v>
      </x:c>
    </x:row>
    <x:row r="116" ht="42" customHeight="1">
      <x:c r="A116" s="14" t="str">
        <x:v>увеличить губы сургут</x:v>
      </x:c>
      <x:c r="B116" s="14" t="str">
        <x:v>https://kozhaclinic.ru/inekcionnaya-kosmetologiya/konturnaya-plastika/uvelichenie-gub/</x:v>
      </x:c>
      <x:c r="C116" s="31" t="n">
        <x:v>0</x:v>
      </x:c>
      <x:c r="D116" s="31" t="n">
        <x:v>10</x:v>
      </x:c>
      <x:c r="E116" s="33" t="n">
        <x:f>IF(AND(ISNUMBER(C116),ISNUMBER(D116),D116&gt;0),C116/D116,"")</x:f>
        <x:v>0</x:v>
      </x:c>
      <x:c r="F116" s="35" t="n">
        <x:v>6.3</x:v>
      </x:c>
      <x:c r="G116" s="31" t="n">
        <x:v>10</x:v>
      </x:c>
    </x:row>
    <x:row r="117" ht="42" customHeight="1">
      <x:c r="A117" s="12" t="str">
        <x:v>увлажнение губ это</x:v>
      </x:c>
      <x:c r="B117" s="12" t="str">
        <x:v>https://kozhaclinic.ru/inekcionnaya-kosmetologiya/konturnaya-plastika/uvlazhnenie-gub/</x:v>
      </x:c>
      <x:c r="C117" s="30" t="n">
        <x:v>0</x:v>
      </x:c>
      <x:c r="D117" s="30" t="n">
        <x:v>0</x:v>
      </x:c>
      <x:c r="E117" s="32" t="str">
        <x:f>IF(AND(ISNUMBER(C117),ISNUMBER(D117),D117&gt;0),C117/D117,"")</x:f>
      </x:c>
      <x:c r="F117" s="34"/>
      <x:c r="G117" s="30" t="n">
        <x:v>17</x:v>
      </x:c>
    </x:row>
    <x:row r="118" ht="42" customHeight="1">
      <x:c r="A118" s="14" t="str">
        <x:v>удалить родинку сургут</x:v>
      </x:c>
      <x:c r="B118" s="14" t="str">
        <x:v>https://kozhaclinic.ru/udalenie-novoobrazovanij/udalenie-rodinok/</x:v>
      </x:c>
      <x:c r="C118" s="31" t="n">
        <x:v>1</x:v>
      </x:c>
      <x:c r="D118" s="31" t="n">
        <x:v>14</x:v>
      </x:c>
      <x:c r="E118" s="33" t="n">
        <x:f>IF(AND(ISNUMBER(C118),ISNUMBER(D118),D118&gt;0),C118/D118,"")</x:f>
        <x:v>0.07142857142857142</x:v>
      </x:c>
      <x:c r="F118" s="35" t="n">
        <x:v>4</x:v>
      </x:c>
      <x:c r="G118" s="31" t="n">
        <x:v>12</x:v>
      </x:c>
    </x:row>
    <x:row r="119" ht="42" customHeight="1">
      <x:c r="A119" s="12" t="str">
        <x:v>миграция геля в слизистую</x:v>
      </x:c>
      <x:c r="B119" s="12" t="str">
        <x:v>https://kozhaclinic.ru/migratsiya-gelya-iz-gub/</x:v>
      </x:c>
      <x:c r="C119" s="30" t="n">
        <x:v>0</x:v>
      </x:c>
      <x:c r="D119" s="30" t="n">
        <x:v>17</x:v>
      </x:c>
      <x:c r="E119" s="32" t="n">
        <x:f>IF(AND(ISNUMBER(C119),ISNUMBER(D119),D119&gt;0),C119/D119,"")</x:f>
        <x:v>0</x:v>
      </x:c>
      <x:c r="F119" s="34" t="n">
        <x:v>8.4</x:v>
      </x:c>
      <x:c r="G119" s="30" t="n">
        <x:v>17</x:v>
      </x:c>
    </x:row>
    <x:row r="120" ht="42" customHeight="1">
      <x:c r="A120" s="14" t="str">
        <x:v>косметологические клиники сургут</x:v>
      </x:c>
      <x:c r="B120" s="14" t="str">
        <x:v>https://kozhaclinic.ru/</x:v>
      </x:c>
      <x:c r="C120" s="31" t="n">
        <x:v>0</x:v>
      </x:c>
      <x:c r="D120" s="31" t="n">
        <x:v>15</x:v>
      </x:c>
      <x:c r="E120" s="33" t="n">
        <x:f>IF(AND(ISNUMBER(C120),ISNUMBER(D120),D120&gt;0),C120/D120,"")</x:f>
        <x:v>0</x:v>
      </x:c>
      <x:c r="F120" s="35" t="n">
        <x:v>8.9</x:v>
      </x:c>
      <x:c r="G120" s="31" t="n">
        <x:v>15</x:v>
      </x:c>
    </x:row>
    <x:row r="121" ht="42" customHeight="1">
      <x:c r="A121" s="12" t="str">
        <x:v>кожа сургут клиника</x:v>
      </x:c>
      <x:c r="B121" s="12" t="str">
        <x:v>https://kozhaclinic.ru/</x:v>
      </x:c>
      <x:c r="C121" s="30" t="n">
        <x:v>2</x:v>
      </x:c>
      <x:c r="D121" s="30" t="n">
        <x:v>9</x:v>
      </x:c>
      <x:c r="E121" s="32" t="n">
        <x:f>IF(AND(ISNUMBER(C121),ISNUMBER(D121),D121&gt;0),C121/D121,"")</x:f>
        <x:v>0.2222222222222222</x:v>
      </x:c>
      <x:c r="F121" s="34" t="n">
        <x:v>1.7</x:v>
      </x:c>
      <x:c r="G121" s="30" t="n">
        <x:v>7</x:v>
      </x:c>
    </x:row>
    <x:row r="122" ht="42" customHeight="1">
      <x:c r="A122" s="14" t="str">
        <x:v>микроигольчатый rf лифтинг</x:v>
      </x:c>
      <x:c r="B122" s="14" t="str">
        <x:v>https://kozhaclinic.ru/apparatnaya-kosmetologiya/igolchatyy-rf-lifting-na-morpheus-8/</x:v>
      </x:c>
      <x:c r="C122" s="31" t="n">
        <x:v>0</x:v>
      </x:c>
      <x:c r="D122" s="31" t="n">
        <x:v>0</x:v>
      </x:c>
      <x:c r="E122" s="33" t="str">
        <x:f>IF(AND(ISNUMBER(C122),ISNUMBER(D122),D122&gt;0),C122/D122,"")</x:f>
      </x:c>
      <x:c r="F122" s="35"/>
      <x:c r="G122" s="31" t="n">
        <x:v>2358</x:v>
      </x:c>
    </x:row>
    <x:row r="123" ht="42" customHeight="1">
      <x:c r="A123" s="12" t="str">
        <x:v>удалить папилломы в сургуте</x:v>
      </x:c>
      <x:c r="B123" s="12" t="str">
        <x:v>https://kozhaclinic.ru/udalenie-novoobrazovanij/udalenie-papilom/</x:v>
      </x:c>
      <x:c r="C123" s="30" t="n">
        <x:v>1</x:v>
      </x:c>
      <x:c r="D123" s="30" t="n">
        <x:v>8</x:v>
      </x:c>
      <x:c r="E123" s="32" t="n">
        <x:f>IF(AND(ISNUMBER(C123),ISNUMBER(D123),D123&gt;0),C123/D123,"")</x:f>
        <x:v>0.125</x:v>
      </x:c>
      <x:c r="F123" s="34" t="n">
        <x:v>4</x:v>
      </x:c>
      <x:c r="G123" s="30" t="n">
        <x:v>8</x:v>
      </x:c>
    </x:row>
    <x:row r="124" ht="42" customHeight="1">
      <x:c r="A124" s="14" t="str">
        <x:v>ботулинотерапия цена</x:v>
      </x:c>
      <x:c r="B124" s="14" t="str">
        <x:v>https://kozhaclinic.ru/inekcionnaya-kosmetologiya/botulinoterapiya/</x:v>
      </x:c>
      <x:c r="C124" s="31" t="n">
        <x:v>0</x:v>
      </x:c>
      <x:c r="D124" s="31" t="n">
        <x:v>0</x:v>
      </x:c>
      <x:c r="E124" s="33" t="str">
        <x:f>IF(AND(ISNUMBER(C124),ISNUMBER(D124),D124&gt;0),C124/D124,"")</x:f>
      </x:c>
      <x:c r="F124" s="35"/>
      <x:c r="G124" s="31" t="n">
        <x:v>3530</x:v>
      </x:c>
    </x:row>
    <x:row r="125" ht="42" customHeight="1">
      <x:c r="A125" s="12" t="str">
        <x:v>сургут лазерная эпиляция</x:v>
      </x:c>
      <x:c r="B125" s="12" t="str">
        <x:v>https://kozhaclinic.ru/lazernaya-kosmetologiya/dlya-zhenshchin/</x:v>
      </x:c>
      <x:c r="C125" s="30" t="n">
        <x:v>1</x:v>
      </x:c>
      <x:c r="D125" s="30" t="n">
        <x:v>12</x:v>
      </x:c>
      <x:c r="E125" s="32" t="n">
        <x:f>IF(AND(ISNUMBER(C125),ISNUMBER(D125),D125&gt;0),C125/D125,"")</x:f>
        <x:v>0.08333333333333333</x:v>
      </x:c>
      <x:c r="F125" s="34" t="n">
        <x:v>8.6</x:v>
      </x:c>
      <x:c r="G125" s="30" t="n">
        <x:v>16</x:v>
      </x:c>
    </x:row>
    <x:row r="126" ht="42" customHeight="1">
      <x:c r="A126" s="14" t="str">
        <x:v>рф лифтинг стоимость</x:v>
      </x:c>
      <x:c r="B126" s="14" t="str">
        <x:v>https://kozhaclinic.ru/apparatnaya-kosmetologiya/igolchatyy-rf-lifting-na-morpheus-8/</x:v>
      </x:c>
      <x:c r="C126" s="31" t="n">
        <x:v>0</x:v>
      </x:c>
      <x:c r="D126" s="31" t="n">
        <x:v>1</x:v>
      </x:c>
      <x:c r="E126" s="33" t="n">
        <x:f>IF(AND(ISNUMBER(C126),ISNUMBER(D126),D126&gt;0),C126/D126,"")</x:f>
        <x:v>0</x:v>
      </x:c>
      <x:c r="F126" s="35" t="n">
        <x:v>7</x:v>
      </x:c>
      <x:c r="G126" s="31" t="n">
        <x:v>2401</x:v>
      </x:c>
    </x:row>
    <x:row r="127" ht="42" customHeight="1">
      <x:c r="A127" s="12" t="str">
        <x:v>удалить родинку в сургуте</x:v>
      </x:c>
      <x:c r="B127" s="12" t="str">
        <x:v>https://kozhaclinic.ru/udalenie-novoobrazovanij/udalenie-rodinok/</x:v>
      </x:c>
      <x:c r="C127" s="30" t="n">
        <x:v>0</x:v>
      </x:c>
      <x:c r="D127" s="30" t="n">
        <x:v>8</x:v>
      </x:c>
      <x:c r="E127" s="32" t="n">
        <x:f>IF(AND(ISNUMBER(C127),ISNUMBER(D127),D127&gt;0),C127/D127,"")</x:f>
        <x:v>0</x:v>
      </x:c>
      <x:c r="F127" s="34" t="n">
        <x:v>5.7</x:v>
      </x:c>
      <x:c r="G127" s="30" t="n">
        <x:v>8</x:v>
      </x:c>
    </x:row>
    <x:row r="128" ht="42" customHeight="1">
      <x:c r="A128" s="14" t="str">
        <x:v>губы сургут</x:v>
      </x:c>
      <x:c r="B128" s="14" t="str">
        <x:v>https://kozhaclinic.ru/inekcionnaya-kosmetologiya/konturnaya-plastika/uvelichenie-gub/</x:v>
      </x:c>
      <x:c r="C128" s="31" t="n">
        <x:v>0</x:v>
      </x:c>
      <x:c r="D128" s="31" t="n">
        <x:v>13</x:v>
      </x:c>
      <x:c r="E128" s="33" t="n">
        <x:f>IF(AND(ISNUMBER(C128),ISNUMBER(D128),D128&gt;0),C128/D128,"")</x:f>
        <x:v>0</x:v>
      </x:c>
      <x:c r="F128" s="35" t="n">
        <x:v>8.3</x:v>
      </x:c>
      <x:c r="G128" s="31" t="n">
        <x:v>13</x:v>
      </x:c>
    </x:row>
    <x:row r="129" ht="42" customHeight="1">
      <x:c r="A129" s="12" t="str">
        <x:v>косметология</x:v>
      </x:c>
      <x:c r="B129" s="12" t="str">
        <x:v>https://kozhaclinic.ru/</x:v>
      </x:c>
      <x:c r="C129" s="30" t="n">
        <x:v>0</x:v>
      </x:c>
      <x:c r="D129" s="30" t="n">
        <x:v>4</x:v>
      </x:c>
      <x:c r="E129" s="32" t="n">
        <x:f>IF(AND(ISNUMBER(C129),ISNUMBER(D129),D129&gt;0),C129/D129,"")</x:f>
        <x:v>0</x:v>
      </x:c>
      <x:c r="F129" s="34" t="n">
        <x:v>6.2</x:v>
      </x:c>
      <x:c r="G129" s="30" t="n">
        <x:v>13629</x:v>
      </x:c>
    </x:row>
    <x:row r="130" ht="42" customHeight="1">
      <x:c r="A130" s="14" t="str">
        <x:v>косметологическая клиника сургут</x:v>
      </x:c>
      <x:c r="B130" s="14" t="str">
        <x:v>https://kozhaclinic.ru/</x:v>
      </x:c>
      <x:c r="C130" s="31" t="n">
        <x:v>0</x:v>
      </x:c>
      <x:c r="D130" s="31" t="n">
        <x:v>4</x:v>
      </x:c>
      <x:c r="E130" s="33" t="n">
        <x:f>IF(AND(ISNUMBER(C130),ISNUMBER(D130),D130&gt;0),C130/D130,"")</x:f>
        <x:v>0</x:v>
      </x:c>
      <x:c r="F130" s="35" t="n">
        <x:v>3.5</x:v>
      </x:c>
      <x:c r="G130" s="31" t="n">
        <x:v>4</x:v>
      </x:c>
    </x:row>
    <x:row r="131" ht="42" customHeight="1">
      <x:c r="A131" s="12" t="str">
        <x:v>механическая чистка лица стоимость anatomy-krasoty</x:v>
      </x:c>
      <x:c r="B131" s="12" t="str">
        <x:v>https://kozhaclinic.ru/ceny-prajs-list/</x:v>
      </x:c>
      <x:c r="C131" s="30" t="n">
        <x:v>0</x:v>
      </x:c>
      <x:c r="D131" s="30" t="n">
        <x:v>1</x:v>
      </x:c>
      <x:c r="E131" s="32" t="n">
        <x:f>IF(AND(ISNUMBER(C131),ISNUMBER(D131),D131&gt;0),C131/D131,"")</x:f>
        <x:v>0</x:v>
      </x:c>
      <x:c r="F131" s="34" t="n">
        <x:v>10</x:v>
      </x:c>
      <x:c r="G131" s="30" t="n">
        <x:v>1</x:v>
      </x:c>
    </x:row>
    <x:row r="132" ht="42" customHeight="1">
      <x:c r="A132" s="14" t="str">
        <x:v>миграция в губах</x:v>
      </x:c>
      <x:c r="B132" s="14" t="str">
        <x:v>https://kozhaclinic.ru/migratsiya-gelya-iz-gub/</x:v>
      </x:c>
      <x:c r="C132" s="31" t="n">
        <x:v>0</x:v>
      </x:c>
      <x:c r="D132" s="31" t="n">
        <x:v>13</x:v>
      </x:c>
      <x:c r="E132" s="33" t="n">
        <x:f>IF(AND(ISNUMBER(C132),ISNUMBER(D132),D132&gt;0),C132/D132,"")</x:f>
        <x:v>0</x:v>
      </x:c>
      <x:c r="F132" s="35" t="n">
        <x:v>7.3</x:v>
      </x:c>
      <x:c r="G132" s="31" t="n">
        <x:v>17</x:v>
      </x:c>
    </x:row>
    <x:row r="133" ht="42" customHeight="1">
      <x:c r="A133" s="12" t="str">
        <x:v>миграция губ это</x:v>
      </x:c>
      <x:c r="B133" s="12" t="str">
        <x:v>https://kozhaclinic.ru/migratsiya-gelya-iz-gub/</x:v>
      </x:c>
      <x:c r="C133" s="30" t="n">
        <x:v>0</x:v>
      </x:c>
      <x:c r="D133" s="30" t="n">
        <x:v>3</x:v>
      </x:c>
      <x:c r="E133" s="32" t="n">
        <x:f>IF(AND(ISNUMBER(C133),ISNUMBER(D133),D133&gt;0),C133/D133,"")</x:f>
        <x:v>0</x:v>
      </x:c>
      <x:c r="F133" s="34" t="n">
        <x:v>5</x:v>
      </x:c>
      <x:c r="G133" s="30" t="n">
        <x:v>4</x:v>
      </x:c>
    </x:row>
    <x:row r="134" ht="42" customHeight="1">
      <x:c r="A134" s="14" t="str">
        <x:v>удаление бородавки сургут</x:v>
      </x:c>
      <x:c r="B134" s="14" t="str">
        <x:v>https://kozhaclinic.ru/udalenie-novoobrazovanij/udalenie-borodavok/</x:v>
      </x:c>
      <x:c r="C134" s="31" t="n">
        <x:v>0</x:v>
      </x:c>
      <x:c r="D134" s="31" t="n">
        <x:v>7</x:v>
      </x:c>
      <x:c r="E134" s="33" t="n">
        <x:f>IF(AND(ISNUMBER(C134),ISNUMBER(D134),D134&gt;0),C134/D134,"")</x:f>
        <x:v>0</x:v>
      </x:c>
      <x:c r="F134" s="35" t="n">
        <x:v>3.4</x:v>
      </x:c>
      <x:c r="G134" s="31" t="n">
        <x:v>7</x:v>
      </x:c>
    </x:row>
    <x:row r="135" ht="42" customHeight="1">
      <x:c r="A135" s="12" t="str">
        <x:v>клиника эстетической косметологии</x:v>
      </x:c>
      <x:c r="B135" s="12" t="str">
        <x:v>https://kozhaclinic.ru/</x:v>
      </x:c>
      <x:c r="C135" s="30" t="n">
        <x:v>0</x:v>
      </x:c>
      <x:c r="D135" s="30" t="n">
        <x:v>2</x:v>
      </x:c>
      <x:c r="E135" s="32" t="n">
        <x:f>IF(AND(ISNUMBER(C135),ISNUMBER(D135),D135&gt;0),C135/D135,"")</x:f>
        <x:v>0</x:v>
      </x:c>
      <x:c r="F135" s="34" t="n">
        <x:v>8.5</x:v>
      </x:c>
      <x:c r="G135" s="30" t="n">
        <x:v>542</x:v>
      </x:c>
    </x:row>
    <x:row r="136" ht="42" customHeight="1">
      <x:c r="A136" s="14" t="str">
        <x:v>пластифицирующий массаж лица</x:v>
      </x:c>
      <x:c r="B136" s="14" t="str">
        <x:v>https://kozhaclinic.ru/uhodovye-procedury/massazhi/plastifitsiruyushchiy/</x:v>
      </x:c>
      <x:c r="C136" s="31" t="n">
        <x:v>0</x:v>
      </x:c>
      <x:c r="D136" s="31" t="n">
        <x:v>19</x:v>
      </x:c>
      <x:c r="E136" s="33" t="n">
        <x:f>IF(AND(ISNUMBER(C136),ISNUMBER(D136),D136&gt;0),C136/D136,"")</x:f>
        <x:v>0</x:v>
      </x:c>
      <x:c r="F136" s="35" t="n">
        <x:v>7.4</x:v>
      </x:c>
      <x:c r="G136" s="31" t="n">
        <x:v>24</x:v>
      </x:c>
    </x:row>
    <x:row r="137" ht="42" customHeight="1">
      <x:c r="A137" s="12" t="str">
        <x:v>контурная пластика губ цена</x:v>
      </x:c>
      <x:c r="B137" s="12" t="str">
        <x:v>https://kozhaclinic.ru/inekcionnaya-kosmetologiya/konturnaya-plastika/uvelichenie-gub/</x:v>
      </x:c>
      <x:c r="C137" s="30" t="n">
        <x:v>0</x:v>
      </x:c>
      <x:c r="D137" s="30" t="n">
        <x:v>0</x:v>
      </x:c>
      <x:c r="E137" s="32" t="str">
        <x:f>IF(AND(ISNUMBER(C137),ISNUMBER(D137),D137&gt;0),C137/D137,"")</x:f>
      </x:c>
      <x:c r="F137" s="34"/>
      <x:c r="G137" s="30" t="n">
        <x:v>2203</x:v>
      </x:c>
    </x:row>
    <x:row r="138" ht="42" customHeight="1">
      <x:c r="A138" s="14" t="str">
        <x:v>лазерное удаление бородавок сургут</x:v>
      </x:c>
      <x:c r="B138" s="14" t="str">
        <x:v>https://kozhaclinic.ru/udalenie-novoobrazovanij/udalenie-borodavok/</x:v>
      </x:c>
      <x:c r="C138" s="31" t="n">
        <x:v>2</x:v>
      </x:c>
      <x:c r="D138" s="31" t="n">
        <x:v>15</x:v>
      </x:c>
      <x:c r="E138" s="33" t="n">
        <x:f>IF(AND(ISNUMBER(C138),ISNUMBER(D138),D138&gt;0),C138/D138,"")</x:f>
        <x:v>0.13333333333333333</x:v>
      </x:c>
      <x:c r="F138" s="35" t="n">
        <x:v>5</x:v>
      </x:c>
      <x:c r="G138" s="31" t="n">
        <x:v>15</x:v>
      </x:c>
    </x:row>
    <x:row r="139" ht="42" customHeight="1">
      <x:c r="A139" s="12" t="str">
        <x:v>миграция в слизистую губ</x:v>
      </x:c>
      <x:c r="B139" s="12" t="str">
        <x:v>https://kozhaclinic.ru/migratsiya-gelya-iz-gub/</x:v>
      </x:c>
      <x:c r="C139" s="30" t="n">
        <x:v>0</x:v>
      </x:c>
      <x:c r="D139" s="30" t="n">
        <x:v>13</x:v>
      </x:c>
      <x:c r="E139" s="32" t="n">
        <x:f>IF(AND(ISNUMBER(C139),ISNUMBER(D139),D139&gt;0),C139/D139,"")</x:f>
        <x:v>0</x:v>
      </x:c>
      <x:c r="F139" s="34" t="n">
        <x:v>6.8</x:v>
      </x:c>
      <x:c r="G139" s="30" t="n">
        <x:v>14</x:v>
      </x:c>
    </x:row>
    <x:row r="140" ht="42" customHeight="1">
      <x:c r="A140" s="14" t="str">
        <x:v>накачать губы сургут</x:v>
      </x:c>
      <x:c r="B140" s="14" t="str">
        <x:v>https://kozhaclinic.ru/inekcionnaya-kosmetologiya/konturnaya-plastika/uvelichenie-gub/</x:v>
      </x:c>
      <x:c r="C140" s="31" t="n">
        <x:v>1</x:v>
      </x:c>
      <x:c r="D140" s="31" t="n">
        <x:v>10</x:v>
      </x:c>
      <x:c r="E140" s="33" t="n">
        <x:f>IF(AND(ISNUMBER(C140),ISNUMBER(D140),D140&gt;0),C140/D140,"")</x:f>
        <x:v>0.1</x:v>
      </x:c>
      <x:c r="F140" s="35" t="n">
        <x:v>6.8</x:v>
      </x:c>
      <x:c r="G140" s="31" t="n">
        <x:v>10</x:v>
      </x:c>
    </x:row>
    <x:row r="141" ht="42" customHeight="1">
      <x:c r="A141" s="12" t="str">
        <x:v>удаление родинки сургут</x:v>
      </x:c>
      <x:c r="B141" s="12" t="str">
        <x:v>https://kozhaclinic.ru/udalenie-novoobrazovanij/udalenie-rodinok/</x:v>
      </x:c>
      <x:c r="C141" s="30" t="n">
        <x:v>0</x:v>
      </x:c>
      <x:c r="D141" s="30" t="n">
        <x:v>7</x:v>
      </x:c>
      <x:c r="E141" s="32" t="n">
        <x:f>IF(AND(ISNUMBER(C141),ISNUMBER(D141),D141&gt;0),C141/D141,"")</x:f>
        <x:v>0</x:v>
      </x:c>
      <x:c r="F141" s="34" t="n">
        <x:v>4.1</x:v>
      </x:c>
      <x:c r="G141" s="30" t="n">
        <x:v>7</x:v>
      </x:c>
    </x:row>
    <x:row r="142" ht="42" customHeight="1">
      <x:c r="A142" s="14" t="str">
        <x:v>миграция на губах</x:v>
      </x:c>
      <x:c r="B142" s="14" t="str">
        <x:v>https://kozhaclinic.ru/migratsiya-gelya-iz-gub/</x:v>
      </x:c>
      <x:c r="C142" s="31" t="n">
        <x:v>0</x:v>
      </x:c>
      <x:c r="D142" s="31" t="n">
        <x:v>12</x:v>
      </x:c>
      <x:c r="E142" s="33" t="n">
        <x:f>IF(AND(ISNUMBER(C142),ISNUMBER(D142),D142&gt;0),C142/D142,"")</x:f>
        <x:v>0</x:v>
      </x:c>
      <x:c r="F142" s="35" t="n">
        <x:v>6.3</x:v>
      </x:c>
      <x:c r="G142" s="31" t="n">
        <x:v>14</x:v>
      </x:c>
    </x:row>
    <x:row r="143" ht="42" customHeight="1">
      <x:c r="A143" s="12" t="str">
        <x:v>удаление новообразований кожи</x:v>
      </x:c>
      <x:c r="B143" s="12" t="str">
        <x:v>https://kozhaclinic.ru/udalenie-novoobrazovanij/</x:v>
      </x:c>
      <x:c r="C143" s="30" t="n">
        <x:v>0</x:v>
      </x:c>
      <x:c r="D143" s="30" t="n">
        <x:v>0</x:v>
      </x:c>
      <x:c r="E143" s="32" t="str">
        <x:f>IF(AND(ISNUMBER(C143),ISNUMBER(D143),D143&gt;0),C143/D143,"")</x:f>
      </x:c>
      <x:c r="F143" s="34"/>
      <x:c r="G143" s="30" t="n">
        <x:v>477</x:v>
      </x:c>
    </x:row>
    <x:row r="144" ht="42" customHeight="1">
      <x:c r="A144" s="14" t="str">
        <x:v>эпиляция сургут</x:v>
      </x:c>
      <x:c r="B144" s="14" t="str">
        <x:v>https://kozhaclinic.ru/</x:v>
      </x:c>
      <x:c r="C144" s="31" t="n">
        <x:v>0</x:v>
      </x:c>
      <x:c r="D144" s="31" t="n">
        <x:v>4</x:v>
      </x:c>
      <x:c r="E144" s="33" t="n">
        <x:f>IF(AND(ISNUMBER(C144),ISNUMBER(D144),D144&gt;0),C144/D144,"")</x:f>
        <x:v>0</x:v>
      </x:c>
      <x:c r="F144" s="35" t="n">
        <x:v>13.5</x:v>
      </x:c>
      <x:c r="G144" s="31" t="n">
        <x:v>6</x:v>
      </x:c>
    </x:row>
    <x:row r="145" ht="42" customHeight="1">
      <x:c r="A145" s="12" t="str">
        <x:v>биоревитализация стоимость anatomy-krasoty</x:v>
      </x:c>
      <x:c r="B145" s="12" t="str">
        <x:v>https://kozhaclinic.ru/inekcionnaya-kosmetologiya/omolozhenie-i-pitanie-kozhi/biorevitalizatsiya/</x:v>
      </x:c>
      <x:c r="C145" s="30" t="n">
        <x:v>0</x:v>
      </x:c>
      <x:c r="D145" s="30" t="n">
        <x:v>0</x:v>
      </x:c>
      <x:c r="E145" s="32" t="str">
        <x:f>IF(AND(ISNUMBER(C145),ISNUMBER(D145),D145&gt;0),C145/D145,"")</x:f>
      </x:c>
      <x:c r="F145" s="34"/>
      <x:c r="G145" s="30" t="n">
        <x:v>0</x:v>
      </x:c>
    </x:row>
    <x:row r="146" ht="42" customHeight="1">
      <x:c r="A146" s="14" t="str">
        <x:v>кожа клиника</x:v>
      </x:c>
      <x:c r="B146" s="14" t="str">
        <x:v>https://kozhaclinic.ru/</x:v>
      </x:c>
      <x:c r="C146" s="31" t="n">
        <x:v>3</x:v>
      </x:c>
      <x:c r="D146" s="31" t="n">
        <x:v>13</x:v>
      </x:c>
      <x:c r="E146" s="33" t="n">
        <x:f>IF(AND(ISNUMBER(C146),ISNUMBER(D146),D146&gt;0),C146/D146,"")</x:f>
        <x:v>0.23076923076923078</x:v>
      </x:c>
      <x:c r="F146" s="35" t="n">
        <x:v>1.9</x:v>
      </x:c>
      <x:c r="G146" s="31" t="n">
        <x:v>12</x:v>
      </x:c>
    </x:row>
    <x:row r="147" ht="42" customHeight="1">
      <x:c r="A147" s="12" t="str">
        <x:v>гель мигрировал в слизистую губы</x:v>
      </x:c>
      <x:c r="B147" s="12" t="str">
        <x:v>https://kozhaclinic.ru/migratsiya-gelya-iz-gub/</x:v>
      </x:c>
      <x:c r="C147" s="30" t="n">
        <x:v>0</x:v>
      </x:c>
      <x:c r="D147" s="30" t="n">
        <x:v>7</x:v>
      </x:c>
      <x:c r="E147" s="32" t="n">
        <x:f>IF(AND(ISNUMBER(C147),ISNUMBER(D147),D147&gt;0),C147/D147,"")</x:f>
        <x:v>0</x:v>
      </x:c>
      <x:c r="F147" s="34" t="n">
        <x:v>10.7</x:v>
      </x:c>
      <x:c r="G147" s="30" t="n">
        <x:v>27</x:v>
      </x:c>
    </x:row>
    <x:row r="148" ht="42" customHeight="1">
      <x:c r="A148" s="14" t="str">
        <x:v>ощущение гладкости кожи</x:v>
      </x:c>
      <x:c r="B148" s="14" t="str">
        <x:v>https://kozhaclinic.ru/gladkost-i-siyanie-kozhi/</x:v>
      </x:c>
      <x:c r="C148" s="31" t="n">
        <x:v>0</x:v>
      </x:c>
      <x:c r="D148" s="31" t="n">
        <x:v>0</x:v>
      </x:c>
      <x:c r="E148" s="33" t="str">
        <x:f>IF(AND(ISNUMBER(C148),ISNUMBER(D148),D148&gt;0),C148/D148,"")</x:f>
      </x:c>
      <x:c r="F148" s="35"/>
      <x:c r="G148" s="31" t="n">
        <x:v>0</x:v>
      </x:c>
    </x:row>
    <x:row r="149" ht="42" customHeight="1">
      <x:c r="A149" s="12" t="str">
        <x:v>фотоомоложение лица сургут</x:v>
      </x:c>
      <x:c r="B149" s="12" t="str">
        <x:v>https://kozhaclinic.ru/apparatnaya-kosmetologiya/fotoomolozhenie-inmode/</x:v>
      </x:c>
      <x:c r="C149" s="30" t="n">
        <x:v>1</x:v>
      </x:c>
      <x:c r="D149" s="30" t="n">
        <x:v>6</x:v>
      </x:c>
      <x:c r="E149" s="32" t="n">
        <x:f>IF(AND(ISNUMBER(C149),ISNUMBER(D149),D149&gt;0),C149/D149,"")</x:f>
        <x:v>0.16666666666666666</x:v>
      </x:c>
      <x:c r="F149" s="34" t="n">
        <x:v>5</x:v>
      </x:c>
      <x:c r="G149" s="30" t="n">
        <x:v>6</x:v>
      </x:c>
    </x:row>
    <x:row r="150" ht="42" customHeight="1">
      <x:c r="A150" s="14" t="str">
        <x:v>центр эстетической косметологии</x:v>
      </x:c>
      <x:c r="B150" s="14" t="str">
        <x:v>https://kozhaclinic.ru/</x:v>
      </x:c>
      <x:c r="C150" s="31" t="n">
        <x:v>0</x:v>
      </x:c>
      <x:c r="D150" s="31" t="n">
        <x:v>1</x:v>
      </x:c>
      <x:c r="E150" s="33" t="n">
        <x:f>IF(AND(ISNUMBER(C150),ISNUMBER(D150),D150&gt;0),C150/D150,"")</x:f>
        <x:v>0</x:v>
      </x:c>
      <x:c r="F150" s="35" t="n">
        <x:v>6</x:v>
      </x:c>
      <x:c r="G150" s="31" t="n">
        <x:v>407</x:v>
      </x:c>
    </x:row>
    <x:row r="151" ht="42" customHeight="1">
      <x:c r="A151" s="12" t="str">
        <x:v>ботокс в зону декольте</x:v>
      </x:c>
      <x:c r="B151" s="12" t="str">
        <x:v>https://kozhaclinic.ru/inekcionnaya-kosmetologiya/botulinoterapiya/botoks-dlya-shei-i-zony-dekolte/</x:v>
      </x:c>
      <x:c r="C151" s="30" t="n">
        <x:v>0</x:v>
      </x:c>
      <x:c r="D151" s="30" t="n">
        <x:v>9</x:v>
      </x:c>
      <x:c r="E151" s="32" t="n">
        <x:f>IF(AND(ISNUMBER(C151),ISNUMBER(D151),D151&gt;0),C151/D151,"")</x:f>
        <x:v>0</x:v>
      </x:c>
      <x:c r="F151" s="34" t="n">
        <x:v>5.7</x:v>
      </x:c>
      <x:c r="G151" s="30" t="n">
        <x:v>10</x:v>
      </x:c>
    </x:row>
    <x:row r="152" ht="42" customHeight="1">
      <x:c r="A152" s="14" t="str">
        <x:v>лечение акне сургут</x:v>
      </x:c>
      <x:c r="B152" s="14" t="str">
        <x:v>https://kozhaclinic.ru/</x:v>
      </x:c>
      <x:c r="C152" s="31" t="n">
        <x:v>3</x:v>
      </x:c>
      <x:c r="D152" s="31" t="n">
        <x:v>11</x:v>
      </x:c>
      <x:c r="E152" s="33" t="n">
        <x:f>IF(AND(ISNUMBER(C152),ISNUMBER(D152),D152&gt;0),C152/D152,"")</x:f>
        <x:v>0.2727272727272727</x:v>
      </x:c>
      <x:c r="F152" s="35" t="n">
        <x:v>3</x:v>
      </x:c>
      <x:c r="G152" s="31" t="n">
        <x:v>11</x:v>
      </x:c>
    </x:row>
    <x:row r="153" ht="42" customHeight="1">
      <x:c r="A153" s="12" t="str">
        <x:v>клиника косметологии сургут</x:v>
      </x:c>
      <x:c r="B153" s="12" t="str">
        <x:v>https://kozhaclinic.ru/</x:v>
      </x:c>
      <x:c r="C153" s="30" t="n">
        <x:v>0</x:v>
      </x:c>
      <x:c r="D153" s="30" t="n">
        <x:v>6</x:v>
      </x:c>
      <x:c r="E153" s="32" t="n">
        <x:f>IF(AND(ISNUMBER(C153),ISNUMBER(D153),D153&gt;0),C153/D153,"")</x:f>
        <x:v>0</x:v>
      </x:c>
      <x:c r="F153" s="34" t="n">
        <x:v>5.3</x:v>
      </x:c>
      <x:c r="G153" s="30" t="n">
        <x:v>6</x:v>
      </x:c>
    </x:row>
    <x:row r="154" ht="42" customHeight="1">
      <x:c r="A154" s="14" t="str">
        <x:v>удаление папиллом лазером</x:v>
      </x:c>
      <x:c r="B154" s="14" t="str">
        <x:v>https://kozhaclinic.ru/udalenie-novoobrazovanij/</x:v>
      </x:c>
      <x:c r="C154" s="31" t="n">
        <x:v>0</x:v>
      </x:c>
      <x:c r="D154" s="31" t="n">
        <x:v>11</x:v>
      </x:c>
      <x:c r="E154" s="33" t="n">
        <x:f>IF(AND(ISNUMBER(C154),ISNUMBER(D154),D154&gt;0),C154/D154,"")</x:f>
        <x:v>0</x:v>
      </x:c>
      <x:c r="F154" s="35" t="n">
        <x:v>11.4</x:v>
      </x:c>
      <x:c r="G154" s="31" t="n">
        <x:v>2118</x:v>
      </x:c>
    </x:row>
    <x:row r="155" ht="42" customHeight="1">
      <x:c r="A155" s="12" t="str">
        <x:v>косметология кожа сургут</x:v>
      </x:c>
      <x:c r="B155" s="12" t="str">
        <x:v>https://kozhaclinic.ru/</x:v>
      </x:c>
      <x:c r="C155" s="30" t="n">
        <x:v>0</x:v>
      </x:c>
      <x:c r="D155" s="30" t="n">
        <x:v>5</x:v>
      </x:c>
      <x:c r="E155" s="32" t="n">
        <x:f>IF(AND(ISNUMBER(C155),ISNUMBER(D155),D155&gt;0),C155/D155,"")</x:f>
        <x:v>0</x:v>
      </x:c>
      <x:c r="F155" s="34" t="n">
        <x:v>1.6</x:v>
      </x:c>
      <x:c r="G155" s="30" t="n">
        <x:v>4</x:v>
      </x:c>
    </x:row>
    <x:row r="156" ht="42" customHeight="1">
      <x:c r="A156" s="14" t="str">
        <x:v>что такое миграция губ</x:v>
      </x:c>
      <x:c r="B156" s="14" t="str">
        <x:v>https://kozhaclinic.ru/migratsiya-gelya-iz-gub/</x:v>
      </x:c>
      <x:c r="C156" s="31" t="n">
        <x:v>0</x:v>
      </x:c>
      <x:c r="D156" s="31" t="n">
        <x:v>7</x:v>
      </x:c>
      <x:c r="E156" s="33" t="n">
        <x:f>IF(AND(ISNUMBER(C156),ISNUMBER(D156),D156&gt;0),C156/D156,"")</x:f>
        <x:v>0</x:v>
      </x:c>
      <x:c r="F156" s="35" t="n">
        <x:v>8.1</x:v>
      </x:c>
      <x:c r="G156" s="31" t="n">
        <x:v>13</x:v>
      </x:c>
    </x:row>
    <x:row r="157" ht="42" customHeight="1">
      <x:c r="A157" s="12" t="str">
        <x:v>аппаратная косметология сургут</x:v>
      </x:c>
      <x:c r="B157" s="12" t="str">
        <x:v>https://kozhaclinic.ru/apparatnaya-kosmetologiya/</x:v>
      </x:c>
      <x:c r="C157" s="30" t="n">
        <x:v>1</x:v>
      </x:c>
      <x:c r="D157" s="30" t="n">
        <x:v>8</x:v>
      </x:c>
      <x:c r="E157" s="32" t="n">
        <x:f>IF(AND(ISNUMBER(C157),ISNUMBER(D157),D157&gt;0),C157/D157,"")</x:f>
        <x:v>0.125</x:v>
      </x:c>
      <x:c r="F157" s="34" t="n">
        <x:v>7.6</x:v>
      </x:c>
      <x:c r="G157" s="30" t="n">
        <x:v>5</x:v>
      </x:c>
    </x:row>
    <x:row r="158" ht="42" customHeight="1">
      <x:c r="A158" s="14" t="str">
        <x:v>клиника лазерной косметологии</x:v>
      </x:c>
      <x:c r="B158" s="14" t="str">
        <x:v>https://kozhaclinic.ru/lazernaya-kosmetologiya/</x:v>
      </x:c>
      <x:c r="C158" s="31" t="n">
        <x:v>0</x:v>
      </x:c>
      <x:c r="D158" s="31" t="n">
        <x:v>0</x:v>
      </x:c>
      <x:c r="E158" s="33" t="str">
        <x:f>IF(AND(ISNUMBER(C158),ISNUMBER(D158),D158&gt;0),C158/D158,"")</x:f>
      </x:c>
      <x:c r="F158" s="35"/>
      <x:c r="G158" s="31" t="n">
        <x:v>818</x:v>
      </x:c>
    </x:row>
    <x:row r="159" ht="42" customHeight="1">
      <x:c r="A159" s="12" t="str">
        <x:v>кожа</x:v>
      </x:c>
      <x:c r="B159" s="12" t="str">
        <x:v>https://kozhaclinic.ru/</x:v>
      </x:c>
      <x:c r="C159" s="30" t="n">
        <x:v>5</x:v>
      </x:c>
      <x:c r="D159" s="30" t="n">
        <x:v>13</x:v>
      </x:c>
      <x:c r="E159" s="32" t="n">
        <x:f>IF(AND(ISNUMBER(C159),ISNUMBER(D159),D159&gt;0),C159/D159,"")</x:f>
        <x:v>0.38461538461538464</x:v>
      </x:c>
      <x:c r="F159" s="34" t="n">
        <x:v>2.6</x:v>
      </x:c>
      <x:c r="G159" s="30" t="n">
        <x:v>3538</x:v>
      </x:c>
    </x:row>
    <x:row r="160" ht="42" customHeight="1">
      <x:c r="A160" s="14" t="str">
        <x:v>мигрировал гель в губах</x:v>
      </x:c>
      <x:c r="B160" s="14" t="str">
        <x:v>https://kozhaclinic.ru/migratsiya-gelya-iz-gub/</x:v>
      </x:c>
      <x:c r="C160" s="31" t="n">
        <x:v>0</x:v>
      </x:c>
      <x:c r="D160" s="31" t="n">
        <x:v>22</x:v>
      </x:c>
      <x:c r="E160" s="33" t="n">
        <x:f>IF(AND(ISNUMBER(C160),ISNUMBER(D160),D160&gt;0),C160/D160,"")</x:f>
        <x:v>0</x:v>
      </x:c>
      <x:c r="F160" s="35" t="n">
        <x:v>7</x:v>
      </x:c>
      <x:c r="G160" s="31" t="n">
        <x:v>25</x:v>
      </x:c>
    </x:row>
    <x:row r="161" ht="42" customHeight="1">
      <x:c r="A161" s="12" t="str">
        <x:v>микротоки сургут</x:v>
      </x:c>
      <x:c r="B161" s="12" t="str">
        <x:v>https://kozhaclinic.ru/apparatnaya-kosmetologiya/mikrotokovaya-terapiya/</x:v>
      </x:c>
      <x:c r="C161" s="30" t="n">
        <x:v>1</x:v>
      </x:c>
      <x:c r="D161" s="30" t="n">
        <x:v>6</x:v>
      </x:c>
      <x:c r="E161" s="32" t="n">
        <x:f>IF(AND(ISNUMBER(C161),ISNUMBER(D161),D161&gt;0),C161/D161,"")</x:f>
        <x:v>0.16666666666666666</x:v>
      </x:c>
      <x:c r="F161" s="34" t="n">
        <x:v>4.6</x:v>
      </x:c>
      <x:c r="G161" s="30" t="n">
        <x:v>6</x:v>
      </x:c>
    </x:row>
    <x:row r="162" ht="42" customHeight="1">
      <x:c r="A162" s="14" t="str">
        <x:v>студия лазерной косметологии</x:v>
      </x:c>
      <x:c r="B162" s="14" t="str">
        <x:v>https://kozhaclinic.ru/lazernaya-kosmetologiya/</x:v>
      </x:c>
      <x:c r="C162" s="31" t="n">
        <x:v>0</x:v>
      </x:c>
      <x:c r="D162" s="31" t="n">
        <x:v>2</x:v>
      </x:c>
      <x:c r="E162" s="33" t="n">
        <x:f>IF(AND(ISNUMBER(C162),ISNUMBER(D162),D162&gt;0),C162/D162,"")</x:f>
        <x:v>0</x:v>
      </x:c>
      <x:c r="F162" s="35" t="n">
        <x:v>11</x:v>
      </x:c>
      <x:c r="G162" s="31" t="n">
        <x:v>7</x:v>
      </x:c>
    </x:row>
    <x:row r="163" ht="42" customHeight="1">
      <x:c r="A163" s="12" t="str">
        <x:v>сургут удаление родинок</x:v>
      </x:c>
      <x:c r="B163" s="12" t="str">
        <x:v>https://kozhaclinic.ru/udalenie-novoobrazovanij/udalenie-rodinok/</x:v>
      </x:c>
      <x:c r="C163" s="30" t="n">
        <x:v>0</x:v>
      </x:c>
      <x:c r="D163" s="30" t="n">
        <x:v>6</x:v>
      </x:c>
      <x:c r="E163" s="32" t="n">
        <x:f>IF(AND(ISNUMBER(C163),ISNUMBER(D163),D163&gt;0),C163/D163,"")</x:f>
        <x:v>0</x:v>
      </x:c>
      <x:c r="F163" s="34" t="n">
        <x:v>3.8</x:v>
      </x:c>
      <x:c r="G163" s="30" t="n">
        <x:v>6</x:v>
      </x:c>
    </x:row>
    <x:row r="164" ht="42" customHeight="1">
      <x:c r="A164" s="14" t="str">
        <x:v>миграция филлера в губах фото</x:v>
      </x:c>
      <x:c r="B164" s="14" t="str">
        <x:v>https://kozhaclinic.ru/migratsiya-gelya-iz-gub/</x:v>
      </x:c>
      <x:c r="C164" s="31" t="n">
        <x:v>0</x:v>
      </x:c>
      <x:c r="D164" s="31" t="n">
        <x:v>23</x:v>
      </x:c>
      <x:c r="E164" s="33" t="n">
        <x:f>IF(AND(ISNUMBER(C164),ISNUMBER(D164),D164&gt;0),C164/D164,"")</x:f>
        <x:v>0</x:v>
      </x:c>
      <x:c r="F164" s="35" t="n">
        <x:v>8.9</x:v>
      </x:c>
      <x:c r="G164" s="31" t="n">
        <x:v>79</x:v>
      </x:c>
    </x:row>
    <x:row r="165" ht="42" customHeight="1">
      <x:c r="A165" s="12" t="str">
        <x:v>пластифицирующий массаж лица что это</x:v>
      </x:c>
      <x:c r="B165" s="12" t="str">
        <x:v>https://kozhaclinic.ru/uhodovye-procedury/massazhi/plastifitsiruyushchiy/</x:v>
      </x:c>
      <x:c r="C165" s="30" t="n">
        <x:v>0</x:v>
      </x:c>
      <x:c r="D165" s="30" t="n">
        <x:v>11</x:v>
      </x:c>
      <x:c r="E165" s="32" t="n">
        <x:f>IF(AND(ISNUMBER(C165),ISNUMBER(D165),D165&gt;0),C165/D165,"")</x:f>
        <x:v>0</x:v>
      </x:c>
      <x:c r="F165" s="34" t="n">
        <x:v>6</x:v>
      </x:c>
      <x:c r="G165" s="30" t="n">
        <x:v>11</x:v>
      </x:c>
    </x:row>
    <x:row r="166" ht="42" customHeight="1">
      <x:c r="A166" s="14" t="str">
        <x:v>сургут косметолог</x:v>
      </x:c>
      <x:c r="B166" s="14" t="str">
        <x:v>https://kozhaclinic.ru/</x:v>
      </x:c>
      <x:c r="C166" s="31" t="n">
        <x:v>0</x:v>
      </x:c>
      <x:c r="D166" s="31" t="n">
        <x:v>10</x:v>
      </x:c>
      <x:c r="E166" s="33" t="n">
        <x:f>IF(AND(ISNUMBER(C166),ISNUMBER(D166),D166&gt;0),C166/D166,"")</x:f>
        <x:v>0</x:v>
      </x:c>
      <x:c r="F166" s="35" t="n">
        <x:v>10.1</x:v>
      </x:c>
      <x:c r="G166" s="31" t="n">
        <x:v>14</x:v>
      </x:c>
    </x:row>
    <x:row r="167" ht="42" customHeight="1">
      <x:c r="A167" s="12" t="str">
        <x:v>чистка спины от комедонов</x:v>
      </x:c>
      <x:c r="B167" s="12" t="str">
        <x:v>https://kozhaclinic.ru/uhodovye-procedury/chistki-litsa-i-spiny/chistka-spiny/</x:v>
      </x:c>
      <x:c r="C167" s="30" t="n">
        <x:v>0</x:v>
      </x:c>
      <x:c r="D167" s="30" t="n">
        <x:v>4</x:v>
      </x:c>
      <x:c r="E167" s="32" t="n">
        <x:f>IF(AND(ISNUMBER(C167),ISNUMBER(D167),D167&gt;0),C167/D167,"")</x:f>
        <x:v>0</x:v>
      </x:c>
      <x:c r="F167" s="34" t="n">
        <x:v>12</x:v>
      </x:c>
      <x:c r="G167" s="30" t="n">
        <x:v>172</x:v>
      </x:c>
    </x:row>
    <x:row r="168" ht="42" customHeight="1">
      <x:c r="A168" s="14" t="str">
        <x:v>удаление бородавок в сургуте</x:v>
      </x:c>
      <x:c r="B168" s="14" t="str">
        <x:v>https://kozhaclinic.ru/udalenie-novoobrazovanij/udalenie-borodavok/</x:v>
      </x:c>
      <x:c r="C168" s="31" t="n">
        <x:v>1</x:v>
      </x:c>
      <x:c r="D168" s="31" t="n">
        <x:v>16</x:v>
      </x:c>
      <x:c r="E168" s="33" t="n">
        <x:f>IF(AND(ISNUMBER(C168),ISNUMBER(D168),D168&gt;0),C168/D168,"")</x:f>
        <x:v>0.0625</x:v>
      </x:c>
      <x:c r="F168" s="35" t="n">
        <x:v>4.2</x:v>
      </x:c>
      <x:c r="G168" s="31" t="n">
        <x:v>16</x:v>
      </x:c>
    </x:row>
    <x:row r="169" ht="42" customHeight="1">
      <x:c r="A169" s="12" t="str">
        <x:v>belotero биоревитализация anatomy-krasoty</x:v>
      </x:c>
      <x:c r="B169" s="12" t="str">
        <x:v>https://kozhaclinic.ru/inekcionnaya-kosmetologiya/omolozhenie-i-pitanie-kozhi/biorevitalizatsiya/</x:v>
      </x:c>
      <x:c r="C169" s="30" t="n">
        <x:v>0</x:v>
      </x:c>
      <x:c r="D169" s="30" t="n">
        <x:v>0</x:v>
      </x:c>
      <x:c r="E169" s="32" t="str">
        <x:f>IF(AND(ISNUMBER(C169),ISNUMBER(D169),D169&gt;0),C169/D169,"")</x:f>
      </x:c>
      <x:c r="F169" s="34"/>
      <x:c r="G169" s="30" t="n">
        <x:v>0</x:v>
      </x:c>
    </x:row>
    <x:row r="170" ht="42" customHeight="1">
      <x:c r="A170" s="14" t="str">
        <x:v>биоревитализация лица в сургуте</x:v>
      </x:c>
      <x:c r="B170" s="14" t="str">
        <x:v>https://kozhaclinic.ru/inekcionnaya-kosmetologiya/omolozhenie-i-pitanie-kozhi/biorevitalizatsiya/</x:v>
      </x:c>
      <x:c r="C170" s="31" t="n">
        <x:v>0</x:v>
      </x:c>
      <x:c r="D170" s="31" t="n">
        <x:v>2</x:v>
      </x:c>
      <x:c r="E170" s="33" t="n">
        <x:f>IF(AND(ISNUMBER(C170),ISNUMBER(D170),D170&gt;0),C170/D170,"")</x:f>
        <x:v>0</x:v>
      </x:c>
      <x:c r="F170" s="35" t="n">
        <x:v>5.5</x:v>
      </x:c>
      <x:c r="G170" s="31" t="n">
        <x:v>2</x:v>
      </x:c>
    </x:row>
    <x:row r="171" ht="42" customHeight="1">
      <x:c r="A171" s="12" t="str">
        <x:v>контурная пластика губ</x:v>
      </x:c>
      <x:c r="B171" s="12" t="str">
        <x:v>https://kozhaclinic.ru/inekcionnaya-kosmetologiya/konturnaya-plastika/uvelichenie-gub/</x:v>
      </x:c>
      <x:c r="C171" s="30" t="n">
        <x:v>0</x:v>
      </x:c>
      <x:c r="D171" s="30" t="n">
        <x:v>11</x:v>
      </x:c>
      <x:c r="E171" s="32" t="n">
        <x:f>IF(AND(ISNUMBER(C171),ISNUMBER(D171),D171&gt;0),C171/D171,"")</x:f>
        <x:v>0</x:v>
      </x:c>
      <x:c r="F171" s="34" t="n">
        <x:v>7</x:v>
      </x:c>
      <x:c r="G171" s="30" t="n">
        <x:v>7911</x:v>
      </x:c>
    </x:row>
    <x:row r="172" ht="42" customHeight="1">
      <x:c r="A172" s="14" t="str">
        <x:v>косметологии сургут</x:v>
      </x:c>
      <x:c r="B172" s="14" t="str">
        <x:v>https://kozhaclinic.ru/</x:v>
      </x:c>
      <x:c r="C172" s="31" t="n">
        <x:v>1</x:v>
      </x:c>
      <x:c r="D172" s="31" t="n">
        <x:v>9</x:v>
      </x:c>
      <x:c r="E172" s="33" t="n">
        <x:f>IF(AND(ISNUMBER(C172),ISNUMBER(D172),D172&gt;0),C172/D172,"")</x:f>
        <x:v>0.1111111111111111</x:v>
      </x:c>
      <x:c r="F172" s="35" t="n">
        <x:v>6.7</x:v>
      </x:c>
      <x:c r="G172" s="31" t="n">
        <x:v>11</x:v>
      </x:c>
    </x:row>
    <x:row r="173" ht="42" customHeight="1">
      <x:c r="A173" s="12" t="str">
        <x:v>коллагенотерапия вокруг глаз</x:v>
      </x:c>
      <x:c r="B173" s="12" t="str">
        <x:v>https://kozhaclinic.ru/inekcionnaya-kosmetologiya/kollagenoterapiya/kollagenoterapiya-vokrug-glaz/</x:v>
      </x:c>
      <x:c r="C173" s="30" t="n">
        <x:v>0</x:v>
      </x:c>
      <x:c r="D173" s="30" t="n">
        <x:v>16</x:v>
      </x:c>
      <x:c r="E173" s="32" t="n">
        <x:f>IF(AND(ISNUMBER(C173),ISNUMBER(D173),D173&gt;0),C173/D173,"")</x:f>
        <x:v>0</x:v>
      </x:c>
      <x:c r="F173" s="34" t="n">
        <x:v>8.8</x:v>
      </x:c>
      <x:c r="G173" s="30" t="n">
        <x:v>26</x:v>
      </x:c>
    </x:row>
    <x:row r="174" ht="42" customHeight="1">
      <x:c r="A174" s="14" t="str">
        <x:v>лазерное удаление папиллом</x:v>
      </x:c>
      <x:c r="B174" s="14" t="str">
        <x:v>https://kozhaclinic.ru/udalenie-novoobrazovanij/</x:v>
      </x:c>
      <x:c r="C174" s="31" t="n">
        <x:v>0</x:v>
      </x:c>
      <x:c r="D174" s="31" t="n">
        <x:v>3</x:v>
      </x:c>
      <x:c r="E174" s="33" t="n">
        <x:f>IF(AND(ISNUMBER(C174),ISNUMBER(D174),D174&gt;0),C174/D174,"")</x:f>
        <x:v>0</x:v>
      </x:c>
      <x:c r="F174" s="35" t="n">
        <x:v>11</x:v>
      </x:c>
      <x:c r="G174" s="31" t="n">
        <x:v>1160</x:v>
      </x:c>
    </x:row>
    <x:row r="175" ht="42" customHeight="1">
      <x:c r="A175" s="12" t="str">
        <x:v>как убрать миграцию филлера в губах</x:v>
      </x:c>
      <x:c r="B175" s="12" t="str">
        <x:v>https://kozhaclinic.ru/migratsiya-gelya-iz-gub/</x:v>
      </x:c>
      <x:c r="C175" s="30" t="n">
        <x:v>0</x:v>
      </x:c>
      <x:c r="D175" s="30" t="n">
        <x:v>7</x:v>
      </x:c>
      <x:c r="E175" s="32" t="n">
        <x:f>IF(AND(ISNUMBER(C175),ISNUMBER(D175),D175&gt;0),C175/D175,"")</x:f>
        <x:v>0</x:v>
      </x:c>
      <x:c r="F175" s="34" t="n">
        <x:v>9</x:v>
      </x:c>
      <x:c r="G175" s="30" t="n">
        <x:v>9</x:v>
      </x:c>
    </x:row>
    <x:row r="176" ht="42" customHeight="1">
      <x:c r="A176" s="14" t="str">
        <x:v>лазерное удаление родинок</x:v>
      </x:c>
      <x:c r="B176" s="14" t="str">
        <x:v>https://kozhaclinic.ru/udalenie-novoobrazovanij/</x:v>
      </x:c>
      <x:c r="C176" s="31" t="n">
        <x:v>0</x:v>
      </x:c>
      <x:c r="D176" s="31" t="n">
        <x:v>15</x:v>
      </x:c>
      <x:c r="E176" s="33" t="n">
        <x:f>IF(AND(ISNUMBER(C176),ISNUMBER(D176),D176&gt;0),C176/D176,"")</x:f>
        <x:v>0</x:v>
      </x:c>
      <x:c r="F176" s="35" t="n">
        <x:v>10</x:v>
      </x:c>
      <x:c r="G176" s="31" t="n">
        <x:v>3502</x:v>
      </x:c>
    </x:row>
    <x:row r="177" ht="42" customHeight="1">
      <x:c r="A177" s="12" t="str">
        <x:v>лимфодренажный массаж сургут</x:v>
      </x:c>
      <x:c r="B177" s="12" t="str">
        <x:v>https://kozhaclinic.ru/uhodovye-procedury/massazhi/limfodrenazhnyy/</x:v>
      </x:c>
      <x:c r="C177" s="30" t="n">
        <x:v>0</x:v>
      </x:c>
      <x:c r="D177" s="30" t="n">
        <x:v>4</x:v>
      </x:c>
      <x:c r="E177" s="32" t="n">
        <x:f>IF(AND(ISNUMBER(C177),ISNUMBER(D177),D177&gt;0),C177/D177,"")</x:f>
        <x:v>0</x:v>
      </x:c>
      <x:c r="F177" s="34" t="n">
        <x:v>11.7</x:v>
      </x:c>
      <x:c r="G177" s="30" t="n">
        <x:v>9</x:v>
      </x:c>
    </x:row>
    <x:row r="178" ht="42" customHeight="1">
      <x:c r="A178" s="14" t="str">
        <x:v>удаление папиллом сургут цена</x:v>
      </x:c>
      <x:c r="B178" s="14" t="str">
        <x:v>https://kozhaclinic.ru/udalenie-novoobrazovanij/udalenie-papilom/</x:v>
      </x:c>
      <x:c r="C178" s="31" t="n">
        <x:v>0</x:v>
      </x:c>
      <x:c r="D178" s="31" t="n">
        <x:v>6</x:v>
      </x:c>
      <x:c r="E178" s="33" t="n">
        <x:f>IF(AND(ISNUMBER(C178),ISNUMBER(D178),D178&gt;0),C178/D178,"")</x:f>
        <x:v>0</x:v>
      </x:c>
      <x:c r="F178" s="35" t="n">
        <x:v>4.6</x:v>
      </x:c>
      <x:c r="G178" s="31" t="n">
        <x:v>6</x:v>
      </x:c>
    </x:row>
    <x:row r="179" ht="42" customHeight="1">
      <x:c r="A179" s="12" t="str">
        <x:v>эпиляция лазерная сургут</x:v>
      </x:c>
      <x:c r="B179" s="12" t="str">
        <x:v>https://kozhaclinic.ru/</x:v>
      </x:c>
      <x:c r="C179" s="30" t="n">
        <x:v>1</x:v>
      </x:c>
      <x:c r="D179" s="30" t="n">
        <x:v>4</x:v>
      </x:c>
      <x:c r="E179" s="32" t="n">
        <x:f>IF(AND(ISNUMBER(C179),ISNUMBER(D179),D179&gt;0),C179/D179,"")</x:f>
        <x:v>0.25</x:v>
      </x:c>
      <x:c r="F179" s="34" t="n">
        <x:v>7.7</x:v>
      </x:c>
      <x:c r="G179" s="30" t="n">
        <x:v>4</x:v>
      </x:c>
    </x:row>
    <x:row r="180" ht="42" customHeight="1">
      <x:c r="A180" s="14" t="str">
        <x:v>миграция филлера в слизистую верхней губы</x:v>
      </x:c>
      <x:c r="B180" s="14" t="str">
        <x:v>https://kozhaclinic.ru/migratsiya-gelya-iz-gub/</x:v>
      </x:c>
      <x:c r="C180" s="31" t="n">
        <x:v>0</x:v>
      </x:c>
      <x:c r="D180" s="31" t="n">
        <x:v>16</x:v>
      </x:c>
      <x:c r="E180" s="33" t="n">
        <x:f>IF(AND(ISNUMBER(C180),ISNUMBER(D180),D180&gt;0),C180/D180,"")</x:f>
        <x:v>0</x:v>
      </x:c>
      <x:c r="F180" s="35" t="n">
        <x:v>9.6</x:v>
      </x:c>
      <x:c r="G180" s="31" t="n">
        <x:v>19</x:v>
      </x:c>
    </x:row>
    <x:row r="181" ht="42" customHeight="1">
      <x:c r="A181" s="12" t="str">
        <x:v>что такое увлажнение губ в косметологии</x:v>
      </x:c>
      <x:c r="B181" s="12" t="str">
        <x:v>https://kozhaclinic.ru/inekcionnaya-kosmetologiya/konturnaya-plastika/uvlazhnenie-gub/</x:v>
      </x:c>
      <x:c r="C181" s="30" t="n">
        <x:v>0</x:v>
      </x:c>
      <x:c r="D181" s="30" t="n">
        <x:v>0</x:v>
      </x:c>
      <x:c r="E181" s="32" t="str">
        <x:f>IF(AND(ISNUMBER(C181),ISNUMBER(D181),D181&gt;0),C181/D181,"")</x:f>
      </x:c>
      <x:c r="F181" s="34"/>
      <x:c r="G181" s="30" t="n">
        <x:v>34</x:v>
      </x:c>
    </x:row>
    <x:row r="182" ht="42" customHeight="1">
      <x:c r="A182" s="14" t="str">
        <x:v>контурная пластика цена</x:v>
      </x:c>
      <x:c r="B182" s="14" t="str">
        <x:v>https://kozhaclinic.ru/inekcionnaya-kosmetologiya/konturnaya-plastika/konturnaya-plastika-litsa/</x:v>
      </x:c>
      <x:c r="C182" s="31" t="n">
        <x:v>0</x:v>
      </x:c>
      <x:c r="D182" s="31" t="n">
        <x:v>2</x:v>
      </x:c>
      <x:c r="E182" s="33" t="n">
        <x:f>IF(AND(ISNUMBER(C182),ISNUMBER(D182),D182&gt;0),C182/D182,"")</x:f>
        <x:v>0</x:v>
      </x:c>
      <x:c r="F182" s="35" t="n">
        <x:v>7</x:v>
      </x:c>
      <x:c r="G182" s="31" t="n">
        <x:v>1432</x:v>
      </x:c>
    </x:row>
    <x:row r="183" ht="42" customHeight="1">
      <x:c r="A183" s="12" t="str">
        <x:v>процедуры для сияния кожи</x:v>
      </x:c>
      <x:c r="B183" s="12" t="str">
        <x:v>https://kozhaclinic.ru/gladkost-i-siyanie-kozhi/</x:v>
      </x:c>
      <x:c r="C183" s="30" t="n">
        <x:v>0</x:v>
      </x:c>
      <x:c r="D183" s="30" t="n">
        <x:v>40</x:v>
      </x:c>
      <x:c r="E183" s="32" t="n">
        <x:f>IF(AND(ISNUMBER(C183),ISNUMBER(D183),D183&gt;0),C183/D183,"")</x:f>
        <x:v>0</x:v>
      </x:c>
      <x:c r="F183" s="34" t="n">
        <x:v>6.7</x:v>
      </x:c>
      <x:c r="G183" s="30" t="n">
        <x:v>42</x:v>
      </x:c>
    </x:row>
    <x:row r="184" ht="42" customHeight="1">
      <x:c r="A184" s="14" t="str">
        <x:v>трихолог сургут запись на прием к врачу</x:v>
      </x:c>
      <x:c r="B184" s="14" t="str">
        <x:v>https://kozhaclinic.ru/osmotry-i-konsultatsii/konsultatsiya-vracha-trikhologa-s-naznacheniem-plana-protsedur/</x:v>
      </x:c>
      <x:c r="C184" s="31" t="n">
        <x:v>0</x:v>
      </x:c>
      <x:c r="D184" s="31" t="n">
        <x:v>18</x:v>
      </x:c>
      <x:c r="E184" s="33" t="n">
        <x:f>IF(AND(ISNUMBER(C184),ISNUMBER(D184),D184&gt;0),C184/D184,"")</x:f>
        <x:v>0</x:v>
      </x:c>
      <x:c r="F184" s="35" t="n">
        <x:v>10.9</x:v>
      </x:c>
      <x:c r="G184" s="31" t="n">
        <x:v>26</x:v>
      </x:c>
    </x:row>
    <x:row r="185" ht="42" customHeight="1">
      <x:c r="A185" s="12" t="str">
        <x:v>удаление новообразований лазером</x:v>
      </x:c>
      <x:c r="B185" s="12" t="str">
        <x:v>https://kozhaclinic.ru/udalenie-novoobrazovanij/</x:v>
      </x:c>
      <x:c r="C185" s="30" t="n">
        <x:v>0</x:v>
      </x:c>
      <x:c r="D185" s="30" t="n">
        <x:v>0</x:v>
      </x:c>
      <x:c r="E185" s="32" t="str">
        <x:f>IF(AND(ISNUMBER(C185),ISNUMBER(D185),D185&gt;0),C185/D185,"")</x:f>
      </x:c>
      <x:c r="F185" s="34"/>
      <x:c r="G185" s="30" t="n">
        <x:v>1121</x:v>
      </x:c>
    </x:row>
    <x:row r="186" ht="42" customHeight="1">
      <x:c r="A186" s="14" t="str">
        <x:v>почему мигрирует филлер в губах</x:v>
      </x:c>
      <x:c r="B186" s="14" t="str">
        <x:v>https://kozhaclinic.ru/migratsiya-gelya-iz-gub/</x:v>
      </x:c>
      <x:c r="C186" s="31" t="n">
        <x:v>0</x:v>
      </x:c>
      <x:c r="D186" s="31" t="n">
        <x:v>18</x:v>
      </x:c>
      <x:c r="E186" s="33" t="n">
        <x:f>IF(AND(ISNUMBER(C186),ISNUMBER(D186),D186&gt;0),C186/D186,"")</x:f>
        <x:v>0</x:v>
      </x:c>
      <x:c r="F186" s="35" t="n">
        <x:v>8.7</x:v>
      </x:c>
      <x:c r="G186" s="31" t="n">
        <x:v>26</x:v>
      </x:c>
    </x:row>
    <x:row r="187" ht="42" customHeight="1">
      <x:c r="A187" s="12" t="str">
        <x:v>сургут увеличение губ</x:v>
      </x:c>
      <x:c r="B187" s="12" t="str">
        <x:v>https://kozhaclinic.ru/inekcionnaya-kosmetologiya/konturnaya-plastika/uvelichenie-gub/</x:v>
      </x:c>
      <x:c r="C187" s="30" t="n">
        <x:v>0</x:v>
      </x:c>
      <x:c r="D187" s="30" t="n">
        <x:v>7</x:v>
      </x:c>
      <x:c r="E187" s="32" t="n">
        <x:f>IF(AND(ISNUMBER(C187),ISNUMBER(D187),D187&gt;0),C187/D187,"")</x:f>
        <x:v>0</x:v>
      </x:c>
      <x:c r="F187" s="34" t="n">
        <x:v>6.5</x:v>
      </x:c>
      <x:c r="G187" s="30" t="n">
        <x:v>7</x:v>
      </x:c>
    </x:row>
    <x:row r="188" ht="42" customHeight="1">
      <x:c r="A188" s="14" t="str">
        <x:v>удаление бородавок 296-222</x:v>
      </x:c>
      <x:c r="B188" s="14" t="str">
        <x:v>https://kozhaclinic.ru/udalenie-novoobrazovanij/udalenie-papilom/</x:v>
      </x:c>
      <x:c r="C188" s="31" t="n">
        <x:v>0</x:v>
      </x:c>
      <x:c r="D188" s="31" t="n">
        <x:v>1</x:v>
      </x:c>
      <x:c r="E188" s="33" t="n">
        <x:f>IF(AND(ISNUMBER(C188),ISNUMBER(D188),D188&gt;0),C188/D188,"")</x:f>
        <x:v>0</x:v>
      </x:c>
      <x:c r="F188" s="35" t="n">
        <x:v>4</x:v>
      </x:c>
      <x:c r="G188" s="31" t="n">
        <x:v>1</x:v>
      </x:c>
    </x:row>
    <x:row r="189" ht="42" customHeight="1">
      <x:c r="A189" s="12" t="str">
        <x:v>биоревитализация лица цена</x:v>
      </x:c>
      <x:c r="B189" s="12" t="str">
        <x:v>https://kozhaclinic.ru/inekcionnaya-kosmetologiya/omolozhenie-i-pitanie-kozhi/biorevitalizatsiya/</x:v>
      </x:c>
      <x:c r="C189" s="30" t="n">
        <x:v>0</x:v>
      </x:c>
      <x:c r="D189" s="30" t="n">
        <x:v>3</x:v>
      </x:c>
      <x:c r="E189" s="32" t="n">
        <x:f>IF(AND(ISNUMBER(C189),ISNUMBER(D189),D189&gt;0),C189/D189,"")</x:f>
        <x:v>0</x:v>
      </x:c>
      <x:c r="F189" s="34" t="n">
        <x:v>4.6</x:v>
      </x:c>
      <x:c r="G189" s="30" t="n">
        <x:v>5777</x:v>
      </x:c>
    </x:row>
    <x:row r="190" ht="42" customHeight="1">
      <x:c r="A190" s="14" t="str">
        <x:v>инъекционная косметология</x:v>
      </x:c>
      <x:c r="B190" s="14" t="str">
        <x:v>https://kozhaclinic.ru/inekcionnaya-kosmetologiya/</x:v>
      </x:c>
      <x:c r="C190" s="31" t="n">
        <x:v>0</x:v>
      </x:c>
      <x:c r="D190" s="31" t="n">
        <x:v>1</x:v>
      </x:c>
      <x:c r="E190" s="33" t="n">
        <x:f>IF(AND(ISNUMBER(C190),ISNUMBER(D190),D190&gt;0),C190/D190,"")</x:f>
        <x:v>0</x:v>
      </x:c>
      <x:c r="F190" s="35" t="n">
        <x:v>3</x:v>
      </x:c>
      <x:c r="G190" s="31" t="n">
        <x:v>2919</x:v>
      </x:c>
    </x:row>
    <x:row r="191" ht="42" customHeight="1">
      <x:c r="A191" s="12" t="str">
        <x:v>сургут удаление папиллом</x:v>
      </x:c>
      <x:c r="B191" s="12" t="str">
        <x:v>https://kozhaclinic.ru/udalenie-novoobrazovanij/udalenie-papilom/</x:v>
      </x:c>
      <x:c r="C191" s="30" t="n">
        <x:v>0</x:v>
      </x:c>
      <x:c r="D191" s="30" t="n">
        <x:v>11</x:v>
      </x:c>
      <x:c r="E191" s="32" t="n">
        <x:f>IF(AND(ISNUMBER(C191),ISNUMBER(D191),D191&gt;0),C191/D191,"")</x:f>
        <x:v>0</x:v>
      </x:c>
      <x:c r="F191" s="34" t="n">
        <x:v>6</x:v>
      </x:c>
      <x:c r="G191" s="30" t="n">
        <x:v>11</x:v>
      </x:c>
    </x:row>
    <x:row r="192" ht="42" customHeight="1">
      <x:c r="A192" s="14" t="str">
        <x:v>удаление родинок на лице 296-222</x:v>
      </x:c>
      <x:c r="B192" s="14" t="str">
        <x:v>https://kozhaclinic.ru/</x:v>
      </x:c>
      <x:c r="C192" s="31" t="n">
        <x:v>0</x:v>
      </x:c>
      <x:c r="D192" s="31" t="n">
        <x:v>2</x:v>
      </x:c>
      <x:c r="E192" s="33" t="n">
        <x:f>IF(AND(ISNUMBER(C192),ISNUMBER(D192),D192&gt;0),C192/D192,"")</x:f>
        <x:v>0</x:v>
      </x:c>
      <x:c r="F192" s="35" t="n">
        <x:v>6.5</x:v>
      </x:c>
      <x:c r="G192" s="31" t="n">
        <x:v>2</x:v>
      </x:c>
    </x:row>
    <x:row r="193" ht="42" customHeight="1">
      <x:c r="A193" s="12" t="str">
        <x:v>удаление шрамов сургут</x:v>
      </x:c>
      <x:c r="B193" s="12" t="str">
        <x:v>https://kozhaclinic.ru/ubrat-shram/</x:v>
      </x:c>
      <x:c r="C193" s="30" t="n">
        <x:v>0</x:v>
      </x:c>
      <x:c r="D193" s="30" t="n">
        <x:v>12</x:v>
      </x:c>
      <x:c r="E193" s="32" t="n">
        <x:f>IF(AND(ISNUMBER(C193),ISNUMBER(D193),D193&gt;0),C193/D193,"")</x:f>
        <x:v>0</x:v>
      </x:c>
      <x:c r="F193" s="34" t="n">
        <x:v>4.8</x:v>
      </x:c>
      <x:c r="G193" s="30" t="n">
        <x:v>12</x:v>
      </x:c>
    </x:row>
    <x:row r="194" ht="42" customHeight="1">
      <x:c r="A194" s="14" t="str">
        <x:v>дерматоскопия сургут</x:v>
      </x:c>
      <x:c r="B194" s="14" t="str">
        <x:v>https://kozhaclinic.ru/osmotry-i-konsultatsii/dermatoskopiya/</x:v>
      </x:c>
      <x:c r="C194" s="31" t="n">
        <x:v>0</x:v>
      </x:c>
      <x:c r="D194" s="31" t="n">
        <x:v>15</x:v>
      </x:c>
      <x:c r="E194" s="33" t="n">
        <x:f>IF(AND(ISNUMBER(C194),ISNUMBER(D194),D194&gt;0),C194/D194,"")</x:f>
        <x:v>0</x:v>
      </x:c>
      <x:c r="F194" s="35" t="n">
        <x:v>2.9</x:v>
      </x:c>
      <x:c r="G194" s="31" t="n">
        <x:v>15</x:v>
      </x:c>
    </x:row>
    <x:row r="195" ht="42" customHeight="1">
      <x:c r="A195" s="12" t="str">
        <x:v>что такое гуляет филлер в губах</x:v>
      </x:c>
      <x:c r="B195" s="12" t="str">
        <x:v>https://kozhaclinic.ru/migratsiya-gelya-iz-gub/</x:v>
      </x:c>
      <x:c r="C195" s="30" t="n">
        <x:v>0</x:v>
      </x:c>
      <x:c r="D195" s="30" t="n">
        <x:v>11</x:v>
      </x:c>
      <x:c r="E195" s="32" t="n">
        <x:f>IF(AND(ISNUMBER(C195),ISNUMBER(D195),D195&gt;0),C195/D195,"")</x:f>
        <x:v>0</x:v>
      </x:c>
      <x:c r="F195" s="34" t="n">
        <x:v>6.7</x:v>
      </x:c>
      <x:c r="G195" s="30" t="n">
        <x:v>11</x:v>
      </x:c>
    </x:row>
    <x:row r="196" ht="42" customHeight="1">
      <x:c r="A196" s="14" t="str">
        <x:v>ботулинотерапия в сургуте</x:v>
      </x:c>
      <x:c r="B196" s="14" t="str">
        <x:v>https://kozhaclinic.ru/inekcionnaya-kosmetologiya/botulinoterapiya/</x:v>
      </x:c>
      <x:c r="C196" s="31" t="n">
        <x:v>0</x:v>
      </x:c>
      <x:c r="D196" s="31" t="n">
        <x:v>2</x:v>
      </x:c>
      <x:c r="E196" s="33" t="n">
        <x:f>IF(AND(ISNUMBER(C196),ISNUMBER(D196),D196&gt;0),C196/D196,"")</x:f>
        <x:v>0</x:v>
      </x:c>
      <x:c r="F196" s="35" t="n">
        <x:v>3</x:v>
      </x:c>
      <x:c r="G196" s="31" t="n">
        <x:v>2</x:v>
      </x:c>
    </x:row>
    <x:row r="197" ht="42" customHeight="1">
      <x:c r="A197" s="12" t="str">
        <x:v>удаление папилломы сургут</x:v>
      </x:c>
      <x:c r="B197" s="12" t="str">
        <x:v>https://kozhaclinic.ru/udalenie-novoobrazovanij/udalenie-papilom/</x:v>
      </x:c>
      <x:c r="C197" s="30" t="n">
        <x:v>0</x:v>
      </x:c>
      <x:c r="D197" s="30" t="n">
        <x:v>8</x:v>
      </x:c>
      <x:c r="E197" s="32" t="n">
        <x:f>IF(AND(ISNUMBER(C197),ISNUMBER(D197),D197&gt;0),C197/D197,"")</x:f>
        <x:v>0</x:v>
      </x:c>
      <x:c r="F197" s="34" t="n">
        <x:v>5.2</x:v>
      </x:c>
      <x:c r="G197" s="30" t="n">
        <x:v>8</x:v>
      </x:c>
    </x:row>
    <x:row r="198" ht="42" customHeight="1">
      <x:c r="A198" s="14" t="str">
        <x:v>игольчатый рф лифтинг цена</x:v>
      </x:c>
      <x:c r="B198" s="14" t="str">
        <x:v>https://kozhaclinic.ru/apparatnaya-kosmetologiya/igolchatyy-rf-lifting-na-morpheus-8/</x:v>
      </x:c>
      <x:c r="C198" s="31" t="n">
        <x:v>0</x:v>
      </x:c>
      <x:c r="D198" s="31" t="n">
        <x:v>1</x:v>
      </x:c>
      <x:c r="E198" s="33" t="n">
        <x:f>IF(AND(ISNUMBER(C198),ISNUMBER(D198),D198&gt;0),C198/D198,"")</x:f>
        <x:v>0</x:v>
      </x:c>
      <x:c r="F198" s="35" t="n">
        <x:v>4</x:v>
      </x:c>
      <x:c r="G198" s="31" t="n">
        <x:v>1165</x:v>
      </x:c>
    </x:row>
    <x:row r="199" ht="42" customHeight="1">
      <x:c r="A199" s="12" t="str">
        <x:v>кожа салон красоты</x:v>
      </x:c>
      <x:c r="B199" s="12" t="str">
        <x:v>https://kozhaclinic.ru/portfolio/</x:v>
      </x:c>
      <x:c r="C199" s="30" t="n">
        <x:v>0</x:v>
      </x:c>
      <x:c r="D199" s="30" t="n">
        <x:v>4</x:v>
      </x:c>
      <x:c r="E199" s="32" t="n">
        <x:f>IF(AND(ISNUMBER(C199),ISNUMBER(D199),D199&gt;0),C199/D199,"")</x:f>
        <x:v>0</x:v>
      </x:c>
      <x:c r="F199" s="34" t="n">
        <x:v>6.5</x:v>
      </x:c>
      <x:c r="G199" s="30" t="n">
        <x:v>4</x:v>
      </x:c>
    </x:row>
    <x:row r="200" ht="42" customHeight="1">
      <x:c r="A200" s="14" t="str">
        <x:v>контурная пластика губ сургут</x:v>
      </x:c>
      <x:c r="B200" s="14" t="str">
        <x:v>https://kozhaclinic.ru/inekcionnaya-kosmetologiya/konturnaya-plastika/uvelichenie-gub/</x:v>
      </x:c>
      <x:c r="C200" s="31" t="n">
        <x:v>0</x:v>
      </x:c>
      <x:c r="D200" s="31" t="n">
        <x:v>5</x:v>
      </x:c>
      <x:c r="E200" s="33" t="n">
        <x:f>IF(AND(ISNUMBER(C200),ISNUMBER(D200),D200&gt;0),C200/D200,"")</x:f>
        <x:v>0</x:v>
      </x:c>
      <x:c r="F200" s="35" t="n">
        <x:v>4.2</x:v>
      </x:c>
      <x:c r="G200" s="31" t="n">
        <x:v>5</x:v>
      </x:c>
    </x:row>
    <x:row r="201" ht="42" customHeight="1">
      <x:c r="A201" s="12" t="str">
        <x:v>плазмотерапия цена</x:v>
      </x:c>
      <x:c r="B201" s="12" t="str">
        <x:v>https://kozhaclinic.ru/inekcionnaya-kosmetologiya/omolozhenie-i-pitanie-kozhi/plazmolifting-dlya-volos/</x:v>
      </x:c>
      <x:c r="C201" s="30" t="n">
        <x:v>0</x:v>
      </x:c>
      <x:c r="D201" s="30" t="n">
        <x:v>0</x:v>
      </x:c>
      <x:c r="E201" s="32" t="str">
        <x:f>IF(AND(ISNUMBER(C201),ISNUMBER(D201),D201&gt;0),C201/D201,"")</x:f>
      </x:c>
      <x:c r="F201" s="34"/>
      <x:c r="G201" s="30" t="n">
        <x:v>878</x:v>
      </x:c>
    </x:row>
    <x:row r="202" ht="42" customHeight="1">
      <x:c r="A202" s="14" t="str">
        <x:v>удаление папиллом адреса alfa</x:v>
      </x:c>
      <x:c r="B202" s="14" t="str">
        <x:v>https://kozhaclinic.ru/udalenie-novoobrazovanij/udalenie-papilom/</x:v>
      </x:c>
      <x:c r="C202" s="31" t="n">
        <x:v>0</x:v>
      </x:c>
      <x:c r="D202" s="31" t="n">
        <x:v>1</x:v>
      </x:c>
      <x:c r="E202" s="33" t="n">
        <x:f>IF(AND(ISNUMBER(C202),ISNUMBER(D202),D202&gt;0),C202/D202,"")</x:f>
        <x:v>0</x:v>
      </x:c>
      <x:c r="F202" s="35" t="n">
        <x:v>4</x:v>
      </x:c>
      <x:c r="G202" s="31" t="n">
        <x:v>1</x:v>
      </x:c>
    </x:row>
    <x:row r="203" ht="42" customHeight="1">
      <x:c r="A203" s="12" t="str">
        <x:v>удаление родинок лазером 296-222</x:v>
      </x:c>
      <x:c r="B203" s="12" t="str">
        <x:v>https://kozhaclinic.ru/</x:v>
      </x:c>
      <x:c r="C203" s="30" t="n">
        <x:v>0</x:v>
      </x:c>
      <x:c r="D203" s="30" t="n">
        <x:v>1</x:v>
      </x:c>
      <x:c r="E203" s="32" t="n">
        <x:f>IF(AND(ISNUMBER(C203),ISNUMBER(D203),D203&gt;0),C203/D203,"")</x:f>
        <x:v>0</x:v>
      </x:c>
      <x:c r="F203" s="34" t="n">
        <x:v>11</x:v>
      </x:c>
      <x:c r="G203" s="30" t="n">
        <x:v>1</x:v>
      </x:c>
    </x:row>
    <x:row r="204" ht="42" customHeight="1">
      <x:c r="A204" s="14" t="str">
        <x:v>лазерное удаление новообразований</x:v>
      </x:c>
      <x:c r="B204" s="14" t="str">
        <x:v>https://kozhaclinic.ru/udalenie-novoobrazovanij/</x:v>
      </x:c>
      <x:c r="C204" s="31" t="n">
        <x:v>0</x:v>
      </x:c>
      <x:c r="D204" s="31" t="n">
        <x:v>0</x:v>
      </x:c>
      <x:c r="E204" s="33" t="str">
        <x:f>IF(AND(ISNUMBER(C204),ISNUMBER(D204),D204&gt;0),C204/D204,"")</x:f>
      </x:c>
      <x:c r="F204" s="35"/>
      <x:c r="G204" s="31" t="n">
        <x:v>751</x:v>
      </x:c>
    </x:row>
    <x:row r="205" ht="42" customHeight="1">
      <x:c r="A205" s="12" t="str">
        <x:v>лечебная чистка лица что это</x:v>
      </x:c>
      <x:c r="B205" s="12" t="str">
        <x:v>https://kozhaclinic.ru/uhodovye-procedury/chistki-litsa-i-spiny/lechebnaya-chistka-litsa/</x:v>
      </x:c>
      <x:c r="C205" s="30" t="n">
        <x:v>0</x:v>
      </x:c>
      <x:c r="D205" s="30" t="n">
        <x:v>6</x:v>
      </x:c>
      <x:c r="E205" s="32" t="n">
        <x:f>IF(AND(ISNUMBER(C205),ISNUMBER(D205),D205&gt;0),C205/D205,"")</x:f>
        <x:v>0</x:v>
      </x:c>
      <x:c r="F205" s="34" t="n">
        <x:v>4</x:v>
      </x:c>
      <x:c r="G205" s="30" t="n">
        <x:v>6</x:v>
      </x:c>
    </x:row>
    <x:row r="206" ht="42" customHeight="1">
      <x:c r="A206" s="14" t="str">
        <x:v>мезотерапия сургут цена</x:v>
      </x:c>
      <x:c r="B206" s="14" t="str">
        <x:v>https://kozhaclinic.ru/inekcionnaya-kosmetologiya/omolozhenie-i-pitanie-kozhi/mezoterapiya/</x:v>
      </x:c>
      <x:c r="C206" s="31" t="n">
        <x:v>0</x:v>
      </x:c>
      <x:c r="D206" s="31" t="n">
        <x:v>2</x:v>
      </x:c>
      <x:c r="E206" s="33" t="n">
        <x:f>IF(AND(ISNUMBER(C206),ISNUMBER(D206),D206&gt;0),C206/D206,"")</x:f>
        <x:v>0</x:v>
      </x:c>
      <x:c r="F206" s="35" t="n">
        <x:v>8.5</x:v>
      </x:c>
      <x:c r="G206" s="31" t="n">
        <x:v>2</x:v>
      </x:c>
    </x:row>
    <x:row r="207" ht="42" customHeight="1">
      <x:c r="A207" s="12" t="str">
        <x:v>фотоомоложение цена</x:v>
      </x:c>
      <x:c r="B207" s="12" t="str">
        <x:v>https://kozhaclinic.ru/apparatnaya-kosmetologiya/fotoomolozhenie-inmode/</x:v>
      </x:c>
      <x:c r="C207" s="30" t="n">
        <x:v>0</x:v>
      </x:c>
      <x:c r="D207" s="30" t="n">
        <x:v>0</x:v>
      </x:c>
      <x:c r="E207" s="32" t="str">
        <x:f>IF(AND(ISNUMBER(C207),ISNUMBER(D207),D207&gt;0),C207/D207,"")</x:f>
      </x:c>
      <x:c r="F207" s="34"/>
      <x:c r="G207" s="30" t="n">
        <x:v>638</x:v>
      </x:c>
    </x:row>
    <x:row r="208" ht="42" customHeight="1">
      <x:c r="A208" s="14" t="str">
        <x:v>удаление родинок и папиллом 296-222</x:v>
      </x:c>
      <x:c r="B208" s="14" t="str">
        <x:v>https://kozhaclinic.ru/</x:v>
      </x:c>
      <x:c r="C208" s="31" t="n">
        <x:v>0</x:v>
      </x:c>
      <x:c r="D208" s="31" t="n">
        <x:v>3</x:v>
      </x:c>
      <x:c r="E208" s="33" t="n">
        <x:f>IF(AND(ISNUMBER(C208),ISNUMBER(D208),D208&gt;0),C208/D208,"")</x:f>
        <x:v>0</x:v>
      </x:c>
      <x:c r="F208" s="35" t="n">
        <x:v>9.3</x:v>
      </x:c>
      <x:c r="G208" s="31" t="n">
        <x:v>3</x:v>
      </x:c>
    </x:row>
    <x:row r="209" ht="42" customHeight="1">
      <x:c r="A209" s="12" t="str">
        <x:v>биоревитализация цена anatomy-krasoty</x:v>
      </x:c>
      <x:c r="B209" s="12" t="str">
        <x:v>https://kozhaclinic.ru/inekcionnaya-kosmetologiya/omolozhenie-i-pitanie-kozhi/biorevitalizatsiya/</x:v>
      </x:c>
      <x:c r="C209" s="30" t="n">
        <x:v>0</x:v>
      </x:c>
      <x:c r="D209" s="30" t="n">
        <x:v>0</x:v>
      </x:c>
      <x:c r="E209" s="32" t="str">
        <x:f>IF(AND(ISNUMBER(C209),ISNUMBER(D209),D209&gt;0),C209/D209,"")</x:f>
      </x:c>
      <x:c r="F209" s="34"/>
      <x:c r="G209" s="30" t="n">
        <x:v>0</x:v>
      </x:c>
    </x:row>
    <x:row r="210" ht="42" customHeight="1">
      <x:c r="A210" s="14" t="str">
        <x:v>гель мигрировал над губой</x:v>
      </x:c>
      <x:c r="B210" s="14" t="str">
        <x:v>https://kozhaclinic.ru/migratsiya-gelya-iz-gub/</x:v>
      </x:c>
      <x:c r="C210" s="31" t="n">
        <x:v>0</x:v>
      </x:c>
      <x:c r="D210" s="31" t="n">
        <x:v>19</x:v>
      </x:c>
      <x:c r="E210" s="33" t="n">
        <x:f>IF(AND(ISNUMBER(C210),ISNUMBER(D210),D210&gt;0),C210/D210,"")</x:f>
        <x:v>0</x:v>
      </x:c>
      <x:c r="F210" s="35" t="n">
        <x:v>6.3</x:v>
      </x:c>
      <x:c r="G210" s="31" t="n">
        <x:v>19</x:v>
      </x:c>
    </x:row>
    <x:row r="211" ht="42" customHeight="1">
      <x:c r="A211" s="12" t="str">
        <x:v>миграция филлера в губах в слизистую</x:v>
      </x:c>
      <x:c r="B211" s="12" t="str">
        <x:v>https://kozhaclinic.ru/migratsiya-gelya-iz-gub/</x:v>
      </x:c>
      <x:c r="C211" s="30" t="n">
        <x:v>0</x:v>
      </x:c>
      <x:c r="D211" s="30" t="n">
        <x:v>1</x:v>
      </x:c>
      <x:c r="E211" s="32" t="n">
        <x:f>IF(AND(ISNUMBER(C211),ISNUMBER(D211),D211&gt;0),C211/D211,"")</x:f>
        <x:v>0</x:v>
      </x:c>
      <x:c r="F211" s="34" t="n">
        <x:v>11</x:v>
      </x:c>
      <x:c r="G211" s="30" t="n">
        <x:v>22</x:v>
      </x:c>
    </x:row>
    <x:row r="212" ht="42" customHeight="1">
      <x:c r="A212" s="14" t="str">
        <x:v>радиесс сургут</x:v>
      </x:c>
      <x:c r="B212" s="14" t="str">
        <x:v>https://kozhaclinic.ru/inekcionnaya-kosmetologiya/omolozhenie-i-pitanie-kozhi/protsedura-fillerom-radiesse-radiess/</x:v>
      </x:c>
      <x:c r="C212" s="31" t="n">
        <x:v>1</x:v>
      </x:c>
      <x:c r="D212" s="31" t="n">
        <x:v>6</x:v>
      </x:c>
      <x:c r="E212" s="33" t="n">
        <x:f>IF(AND(ISNUMBER(C212),ISNUMBER(D212),D212&gt;0),C212/D212,"")</x:f>
        <x:v>0.16666666666666666</x:v>
      </x:c>
      <x:c r="F212" s="35" t="n">
        <x:v>4</x:v>
      </x:c>
      <x:c r="G212" s="31" t="n">
        <x:v>6</x:v>
      </x:c>
    </x:row>
    <x:row r="213" ht="42" customHeight="1">
      <x:c r="A213" s="12" t="str">
        <x:v>удалить родинки сургут</x:v>
      </x:c>
      <x:c r="B213" s="12" t="str">
        <x:v>https://kozhaclinic.ru/udalenie-novoobrazovanij/udalenie-rodinok/</x:v>
      </x:c>
      <x:c r="C213" s="30" t="n">
        <x:v>0</x:v>
      </x:c>
      <x:c r="D213" s="30" t="n">
        <x:v>6</x:v>
      </x:c>
      <x:c r="E213" s="32" t="n">
        <x:f>IF(AND(ISNUMBER(C213),ISNUMBER(D213),D213&gt;0),C213/D213,"")</x:f>
        <x:v>0</x:v>
      </x:c>
      <x:c r="F213" s="34" t="n">
        <x:v>4.1</x:v>
      </x:c>
      <x:c r="G213" s="30" t="n">
        <x:v>6</x:v>
      </x:c>
    </x:row>
    <x:row r="214" ht="42" customHeight="1">
      <x:c r="A214" s="14" t="str">
        <x:v>коллагенотерапия collost</x:v>
      </x:c>
      <x:c r="B214" s="14" t="str">
        <x:v>https://kozhaclinic.ru/inekcionnaya-kosmetologiya/kollagenoterapiya/</x:v>
      </x:c>
      <x:c r="C214" s="31" t="n">
        <x:v>0</x:v>
      </x:c>
      <x:c r="D214" s="31" t="n">
        <x:v>0</x:v>
      </x:c>
      <x:c r="E214" s="33" t="str">
        <x:f>IF(AND(ISNUMBER(C214),ISNUMBER(D214),D214&gt;0),C214/D214,"")</x:f>
      </x:c>
      <x:c r="F214" s="35"/>
      <x:c r="G214" s="31" t="n">
        <x:v>65</x:v>
      </x:c>
    </x:row>
    <x:row r="215" ht="42" customHeight="1">
      <x:c r="A215" s="12" t="str">
        <x:v>коллагенотерапия глаз</x:v>
      </x:c>
      <x:c r="B215" s="12" t="str">
        <x:v>https://kozhaclinic.ru/inekcionnaya-kosmetologiya/kollagenoterapiya/kollagenoterapiya-vokrug-glaz/</x:v>
      </x:c>
      <x:c r="C215" s="30" t="n">
        <x:v>0</x:v>
      </x:c>
      <x:c r="D215" s="30" t="n">
        <x:v>12</x:v>
      </x:c>
      <x:c r="E215" s="32" t="n">
        <x:f>IF(AND(ISNUMBER(C215),ISNUMBER(D215),D215&gt;0),C215/D215,"")</x:f>
        <x:v>0</x:v>
      </x:c>
      <x:c r="F215" s="34" t="n">
        <x:v>9.8</x:v>
      </x:c>
      <x:c r="G215" s="30" t="n">
        <x:v>22</x:v>
      </x:c>
    </x:row>
    <x:row r="216" ht="42" customHeight="1">
      <x:c r="A216" s="14" t="str">
        <x:v>трихолог сургут запись на прием</x:v>
      </x:c>
      <x:c r="B216" s="14" t="str">
        <x:v>https://kozhaclinic.ru/osmotry-i-konsultatsii/konsultatsiya-vracha-trikhologa-s-naznacheniem-plana-protsedur/</x:v>
      </x:c>
      <x:c r="C216" s="31" t="n">
        <x:v>0</x:v>
      </x:c>
      <x:c r="D216" s="31" t="n">
        <x:v>22</x:v>
      </x:c>
      <x:c r="E216" s="33" t="n">
        <x:f>IF(AND(ISNUMBER(C216),ISNUMBER(D216),D216&gt;0),C216/D216,"")</x:f>
        <x:v>0</x:v>
      </x:c>
      <x:c r="F216" s="35" t="n">
        <x:v>12.1</x:v>
      </x:c>
      <x:c r="G216" s="31" t="n">
        <x:v>37</x:v>
      </x:c>
    </x:row>
    <x:row r="217" ht="42" customHeight="1">
      <x:c r="A217" s="12" t="str">
        <x:v>удаление бородавок сургут лазером</x:v>
      </x:c>
      <x:c r="B217" s="12" t="str">
        <x:v>https://kozhaclinic.ru/udalenie-novoobrazovanij/udalenie-borodavok/</x:v>
      </x:c>
      <x:c r="C217" s="30" t="n">
        <x:v>0</x:v>
      </x:c>
      <x:c r="D217" s="30" t="n">
        <x:v>2</x:v>
      </x:c>
      <x:c r="E217" s="32" t="n">
        <x:f>IF(AND(ISNUMBER(C217),ISNUMBER(D217),D217&gt;0),C217/D217,"")</x:f>
        <x:v>0</x:v>
      </x:c>
      <x:c r="F217" s="34" t="n">
        <x:v>3.5</x:v>
      </x:c>
      <x:c r="G217" s="30" t="n">
        <x:v>2</x:v>
      </x:c>
    </x:row>
    <x:row r="218" ht="42" customHeight="1">
      <x:c r="A218" s="14" t="str">
        <x:v>удаление родинок на лице alfa</x:v>
      </x:c>
      <x:c r="B218" s="14" t="str">
        <x:v>https://kozhaclinic.ru/</x:v>
      </x:c>
      <x:c r="C218" s="31" t="n">
        <x:v>0</x:v>
      </x:c>
      <x:c r="D218" s="31" t="n">
        <x:v>1</x:v>
      </x:c>
      <x:c r="E218" s="33" t="n">
        <x:f>IF(AND(ISNUMBER(C218),ISNUMBER(D218),D218&gt;0),C218/D218,"")</x:f>
        <x:v>0</x:v>
      </x:c>
      <x:c r="F218" s="35" t="n">
        <x:v>12</x:v>
      </x:c>
      <x:c r="G218" s="31" t="n">
        <x:v>2</x:v>
      </x:c>
    </x:row>
    <x:row r="219" ht="42" customHeight="1">
      <x:c r="A219" s="12" t="str">
        <x:v>чистка лица</x:v>
      </x:c>
      <x:c r="B219" s="12" t="str">
        <x:v>https://kozhaclinic.ru/</x:v>
      </x:c>
      <x:c r="C219" s="30" t="n">
        <x:v>0</x:v>
      </x:c>
      <x:c r="D219" s="30" t="n">
        <x:v>5</x:v>
      </x:c>
      <x:c r="E219" s="32" t="n">
        <x:f>IF(AND(ISNUMBER(C219),ISNUMBER(D219),D219&gt;0),C219/D219,"")</x:f>
        <x:v>0</x:v>
      </x:c>
      <x:c r="F219" s="34" t="n">
        <x:v>9.4</x:v>
      </x:c>
      <x:c r="G219" s="30" t="n">
        <x:v>16310</x:v>
      </x:c>
    </x:row>
    <x:row r="220" ht="42" customHeight="1">
      <x:c r="A220" s="14" t="str">
        <x:v>коллагенотерапия под глаза</x:v>
      </x:c>
      <x:c r="B220" s="14" t="str">
        <x:v>https://kozhaclinic.ru/inekcionnaya-kosmetologiya/kollagenoterapiya/kollagenoterapiya-vokrug-glaz/</x:v>
      </x:c>
      <x:c r="C220" s="31" t="n">
        <x:v>0</x:v>
      </x:c>
      <x:c r="D220" s="31" t="n">
        <x:v>6</x:v>
      </x:c>
      <x:c r="E220" s="33" t="n">
        <x:f>IF(AND(ISNUMBER(C220),ISNUMBER(D220),D220&gt;0),C220/D220,"")</x:f>
        <x:v>0</x:v>
      </x:c>
      <x:c r="F220" s="35" t="n">
        <x:v>9.1</x:v>
      </x:c>
      <x:c r="G220" s="31" t="n">
        <x:v>15</x:v>
      </x:c>
    </x:row>
    <x:row r="221" ht="42" customHeight="1">
      <x:c r="A221" s="12" t="str">
        <x:v>лазерное удаление родинок 296-222</x:v>
      </x:c>
      <x:c r="B221" s="12" t="str">
        <x:v>https://kozhaclinic.ru/</x:v>
      </x:c>
      <x:c r="C221" s="30" t="n">
        <x:v>0</x:v>
      </x:c>
      <x:c r="D221" s="30" t="n">
        <x:v>1</x:v>
      </x:c>
      <x:c r="E221" s="32" t="n">
        <x:f>IF(AND(ISNUMBER(C221),ISNUMBER(D221),D221&gt;0),C221/D221,"")</x:f>
        <x:v>0</x:v>
      </x:c>
      <x:c r="F221" s="34" t="n">
        <x:v>11</x:v>
      </x:c>
      <x:c r="G221" s="30" t="n">
        <x:v>2</x:v>
      </x:c>
    </x:row>
    <x:row r="222" ht="42" customHeight="1">
      <x:c r="A222" s="14" t="str">
        <x:v>липолитики сургут</x:v>
      </x:c>
      <x:c r="B222" s="14" t="str">
        <x:v>https://kozhaclinic.ru/inekcionnaya-kosmetologiya/lipolitiki/</x:v>
      </x:c>
      <x:c r="C222" s="31" t="n">
        <x:v>1</x:v>
      </x:c>
      <x:c r="D222" s="31" t="n">
        <x:v>14</x:v>
      </x:c>
      <x:c r="E222" s="33" t="n">
        <x:f>IF(AND(ISNUMBER(C222),ISNUMBER(D222),D222&gt;0),C222/D222,"")</x:f>
        <x:v>0.07142857142857142</x:v>
      </x:c>
      <x:c r="F222" s="35" t="n">
        <x:v>4.7</x:v>
      </x:c>
      <x:c r="G222" s="31" t="n">
        <x:v>14</x:v>
      </x:c>
    </x:row>
    <x:row r="223" ht="42" customHeight="1">
      <x:c r="A223" s="12" t="str">
        <x:v>миграция геля</x:v>
      </x:c>
      <x:c r="B223" s="12" t="str">
        <x:v>https://kozhaclinic.ru/migratsiya-gelya-iz-gub/</x:v>
      </x:c>
      <x:c r="C223" s="30" t="n">
        <x:v>0</x:v>
      </x:c>
      <x:c r="D223" s="30" t="n">
        <x:v>11</x:v>
      </x:c>
      <x:c r="E223" s="32" t="n">
        <x:f>IF(AND(ISNUMBER(C223),ISNUMBER(D223),D223&gt;0),C223/D223,"")</x:f>
        <x:v>0</x:v>
      </x:c>
      <x:c r="F223" s="34" t="n">
        <x:v>9</x:v>
      </x:c>
      <x:c r="G223" s="30" t="n">
        <x:v>12</x:v>
      </x:c>
    </x:row>
    <x:row r="224" ht="42" customHeight="1">
      <x:c r="A224" s="14" t="str">
        <x:v>можно ли делать чистку лица при розацеа</x:v>
      </x:c>
      <x:c r="B224" s="14" t="str">
        <x:v>https://kozhaclinic.ru/ubrat-rozatsea/</x:v>
      </x:c>
      <x:c r="C224" s="31" t="n">
        <x:v>0</x:v>
      </x:c>
      <x:c r="D224" s="31" t="n">
        <x:v>20</x:v>
      </x:c>
      <x:c r="E224" s="33" t="n">
        <x:f>IF(AND(ISNUMBER(C224),ISNUMBER(D224),D224&gt;0),C224/D224,"")</x:f>
        <x:v>0</x:v>
      </x:c>
      <x:c r="F224" s="35" t="n">
        <x:v>8.3</x:v>
      </x:c>
      <x:c r="G224" s="31" t="n">
        <x:v>22</x:v>
      </x:c>
    </x:row>
    <x:row r="225" ht="42" customHeight="1">
      <x:c r="A225" s="12" t="str">
        <x:v>удаление бородавок цена 296-222</x:v>
      </x:c>
      <x:c r="B225" s="12" t="str">
        <x:v>https://kozhaclinic.ru/</x:v>
      </x:c>
      <x:c r="C225" s="30" t="n">
        <x:v>0</x:v>
      </x:c>
      <x:c r="D225" s="30" t="n">
        <x:v>0</x:v>
      </x:c>
      <x:c r="E225" s="32" t="str">
        <x:f>IF(AND(ISNUMBER(C225),ISNUMBER(D225),D225&gt;0),C225/D225,"")</x:f>
      </x:c>
      <x:c r="F225" s="34"/>
      <x:c r="G225" s="30" t="n">
        <x:v>0</x:v>
      </x:c>
    </x:row>
    <x:row r="226" ht="42" customHeight="1">
      <x:c r="A226" s="14" t="str">
        <x:v>удаление бородавок цена alfa</x:v>
      </x:c>
      <x:c r="B226" s="14" t="str">
        <x:v>https://kozhaclinic.ru/</x:v>
      </x:c>
      <x:c r="C226" s="31" t="n">
        <x:v>0</x:v>
      </x:c>
      <x:c r="D226" s="31" t="n">
        <x:v>3</x:v>
      </x:c>
      <x:c r="E226" s="33" t="n">
        <x:f>IF(AND(ISNUMBER(C226),ISNUMBER(D226),D226&gt;0),C226/D226,"")</x:f>
        <x:v>0</x:v>
      </x:c>
      <x:c r="F226" s="35" t="n">
        <x:v>5</x:v>
      </x:c>
      <x:c r="G226" s="31" t="n">
        <x:v>3</x:v>
      </x:c>
    </x:row>
    <x:row r="227" ht="42" customHeight="1">
      <x:c r="A227" s="12" t="str">
        <x:v>удаление родинок цена 296-222</x:v>
      </x:c>
      <x:c r="B227" s="12" t="str">
        <x:v>https://kozhaclinic.ru/</x:v>
      </x:c>
      <x:c r="C227" s="30" t="n">
        <x:v>0</x:v>
      </x:c>
      <x:c r="D227" s="30" t="n">
        <x:v>0</x:v>
      </x:c>
      <x:c r="E227" s="32" t="str">
        <x:f>IF(AND(ISNUMBER(C227),ISNUMBER(D227),D227&gt;0),C227/D227,"")</x:f>
      </x:c>
      <x:c r="F227" s="34"/>
      <x:c r="G227" s="30" t="n">
        <x:v>0</x:v>
      </x:c>
    </x:row>
    <x:row r="228" ht="42" customHeight="1">
      <x:c r="A228" s="14" t="str">
        <x:v>как мигрирует гель в губах</x:v>
      </x:c>
      <x:c r="B228" s="14" t="str">
        <x:v>https://kozhaclinic.ru/migratsiya-gelya-iz-gub/</x:v>
      </x:c>
      <x:c r="C228" s="31" t="n">
        <x:v>0</x:v>
      </x:c>
      <x:c r="D228" s="31" t="n">
        <x:v>16</x:v>
      </x:c>
      <x:c r="E228" s="33" t="n">
        <x:f>IF(AND(ISNUMBER(C228),ISNUMBER(D228),D228&gt;0),C228/D228,"")</x:f>
        <x:v>0</x:v>
      </x:c>
      <x:c r="F228" s="35" t="n">
        <x:v>7.6</x:v>
      </x:c>
      <x:c r="G228" s="31" t="n">
        <x:v>19</x:v>
      </x:c>
    </x:row>
    <x:row r="229" ht="42" customHeight="1">
      <x:c r="A229" s="12" t="str">
        <x:v>косметолог в сургуте</x:v>
      </x:c>
      <x:c r="B229" s="12" t="str">
        <x:v>https://kozhaclinic.ru/</x:v>
      </x:c>
      <x:c r="C229" s="30" t="n">
        <x:v>0</x:v>
      </x:c>
      <x:c r="D229" s="30" t="n">
        <x:v>8</x:v>
      </x:c>
      <x:c r="E229" s="32" t="n">
        <x:f>IF(AND(ISNUMBER(C229),ISNUMBER(D229),D229&gt;0),C229/D229,"")</x:f>
        <x:v>0</x:v>
      </x:c>
      <x:c r="F229" s="34" t="n">
        <x:v>9.2</x:v>
      </x:c>
      <x:c r="G229" s="30" t="n">
        <x:v>9</x:v>
      </x:c>
    </x:row>
    <x:row r="230" ht="42" customHeight="1">
      <x:c r="A230" s="14" t="str">
        <x:v>мезотерапия цена</x:v>
      </x:c>
      <x:c r="B230" s="14" t="str">
        <x:v>https://kozhaclinic.ru/inekcionnaya-kosmetologiya/omolozhenie-i-pitanie-kozhi/mezoterapiya/</x:v>
      </x:c>
      <x:c r="C230" s="31" t="n">
        <x:v>0</x:v>
      </x:c>
      <x:c r="D230" s="31" t="n">
        <x:v>1</x:v>
      </x:c>
      <x:c r="E230" s="33" t="n">
        <x:f>IF(AND(ISNUMBER(C230),ISNUMBER(D230),D230&gt;0),C230/D230,"")</x:f>
        <x:v>0</x:v>
      </x:c>
      <x:c r="F230" s="35" t="n">
        <x:v>7</x:v>
      </x:c>
      <x:c r="G230" s="31" t="n">
        <x:v>4808</x:v>
      </x:c>
    </x:row>
    <x:row r="231" ht="42" customHeight="1">
      <x:c r="A231" s="12" t="str">
        <x:v>увеличение губ в сургуте</x:v>
      </x:c>
      <x:c r="B231" s="12" t="str">
        <x:v>https://kozhaclinic.ru/inekcionnaya-kosmetologiya/konturnaya-plastika/uvelichenie-gub/</x:v>
      </x:c>
      <x:c r="C231" s="30" t="n">
        <x:v>0</x:v>
      </x:c>
      <x:c r="D231" s="30" t="n">
        <x:v>6</x:v>
      </x:c>
      <x:c r="E231" s="32" t="n">
        <x:f>IF(AND(ISNUMBER(C231),ISNUMBER(D231),D231&gt;0),C231/D231,"")</x:f>
        <x:v>0</x:v>
      </x:c>
      <x:c r="F231" s="34" t="n">
        <x:v>5.5</x:v>
      </x:c>
      <x:c r="G231" s="30" t="n">
        <x:v>6</x:v>
      </x:c>
    </x:row>
    <x:row r="232" ht="42" customHeight="1">
      <x:c r="A232" s="14" t="str">
        <x:v>удаление бородавок лазером сургут</x:v>
      </x:c>
      <x:c r="B232" s="14" t="str">
        <x:v>https://kozhaclinic.ru/udalenie-novoobrazovanij/udalenie-borodavok/</x:v>
      </x:c>
      <x:c r="C232" s="31" t="n">
        <x:v>0</x:v>
      </x:c>
      <x:c r="D232" s="31" t="n">
        <x:v>6</x:v>
      </x:c>
      <x:c r="E232" s="33" t="n">
        <x:f>IF(AND(ISNUMBER(C232),ISNUMBER(D232),D232&gt;0),C232/D232,"")</x:f>
        <x:v>0</x:v>
      </x:c>
      <x:c r="F232" s="35" t="n">
        <x:v>4</x:v>
      </x:c>
      <x:c r="G232" s="31" t="n">
        <x:v>6</x:v>
      </x:c>
    </x:row>
    <x:row r="233" ht="42" customHeight="1">
      <x:c r="A233" s="12" t="str">
        <x:v>ботулинотерапия</x:v>
      </x:c>
      <x:c r="B233" s="12" t="str">
        <x:v>https://kozhaclinic.ru/inekcionnaya-kosmetologiya/botulinoterapiya/</x:v>
      </x:c>
      <x:c r="C233" s="30" t="n">
        <x:v>0</x:v>
      </x:c>
      <x:c r="D233" s="30" t="n">
        <x:v>27</x:v>
      </x:c>
      <x:c r="E233" s="32" t="n">
        <x:f>IF(AND(ISNUMBER(C233),ISNUMBER(D233),D233&gt;0),C233/D233,"")</x:f>
        <x:v>0</x:v>
      </x:c>
      <x:c r="F233" s="34" t="n">
        <x:v>4.7</x:v>
      </x:c>
      <x:c r="G233" s="30" t="n">
        <x:v>13110</x:v>
      </x:c>
    </x:row>
    <x:row r="234" ht="42" customHeight="1">
      <x:c r="A234" s="14" t="str">
        <x:v>процедура для сияния кожи лица</x:v>
      </x:c>
      <x:c r="B234" s="14" t="str">
        <x:v>https://kozhaclinic.ru/gladkost-i-siyanie-kozhi/</x:v>
      </x:c>
      <x:c r="C234" s="31" t="n">
        <x:v>0</x:v>
      </x:c>
      <x:c r="D234" s="31" t="n">
        <x:v>27</x:v>
      </x:c>
      <x:c r="E234" s="33" t="n">
        <x:f>IF(AND(ISNUMBER(C234),ISNUMBER(D234),D234&gt;0),C234/D234,"")</x:f>
        <x:v>0</x:v>
      </x:c>
      <x:c r="F234" s="35" t="n">
        <x:v>8</x:v>
      </x:c>
      <x:c r="G234" s="31" t="n">
        <x:v>41</x:v>
      </x:c>
    </x:row>
    <x:row r="235" ht="42" customHeight="1">
      <x:c r="A235" s="12" t="str">
        <x:v>удаление папиллом адреса альфа</x:v>
      </x:c>
      <x:c r="B235" s="12" t="str">
        <x:v>https://kozhaclinic.ru/udalenie-novoobrazovanij/udalenie-papilom/</x:v>
      </x:c>
      <x:c r="C235" s="30" t="n">
        <x:v>0</x:v>
      </x:c>
      <x:c r="D235" s="30" t="n">
        <x:v>1</x:v>
      </x:c>
      <x:c r="E235" s="32" t="n">
        <x:f>IF(AND(ISNUMBER(C235),ISNUMBER(D235),D235&gt;0),C235/D235,"")</x:f>
        <x:v>0</x:v>
      </x:c>
      <x:c r="F235" s="34" t="n">
        <x:v>9</x:v>
      </x:c>
      <x:c r="G235" s="30" t="n">
        <x:v>1</x:v>
      </x:c>
    </x:row>
    <x:row r="236" ht="42" customHeight="1">
      <x:c r="A236" s="14" t="str">
        <x:v>удаление папиллом цена 296-222</x:v>
      </x:c>
      <x:c r="B236" s="14" t="str">
        <x:v>https://kozhaclinic.ru/</x:v>
      </x:c>
      <x:c r="C236" s="31" t="n">
        <x:v>0</x:v>
      </x:c>
      <x:c r="D236" s="31" t="n">
        <x:v>1</x:v>
      </x:c>
      <x:c r="E236" s="33" t="n">
        <x:f>IF(AND(ISNUMBER(C236),ISNUMBER(D236),D236&gt;0),C236/D236,"")</x:f>
        <x:v>0</x:v>
      </x:c>
      <x:c r="F236" s="35" t="n">
        <x:v>5</x:v>
      </x:c>
      <x:c r="G236" s="31" t="n">
        <x:v>1</x:v>
      </x:c>
    </x:row>
    <x:row r="237" ht="42" customHeight="1">
      <x:c r="A237" s="12" t="str">
        <x:v>лечебная косметология сургут</x:v>
      </x:c>
      <x:c r="B237" s="12" t="str">
        <x:v>https://kozhaclinic.ru/</x:v>
      </x:c>
      <x:c r="C237" s="30" t="n">
        <x:v>0</x:v>
      </x:c>
      <x:c r="D237" s="30" t="n">
        <x:v>6</x:v>
      </x:c>
      <x:c r="E237" s="32" t="n">
        <x:f>IF(AND(ISNUMBER(C237),ISNUMBER(D237),D237&gt;0),C237/D237,"")</x:f>
        <x:v>0</x:v>
      </x:c>
      <x:c r="F237" s="34" t="n">
        <x:v>5.3</x:v>
      </x:c>
      <x:c r="G237" s="30" t="n">
        <x:v>6</x:v>
      </x:c>
    </x:row>
    <x:row r="238" ht="42" customHeight="1">
      <x:c r="A238" s="14" t="str">
        <x:v>удаление папиллом веко 296-222</x:v>
      </x:c>
      <x:c r="B238" s="14" t="str">
        <x:v>https://kozhaclinic.ru/udalenie-novoobrazovanij/udalenie-papilom/</x:v>
      </x:c>
      <x:c r="C238" s="31" t="n">
        <x:v>0</x:v>
      </x:c>
      <x:c r="D238" s="31" t="n">
        <x:v>0</x:v>
      </x:c>
      <x:c r="E238" s="33" t="str">
        <x:f>IF(AND(ISNUMBER(C238),ISNUMBER(D238),D238&gt;0),C238/D238,"")</x:f>
      </x:c>
      <x:c r="F238" s="35"/>
      <x:c r="G238" s="31" t="n">
        <x:v>0</x:v>
      </x:c>
    </x:row>
    <x:row r="239" ht="42" customHeight="1">
      <x:c r="A239" s="12" t="str">
        <x:v>лазерное удаление бородавок 296-222</x:v>
      </x:c>
      <x:c r="B239" s="12" t="str">
        <x:v>https://kozhaclinic.ru/udalenie-novoobrazovanij/</x:v>
      </x:c>
      <x:c r="C239" s="30" t="n">
        <x:v>0</x:v>
      </x:c>
      <x:c r="D239" s="30" t="n">
        <x:v>2</x:v>
      </x:c>
      <x:c r="E239" s="32" t="n">
        <x:f>IF(AND(ISNUMBER(C239),ISNUMBER(D239),D239&gt;0),C239/D239,"")</x:f>
        <x:v>0</x:v>
      </x:c>
      <x:c r="F239" s="34" t="n">
        <x:v>8.5</x:v>
      </x:c>
      <x:c r="G239" s="30" t="n">
        <x:v>2</x:v>
      </x:c>
    </x:row>
    <x:row r="240" ht="42" customHeight="1">
      <x:c r="A240" s="14" t="str">
        <x:v>миграция геля в губах фото</x:v>
      </x:c>
      <x:c r="B240" s="14" t="str">
        <x:v>https://kozhaclinic.ru/migratsiya-gelya-iz-gub/</x:v>
      </x:c>
      <x:c r="C240" s="31" t="n">
        <x:v>0</x:v>
      </x:c>
      <x:c r="D240" s="31" t="n">
        <x:v>14</x:v>
      </x:c>
      <x:c r="E240" s="33" t="n">
        <x:f>IF(AND(ISNUMBER(C240),ISNUMBER(D240),D240&gt;0),C240/D240,"")</x:f>
        <x:v>0</x:v>
      </x:c>
      <x:c r="F240" s="35" t="n">
        <x:v>9.7</x:v>
      </x:c>
      <x:c r="G240" s="31" t="n">
        <x:v>78</x:v>
      </x:c>
    </x:row>
    <x:row r="241" ht="42" customHeight="1">
      <x:c r="A241" s="12" t="str">
        <x:v>удаление папиллом ультразвуком avito.ru</x:v>
      </x:c>
      <x:c r="B241" s="12" t="str">
        <x:v>https://kozhaclinic.ru/udalenie-novoobrazovanij/udalenie-papilom/</x:v>
      </x:c>
      <x:c r="C241" s="30" t="n">
        <x:v>0</x:v>
      </x:c>
      <x:c r="D241" s="30" t="n">
        <x:v>0</x:v>
      </x:c>
      <x:c r="E241" s="32" t="str">
        <x:f>IF(AND(ISNUMBER(C241),ISNUMBER(D241),D241&gt;0),C241/D241,"")</x:f>
      </x:c>
      <x:c r="F241" s="34"/>
      <x:c r="G241" s="30" t="n">
        <x:v>0</x:v>
      </x:c>
    </x:row>
    <x:row r="242" ht="42" customHeight="1">
      <x:c r="A242" s="14" t="str">
        <x:v>удалить папилломы в сургуте цена и отзывы</x:v>
      </x:c>
      <x:c r="B242" s="14" t="str">
        <x:v>https://kozhaclinic.ru/udalenie-novoobrazovanij/udalenie-papilom/</x:v>
      </x:c>
      <x:c r="C242" s="31" t="n">
        <x:v>0</x:v>
      </x:c>
      <x:c r="D242" s="31" t="n">
        <x:v>5</x:v>
      </x:c>
      <x:c r="E242" s="33" t="n">
        <x:f>IF(AND(ISNUMBER(C242),ISNUMBER(D242),D242&gt;0),C242/D242,"")</x:f>
        <x:v>0</x:v>
      </x:c>
      <x:c r="F242" s="35" t="n">
        <x:v>9</x:v>
      </x:c>
      <x:c r="G242" s="31" t="n">
        <x:v>5</x:v>
      </x:c>
    </x:row>
    <x:row r="243" ht="42" customHeight="1">
      <x:c r="A243" s="12" t="str">
        <x:v>чистка лица в сургуте</x:v>
      </x:c>
      <x:c r="B243" s="12" t="str">
        <x:v>https://kozhaclinic.ru/</x:v>
      </x:c>
      <x:c r="C243" s="30" t="n">
        <x:v>0</x:v>
      </x:c>
      <x:c r="D243" s="30" t="n">
        <x:v>1</x:v>
      </x:c>
      <x:c r="E243" s="32" t="n">
        <x:f>IF(AND(ISNUMBER(C243),ISNUMBER(D243),D243&gt;0),C243/D243,"")</x:f>
        <x:v>0</x:v>
      </x:c>
      <x:c r="F243" s="34" t="n">
        <x:v>9</x:v>
      </x:c>
      <x:c r="G243" s="30" t="n">
        <x:v>4</x:v>
      </x:c>
    </x:row>
    <x:row r="244" ht="42" customHeight="1">
      <x:c r="A244" s="14" t="str">
        <x:v>как мигрирует филлер в губах</x:v>
      </x:c>
      <x:c r="B244" s="14" t="str">
        <x:v>https://kozhaclinic.ru/migratsiya-gelya-iz-gub/</x:v>
      </x:c>
      <x:c r="C244" s="31" t="n">
        <x:v>0</x:v>
      </x:c>
      <x:c r="D244" s="31" t="n">
        <x:v>15</x:v>
      </x:c>
      <x:c r="E244" s="33" t="n">
        <x:f>IF(AND(ISNUMBER(C244),ISNUMBER(D244),D244&gt;0),C244/D244,"")</x:f>
        <x:v>0</x:v>
      </x:c>
      <x:c r="F244" s="35" t="n">
        <x:v>8.3</x:v>
      </x:c>
      <x:c r="G244" s="31" t="n">
        <x:v>18</x:v>
      </x:c>
    </x:row>
    <x:row r="245" ht="42" customHeight="1">
      <x:c r="A245" s="12" t="str">
        <x:v>мигрирование филлера в губах</x:v>
      </x:c>
      <x:c r="B245" s="12" t="str">
        <x:v>https://kozhaclinic.ru/migratsiya-gelya-iz-gub/</x:v>
      </x:c>
      <x:c r="C245" s="30" t="n">
        <x:v>0</x:v>
      </x:c>
      <x:c r="D245" s="30" t="n">
        <x:v>10</x:v>
      </x:c>
      <x:c r="E245" s="32" t="n">
        <x:f>IF(AND(ISNUMBER(C245),ISNUMBER(D245),D245&gt;0),C245/D245,"")</x:f>
        <x:v>0</x:v>
      </x:c>
      <x:c r="F245" s="34" t="n">
        <x:v>9</x:v>
      </x:c>
      <x:c r="G245" s="30" t="n">
        <x:v>16</x:v>
      </x:c>
    </x:row>
    <x:row r="246" ht="42" customHeight="1">
      <x:c r="A246" s="14" t="str">
        <x:v>повышение гладкости кожи</x:v>
      </x:c>
      <x:c r="B246" s="14" t="str">
        <x:v>https://kozhaclinic.ru/gladkost-i-siyanie-kozhi/</x:v>
      </x:c>
      <x:c r="C246" s="31" t="n">
        <x:v>0</x:v>
      </x:c>
      <x:c r="D246" s="31" t="n">
        <x:v>0</x:v>
      </x:c>
      <x:c r="E246" s="33" t="str">
        <x:f>IF(AND(ISNUMBER(C246),ISNUMBER(D246),D246&gt;0),C246/D246,"")</x:f>
      </x:c>
      <x:c r="F246" s="35"/>
      <x:c r="G246" s="31" t="n">
        <x:v>0</x:v>
      </x:c>
    </x:row>
    <x:row r="247" ht="42" customHeight="1">
      <x:c r="A247" s="12" t="str">
        <x:v>удаление родинок сургут лазером</x:v>
      </x:c>
      <x:c r="B247" s="12" t="str">
        <x:v>https://kozhaclinic.ru/udalenie-novoobrazovanij/udalenie-rodinok/</x:v>
      </x:c>
      <x:c r="C247" s="30" t="n">
        <x:v>1</x:v>
      </x:c>
      <x:c r="D247" s="30" t="n">
        <x:v>5</x:v>
      </x:c>
      <x:c r="E247" s="32" t="n">
        <x:f>IF(AND(ISNUMBER(C247),ISNUMBER(D247),D247&gt;0),C247/D247,"")</x:f>
        <x:v>0.2</x:v>
      </x:c>
      <x:c r="F247" s="34" t="n">
        <x:v>8.6</x:v>
      </x:c>
      <x:c r="G247" s="30" t="n">
        <x:v>4</x:v>
      </x:c>
    </x:row>
    <x:row r="248" ht="42" customHeight="1">
      <x:c r="A248" s="14" t="str">
        <x:v>ботокс зона декольте</x:v>
      </x:c>
      <x:c r="B248" s="14" t="str">
        <x:v>https://kozhaclinic.ru/inekcionnaya-kosmetologiya/botulinoterapiya/botoks-dlya-shei-i-zony-dekolte/</x:v>
      </x:c>
      <x:c r="C248" s="31" t="n">
        <x:v>0</x:v>
      </x:c>
      <x:c r="D248" s="31" t="n">
        <x:v>9</x:v>
      </x:c>
      <x:c r="E248" s="33" t="n">
        <x:f>IF(AND(ISNUMBER(C248),ISNUMBER(D248),D248&gt;0),C248/D248,"")</x:f>
        <x:v>0</x:v>
      </x:c>
      <x:c r="F248" s="35" t="n">
        <x:v>5.3</x:v>
      </x:c>
      <x:c r="G248" s="31" t="n">
        <x:v>10</x:v>
      </x:c>
    </x:row>
    <x:row r="249" ht="42" customHeight="1">
      <x:c r="A249" s="12" t="str">
        <x:v>клиника лазерной эпиляции сургут</x:v>
      </x:c>
      <x:c r="B249" s="12" t="str">
        <x:v>https://kozhaclinic.ru/</x:v>
      </x:c>
      <x:c r="C249" s="30" t="n">
        <x:v>0</x:v>
      </x:c>
      <x:c r="D249" s="30" t="n">
        <x:v>2</x:v>
      </x:c>
      <x:c r="E249" s="32" t="n">
        <x:f>IF(AND(ISNUMBER(C249),ISNUMBER(D249),D249&gt;0),C249/D249,"")</x:f>
        <x:v>0</x:v>
      </x:c>
      <x:c r="F249" s="34" t="n">
        <x:v>12</x:v>
      </x:c>
      <x:c r="G249" s="30" t="n">
        <x:v>3</x:v>
      </x:c>
    </x:row>
    <x:row r="250" ht="42" customHeight="1">
      <x:c r="A250" s="14" t="str">
        <x:v>коллост под глаза</x:v>
      </x:c>
      <x:c r="B250" s="14" t="str">
        <x:v>https://kozhaclinic.ru/inekcionnaya-kosmetologiya/kollagenoterapiya/kollagenoterapiya-vokrug-glaz/</x:v>
      </x:c>
      <x:c r="C250" s="31" t="n">
        <x:v>0</x:v>
      </x:c>
      <x:c r="D250" s="31" t="n">
        <x:v>0</x:v>
      </x:c>
      <x:c r="E250" s="33" t="str">
        <x:f>IF(AND(ISNUMBER(C250),ISNUMBER(D250),D250&gt;0),C250/D250,"")</x:f>
      </x:c>
      <x:c r="F250" s="35"/>
      <x:c r="G250" s="31" t="n">
        <x:v>62</x:v>
      </x:c>
    </x:row>
    <x:row r="251" ht="42" customHeight="1">
      <x:c r="A251" s="12" t="str">
        <x:v>мигрирует ли филлер в губах</x:v>
      </x:c>
      <x:c r="B251" s="12" t="str">
        <x:v>https://kozhaclinic.ru/migratsiya-gelya-iz-gub/</x:v>
      </x:c>
      <x:c r="C251" s="30" t="n">
        <x:v>0</x:v>
      </x:c>
      <x:c r="D251" s="30" t="n">
        <x:v>14</x:v>
      </x:c>
      <x:c r="E251" s="32" t="n">
        <x:f>IF(AND(ISNUMBER(C251),ISNUMBER(D251),D251&gt;0),C251/D251,"")</x:f>
        <x:v>0</x:v>
      </x:c>
      <x:c r="F251" s="34" t="n">
        <x:v>7</x:v>
      </x:c>
      <x:c r="G251" s="30" t="n">
        <x:v>14</x:v>
      </x:c>
    </x:row>
    <x:row r="252" ht="42" customHeight="1">
      <x:c r="A252" s="14" t="str">
        <x:v>можно ли колоть межбровку без лба</x:v>
      </x:c>
      <x:c r="B252" s="14" t="str">
        <x:v>https://kozhaclinic.ru/inekcionnaya-kosmetologiya/botulinoterapiya/botulinoterapiya-v-lob-i-mezhbrove/</x:v>
      </x:c>
      <x:c r="C252" s="31" t="n">
        <x:v>0</x:v>
      </x:c>
      <x:c r="D252" s="31" t="n">
        <x:v>7</x:v>
      </x:c>
      <x:c r="E252" s="33" t="n">
        <x:f>IF(AND(ISNUMBER(C252),ISNUMBER(D252),D252&gt;0),C252/D252,"")</x:f>
        <x:v>0</x:v>
      </x:c>
      <x:c r="F252" s="35" t="n">
        <x:v>5.2</x:v>
      </x:c>
      <x:c r="G252" s="31" t="n">
        <x:v>10</x:v>
      </x:c>
    </x:row>
    <x:row r="253" ht="42" customHeight="1">
      <x:c r="A253" s="12" t="str">
        <x:v>азелаиновый пилинг для лица sanctum clinic</x:v>
      </x:c>
      <x:c r="B253" s="12" t="str">
        <x:v>https://kozhaclinic.ru/uhodovye-procedury/pilingi/azelainovyi-piling/</x:v>
      </x:c>
      <x:c r="C253" s="30" t="n">
        <x:v>0</x:v>
      </x:c>
      <x:c r="D253" s="30" t="n">
        <x:v>0</x:v>
      </x:c>
      <x:c r="E253" s="32" t="str">
        <x:f>IF(AND(ISNUMBER(C253),ISNUMBER(D253),D253&gt;0),C253/D253,"")</x:f>
      </x:c>
      <x:c r="F253" s="34"/>
      <x:c r="G253" s="30" t="n">
        <x:v>0</x:v>
      </x:c>
    </x:row>
    <x:row r="254" ht="42" customHeight="1">
      <x:c r="A254" s="14" t="str">
        <x:v>удаление папиллом 296-222</x:v>
      </x:c>
      <x:c r="B254" s="14" t="str">
        <x:v>https://kozhaclinic.ru/udalenie-novoobrazovanij/udalenie-papilom/</x:v>
      </x:c>
      <x:c r="C254" s="31" t="n">
        <x:v>0</x:v>
      </x:c>
      <x:c r="D254" s="31" t="n">
        <x:v>1</x:v>
      </x:c>
      <x:c r="E254" s="33" t="n">
        <x:f>IF(AND(ISNUMBER(C254),ISNUMBER(D254),D254&gt;0),C254/D254,"")</x:f>
        <x:v>0</x:v>
      </x:c>
      <x:c r="F254" s="35" t="n">
        <x:v>3</x:v>
      </x:c>
      <x:c r="G254" s="31" t="n">
        <x:v>2</x:v>
      </x:c>
    </x:row>
    <x:row r="255" ht="42" customHeight="1">
      <x:c r="A255" s="12" t="str">
        <x:v>удаление папиллом цена alfa</x:v>
      </x:c>
      <x:c r="B255" s="12" t="str">
        <x:v>https://kozhaclinic.ru/udalenie-novoobrazovanij/udalenie-papilom/</x:v>
      </x:c>
      <x:c r="C255" s="30" t="n">
        <x:v>0</x:v>
      </x:c>
      <x:c r="D255" s="30" t="n">
        <x:v>1</x:v>
      </x:c>
      <x:c r="E255" s="32" t="n">
        <x:f>IF(AND(ISNUMBER(C255),ISNUMBER(D255),D255&gt;0),C255/D255,"")</x:f>
        <x:v>0</x:v>
      </x:c>
      <x:c r="F255" s="34" t="n">
        <x:v>9</x:v>
      </x:c>
      <x:c r="G255" s="30" t="n">
        <x:v>1</x:v>
      </x:c>
    </x:row>
    <x:row r="256" ht="42" customHeight="1">
      <x:c r="A256" s="14" t="str">
        <x:v>удаление папиллом цена альфа</x:v>
      </x:c>
      <x:c r="B256" s="14" t="str">
        <x:v>https://kozhaclinic.ru/udalenie-novoobrazovanij/udalenie-papilom/</x:v>
      </x:c>
      <x:c r="C256" s="31" t="n">
        <x:v>0</x:v>
      </x:c>
      <x:c r="D256" s="31" t="n">
        <x:v>1</x:v>
      </x:c>
      <x:c r="E256" s="33" t="n">
        <x:f>IF(AND(ISNUMBER(C256),ISNUMBER(D256),D256&gt;0),C256/D256,"")</x:f>
        <x:v>0</x:v>
      </x:c>
      <x:c r="F256" s="35" t="n">
        <x:v>5</x:v>
      </x:c>
      <x:c r="G256" s="31" t="n">
        <x:v>1</x:v>
      </x:c>
    </x:row>
    <x:row r="257" ht="42" customHeight="1">
      <x:c r="A257" s="12" t="str">
        <x:v>из за чего может мигрировать филлер в губах</x:v>
      </x:c>
      <x:c r="B257" s="12" t="str">
        <x:v>https://kozhaclinic.ru/migratsiya-gelya-iz-gub/</x:v>
      </x:c>
      <x:c r="C257" s="30" t="n">
        <x:v>0</x:v>
      </x:c>
      <x:c r="D257" s="30" t="n">
        <x:v>7</x:v>
      </x:c>
      <x:c r="E257" s="32" t="n">
        <x:f>IF(AND(ISNUMBER(C257),ISNUMBER(D257),D257&gt;0),C257/D257,"")</x:f>
        <x:v>0</x:v>
      </x:c>
      <x:c r="F257" s="34" t="n">
        <x:v>8.8</x:v>
      </x:c>
      <x:c r="G257" s="30" t="n">
        <x:v>13</x:v>
      </x:c>
    </x:row>
    <x:row r="258" ht="42" customHeight="1">
      <x:c r="A258" s="14" t="str">
        <x:v>как выглядит миграция филлера в губах</x:v>
      </x:c>
      <x:c r="B258" s="14" t="str">
        <x:v>https://kozhaclinic.ru/migratsiya-gelya-iz-gub/</x:v>
      </x:c>
      <x:c r="C258" s="31" t="n">
        <x:v>1</x:v>
      </x:c>
      <x:c r="D258" s="31" t="n">
        <x:v>8</x:v>
      </x:c>
      <x:c r="E258" s="33" t="n">
        <x:f>IF(AND(ISNUMBER(C258),ISNUMBER(D258),D258&gt;0),C258/D258,"")</x:f>
        <x:v>0.125</x:v>
      </x:c>
      <x:c r="F258" s="35" t="n">
        <x:v>10.1</x:v>
      </x:c>
      <x:c r="G258" s="31" t="n">
        <x:v>132</x:v>
      </x:c>
    </x:row>
    <x:row r="259" ht="42" customHeight="1">
      <x:c r="A259" s="12" t="str">
        <x:v>полимолочная кислота под глаза xn----7sbckhcwngejxcb4bs8sma.xn--p1ai</x:v>
      </x:c>
      <x:c r="B259" s="12" t="str">
        <x:v>https://kozhaclinic.ru/inekcionnaya-kosmetologiya/omolozhenie-i-pitanie-kozhi/polimolochnaya-kislota/</x:v>
      </x:c>
      <x:c r="C259" s="30" t="n">
        <x:v>0</x:v>
      </x:c>
      <x:c r="D259" s="30" t="n">
        <x:v>0</x:v>
      </x:c>
      <x:c r="E259" s="32" t="str">
        <x:f>IF(AND(ISNUMBER(C259),ISNUMBER(D259),D259&gt;0),C259/D259,"")</x:f>
      </x:c>
      <x:c r="F259" s="34"/>
      <x:c r="G259" s="30" t="n">
        <x:v>0</x:v>
      </x:c>
    </x:row>
    <x:row r="260" ht="42" customHeight="1">
      <x:c r="A260" s="14" t="str">
        <x:v>почему мигрирует филлер в губах после увеличения</x:v>
      </x:c>
      <x:c r="B260" s="14" t="str">
        <x:v>https://kozhaclinic.ru/migratsiya-gelya-iz-gub/</x:v>
      </x:c>
      <x:c r="C260" s="31" t="n">
        <x:v>0</x:v>
      </x:c>
      <x:c r="D260" s="31" t="n">
        <x:v>9</x:v>
      </x:c>
      <x:c r="E260" s="33" t="n">
        <x:f>IF(AND(ISNUMBER(C260),ISNUMBER(D260),D260&gt;0),C260/D260,"")</x:f>
        <x:v>0</x:v>
      </x:c>
      <x:c r="F260" s="35" t="n">
        <x:v>9.4</x:v>
      </x:c>
      <x:c r="G260" s="31" t="n">
        <x:v>14</x:v>
      </x:c>
    </x:row>
    <x:row r="261" ht="42" customHeight="1">
      <x:c r="A261" s="12" t="str">
        <x:v>сургут ленина 18</x:v>
      </x:c>
      <x:c r="B261" s="12" t="str">
        <x:v>https://kozhaclinic.ru/</x:v>
      </x:c>
      <x:c r="C261" s="30" t="n">
        <x:v>0</x:v>
      </x:c>
      <x:c r="D261" s="30" t="n">
        <x:v>5</x:v>
      </x:c>
      <x:c r="E261" s="32" t="n">
        <x:f>IF(AND(ISNUMBER(C261),ISNUMBER(D261),D261&gt;0),C261/D261,"")</x:f>
        <x:v>0</x:v>
      </x:c>
      <x:c r="F261" s="34" t="n">
        <x:v>11.4</x:v>
      </x:c>
      <x:c r="G261" s="30" t="n">
        <x:v>8</x:v>
      </x:c>
    </x:row>
    <x:row r="262" ht="42" customHeight="1">
      <x:c r="A262" s="14" t="str">
        <x:v>удаление бородавок лазером 296-222</x:v>
      </x:c>
      <x:c r="B262" s="14" t="str">
        <x:v>https://kozhaclinic.ru/</x:v>
      </x:c>
      <x:c r="C262" s="31" t="n">
        <x:v>0</x:v>
      </x:c>
      <x:c r="D262" s="31" t="n">
        <x:v>1</x:v>
      </x:c>
      <x:c r="E262" s="33" t="n">
        <x:f>IF(AND(ISNUMBER(C262),ISNUMBER(D262),D262&gt;0),C262/D262,"")</x:f>
        <x:v>0</x:v>
      </x:c>
      <x:c r="F262" s="35" t="n">
        <x:v>8</x:v>
      </x:c>
      <x:c r="G262" s="31" t="n">
        <x:v>1</x:v>
      </x:c>
    </x:row>
    <x:row r="263" ht="42" customHeight="1">
      <x:c r="A263" s="12" t="str">
        <x:v>удаление папиллом адреса 296-222</x:v>
      </x:c>
      <x:c r="B263" s="12" t="str">
        <x:v>https://kozhaclinic.ru/udalenie-novoobrazovanij/</x:v>
      </x:c>
      <x:c r="C263" s="30" t="n">
        <x:v>0</x:v>
      </x:c>
      <x:c r="D263" s="30" t="n">
        <x:v>1</x:v>
      </x:c>
      <x:c r="E263" s="32" t="n">
        <x:f>IF(AND(ISNUMBER(C263),ISNUMBER(D263),D263&gt;0),C263/D263,"")</x:f>
        <x:v>0</x:v>
      </x:c>
      <x:c r="F263" s="34" t="n">
        <x:v>9</x:v>
      </x:c>
      <x:c r="G263" s="30" t="n">
        <x:v>2</x:v>
      </x:c>
    </x:row>
    <x:row r="264" ht="42" customHeight="1">
      <x:c r="A264" s="14" t="str">
        <x:v>капельница детоксикация</x:v>
      </x:c>
      <x:c r="B264" s="14" t="str">
        <x:v>https://kozhaclinic.ru/iv-terapiya/detoksikatsiya/</x:v>
      </x:c>
      <x:c r="C264" s="31" t="n">
        <x:v>0</x:v>
      </x:c>
      <x:c r="D264" s="31" t="n">
        <x:v>0</x:v>
      </x:c>
      <x:c r="E264" s="33" t="str">
        <x:f>IF(AND(ISNUMBER(C264),ISNUMBER(D264),D264&gt;0),C264/D264,"")</x:f>
      </x:c>
      <x:c r="F264" s="35"/>
      <x:c r="G264" s="31" t="n">
        <x:v>338</x:v>
      </x:c>
    </x:row>
    <x:row r="265" ht="42" customHeight="1">
      <x:c r="A265" s="12" t="str">
        <x:v>лазерная шлифовка сургут</x:v>
      </x:c>
      <x:c r="B265" s="12" t="str">
        <x:v>https://kozhaclinic.ru/ubrat-shram/</x:v>
      </x:c>
      <x:c r="C265" s="30" t="n">
        <x:v>0</x:v>
      </x:c>
      <x:c r="D265" s="30" t="n">
        <x:v>13</x:v>
      </x:c>
      <x:c r="E265" s="32" t="n">
        <x:f>IF(AND(ISNUMBER(C265),ISNUMBER(D265),D265&gt;0),C265/D265,"")</x:f>
        <x:v>0</x:v>
      </x:c>
      <x:c r="F265" s="34" t="n">
        <x:v>8.3</x:v>
      </x:c>
      <x:c r="G265" s="30" t="n">
        <x:v>15</x:v>
      </x:c>
    </x:row>
    <x:row r="266" ht="42" customHeight="1">
      <x:c r="A266" s="14" t="str">
        <x:v>можно ли загорать при розацеа</x:v>
      </x:c>
      <x:c r="B266" s="14" t="str">
        <x:v>https://kozhaclinic.ru/ubrat-rozatsea/</x:v>
      </x:c>
      <x:c r="C266" s="31" t="n">
        <x:v>0</x:v>
      </x:c>
      <x:c r="D266" s="31" t="n">
        <x:v>1</x:v>
      </x:c>
      <x:c r="E266" s="33" t="n">
        <x:f>IF(AND(ISNUMBER(C266),ISNUMBER(D266),D266&gt;0),C266/D266,"")</x:f>
        <x:v>0</x:v>
      </x:c>
      <x:c r="F266" s="35" t="n">
        <x:v>4</x:v>
      </x:c>
      <x:c r="G266" s="31" t="n">
        <x:v>1</x:v>
      </x:c>
    </x:row>
    <x:row r="267" ht="42" customHeight="1">
      <x:c r="A267" s="12" t="str">
        <x:v>почему происходит миграция филлера в губах</x:v>
      </x:c>
      <x:c r="B267" s="12" t="str">
        <x:v>https://kozhaclinic.ru/migratsiya-gelya-iz-gub/</x:v>
      </x:c>
      <x:c r="C267" s="30" t="n">
        <x:v>0</x:v>
      </x:c>
      <x:c r="D267" s="30" t="n">
        <x:v>13</x:v>
      </x:c>
      <x:c r="E267" s="32" t="n">
        <x:f>IF(AND(ISNUMBER(C267),ISNUMBER(D267),D267&gt;0),C267/D267,"")</x:f>
        <x:v>0</x:v>
      </x:c>
      <x:c r="F267" s="34" t="n">
        <x:v>9.1</x:v>
      </x:c>
      <x:c r="G267" s="30" t="n">
        <x:v>25</x:v>
      </x:c>
    </x:row>
    <x:row r="268" ht="42" customHeight="1">
      <x:c r="A268" s="14" t="str">
        <x:v>сургут удаление бородавок</x:v>
      </x:c>
      <x:c r="B268" s="14" t="str">
        <x:v>https://kozhaclinic.ru/udalenie-novoobrazovanij/udalenie-borodavok/</x:v>
      </x:c>
      <x:c r="C268" s="31" t="n">
        <x:v>0</x:v>
      </x:c>
      <x:c r="D268" s="31" t="n">
        <x:v>5</x:v>
      </x:c>
      <x:c r="E268" s="33" t="n">
        <x:f>IF(AND(ISNUMBER(C268),ISNUMBER(D268),D268&gt;0),C268/D268,"")</x:f>
        <x:v>0</x:v>
      </x:c>
      <x:c r="F268" s="35" t="n">
        <x:v>4.4</x:v>
      </x:c>
      <x:c r="G268" s="31" t="n">
        <x:v>5</x:v>
      </x:c>
    </x:row>
    <x:row r="269" ht="42" customHeight="1">
      <x:c r="A269" s="12" t="str">
        <x:v>таскаева дарья геннадьевна</x:v>
      </x:c>
      <x:c r="B269" s="12" t="str">
        <x:v>https://kozhaclinic.ru/o-nas/specialisty/taskaeva-darya-gennadevna/</x:v>
      </x:c>
      <x:c r="C269" s="30" t="n">
        <x:v>0</x:v>
      </x:c>
      <x:c r="D269" s="30" t="n">
        <x:v>3</x:v>
      </x:c>
      <x:c r="E269" s="32" t="n">
        <x:f>IF(AND(ISNUMBER(C269),ISNUMBER(D269),D269&gt;0),C269/D269,"")</x:f>
        <x:v>0</x:v>
      </x:c>
      <x:c r="F269" s="34" t="n">
        <x:v>9.6</x:v>
      </x:c>
      <x:c r="G269" s="30" t="n">
        <x:v>6</x:v>
      </x:c>
    </x:row>
    <x:row r="270" ht="42" customHeight="1">
      <x:c r="A270" s="14" t="str">
        <x:v>удаление папилломы цена</x:v>
      </x:c>
      <x:c r="B270" s="14" t="str">
        <x:v>https://kozhaclinic.ru/udalenie-novoobrazovanij/udalenie-papilom/</x:v>
      </x:c>
      <x:c r="C270" s="31" t="n">
        <x:v>0</x:v>
      </x:c>
      <x:c r="D270" s="31" t="n">
        <x:v>2</x:v>
      </x:c>
      <x:c r="E270" s="33" t="n">
        <x:f>IF(AND(ISNUMBER(C270),ISNUMBER(D270),D270&gt;0),C270/D270,"")</x:f>
        <x:v>0</x:v>
      </x:c>
      <x:c r="F270" s="35" t="n">
        <x:v>8.5</x:v>
      </x:c>
      <x:c r="G270" s="31" t="n">
        <x:v>101</x:v>
      </x:c>
    </x:row>
    <x:row r="271" ht="42" customHeight="1">
      <x:c r="A271" s="12" t="str">
        <x:v>ooo-medicina.ru удаление гиалуроновой кислоты</x:v>
      </x:c>
      <x:c r="B271" s="12" t="str">
        <x:v>https://kozhaclinic.ru/inekcionnaya-kosmetologiya/vyvedenie-fillera/</x:v>
      </x:c>
      <x:c r="C271" s="30" t="n">
        <x:v>0</x:v>
      </x:c>
      <x:c r="D271" s="30" t="n">
        <x:v>4</x:v>
      </x:c>
      <x:c r="E271" s="32" t="n">
        <x:f>IF(AND(ISNUMBER(C271),ISNUMBER(D271),D271&gt;0),C271/D271,"")</x:f>
        <x:v>0</x:v>
      </x:c>
      <x:c r="F271" s="34" t="n">
        <x:v>4.7</x:v>
      </x:c>
      <x:c r="G271" s="30" t="n">
        <x:v>123</x:v>
      </x:c>
    </x:row>
    <x:row r="272" ht="42" customHeight="1">
      <x:c r="A272" s="14" t="str">
        <x:v>клиники косметологии сургут</x:v>
      </x:c>
      <x:c r="B272" s="14" t="str">
        <x:v>https://kozhaclinic.ru/</x:v>
      </x:c>
      <x:c r="C272" s="31" t="n">
        <x:v>1</x:v>
      </x:c>
      <x:c r="D272" s="31" t="n">
        <x:v>5</x:v>
      </x:c>
      <x:c r="E272" s="33" t="n">
        <x:f>IF(AND(ISNUMBER(C272),ISNUMBER(D272),D272&gt;0),C272/D272,"")</x:f>
        <x:v>0.2</x:v>
      </x:c>
      <x:c r="F272" s="35" t="n">
        <x:v>7</x:v>
      </x:c>
      <x:c r="G272" s="31" t="n">
        <x:v>7</x:v>
      </x:c>
    </x:row>
    <x:row r="273" ht="42" customHeight="1">
      <x:c r="A273" s="12" t="str">
        <x:v>косметолог сургут ботокс</x:v>
      </x:c>
      <x:c r="B273" s="12" t="str">
        <x:v>https://kozhaclinic.ru/inekcionnaya-kosmetologiya/botulinoterapiya/</x:v>
      </x:c>
      <x:c r="C273" s="30" t="n">
        <x:v>0</x:v>
      </x:c>
      <x:c r="D273" s="30" t="n">
        <x:v>5</x:v>
      </x:c>
      <x:c r="E273" s="32" t="n">
        <x:f>IF(AND(ISNUMBER(C273),ISNUMBER(D273),D273&gt;0),C273/D273,"")</x:f>
        <x:v>0</x:v>
      </x:c>
      <x:c r="F273" s="34" t="n">
        <x:v>4.8</x:v>
      </x:c>
      <x:c r="G273" s="30" t="n">
        <x:v>5</x:v>
      </x:c>
    </x:row>
    <x:row r="274" ht="42" customHeight="1">
      <x:c r="A274" s="14" t="str">
        <x:v>косметологи сургут</x:v>
      </x:c>
      <x:c r="B274" s="14" t="str">
        <x:v>https://kozhaclinic.ru/</x:v>
      </x:c>
      <x:c r="C274" s="31" t="n">
        <x:v>0</x:v>
      </x:c>
      <x:c r="D274" s="31" t="n">
        <x:v>3</x:v>
      </x:c>
      <x:c r="E274" s="33" t="n">
        <x:f>IF(AND(ISNUMBER(C274),ISNUMBER(D274),D274&gt;0),C274/D274,"")</x:f>
        <x:v>0</x:v>
      </x:c>
      <x:c r="F274" s="35" t="n">
        <x:v>10.6</x:v>
      </x:c>
      <x:c r="G274" s="31" t="n">
        <x:v>13</x:v>
      </x:c>
    </x:row>
    <x:row r="275" ht="42" customHeight="1">
      <x:c r="A275" s="12" t="str">
        <x:v>куда может мигрировать филлер из губ</x:v>
      </x:c>
      <x:c r="B275" s="12" t="str">
        <x:v>https://kozhaclinic.ru/migratsiya-gelya-iz-gub/</x:v>
      </x:c>
      <x:c r="C275" s="30" t="n">
        <x:v>1</x:v>
      </x:c>
      <x:c r="D275" s="30" t="n">
        <x:v>12</x:v>
      </x:c>
      <x:c r="E275" s="32" t="n">
        <x:f>IF(AND(ISNUMBER(C275),ISNUMBER(D275),D275&gt;0),C275/D275,"")</x:f>
        <x:v>0.08333333333333333</x:v>
      </x:c>
      <x:c r="F275" s="34" t="n">
        <x:v>8.3</x:v>
      </x:c>
      <x:c r="G275" s="30" t="n">
        <x:v>12</x:v>
      </x:c>
    </x:row>
    <x:row r="276" ht="42" customHeight="1">
      <x:c r="A276" s="14" t="str">
        <x:v>подтяжка лица сургут цена</x:v>
      </x:c>
      <x:c r="B276" s="14" t="str">
        <x:v>https://kozhaclinic.ru/podtyazhka-kozhi-litsa/</x:v>
      </x:c>
      <x:c r="C276" s="31" t="n">
        <x:v>0</x:v>
      </x:c>
      <x:c r="D276" s="31" t="n">
        <x:v>4</x:v>
      </x:c>
      <x:c r="E276" s="33" t="n">
        <x:f>IF(AND(ISNUMBER(C276),ISNUMBER(D276),D276&gt;0),C276/D276,"")</x:f>
        <x:v>0</x:v>
      </x:c>
      <x:c r="F276" s="35" t="n">
        <x:v>12</x:v>
      </x:c>
      <x:c r="G276" s="31" t="n">
        <x:v>8</x:v>
      </x:c>
    </x:row>
    <x:row r="277" ht="42" customHeight="1">
      <x:c r="A277" s="12" t="str">
        <x:v>почему гель мигрирует в губах</x:v>
      </x:c>
      <x:c r="B277" s="12" t="str">
        <x:v>https://kozhaclinic.ru/migratsiya-gelya-iz-gub/</x:v>
      </x:c>
      <x:c r="C277" s="30" t="n">
        <x:v>1</x:v>
      </x:c>
      <x:c r="D277" s="30" t="n">
        <x:v>7</x:v>
      </x:c>
      <x:c r="E277" s="32" t="n">
        <x:f>IF(AND(ISNUMBER(C277),ISNUMBER(D277),D277&gt;0),C277/D277,"")</x:f>
        <x:v>0.14285714285714285</x:v>
      </x:c>
      <x:c r="F277" s="34" t="n">
        <x:v>8.4</x:v>
      </x:c>
      <x:c r="G277" s="30" t="n">
        <x:v>11</x:v>
      </x:c>
    </x:row>
    <x:row r="278" ht="42" customHeight="1">
      <x:c r="A278" s="14" t="str">
        <x:v>эстетическая медицинская косметология</x:v>
      </x:c>
      <x:c r="B278" s="14" t="str">
        <x:v>https://kozhaclinic.ru/</x:v>
      </x:c>
      <x:c r="C278" s="31" t="n">
        <x:v>0</x:v>
      </x:c>
      <x:c r="D278" s="31" t="n">
        <x:v>1</x:v>
      </x:c>
      <x:c r="E278" s="33" t="n">
        <x:f>IF(AND(ISNUMBER(C278),ISNUMBER(D278),D278&gt;0),C278/D278,"")</x:f>
        <x:v>0</x:v>
      </x:c>
      <x:c r="F278" s="35" t="n">
        <x:v>12</x:v>
      </x:c>
      <x:c r="G278" s="31" t="n">
        <x:v>61</x:v>
      </x:c>
    </x:row>
    <x:row r="279" ht="42" customHeight="1">
      <x:c r="A279" s="12" t="str">
        <x:v>гладкая кожа</x:v>
      </x:c>
      <x:c r="B279" s="12" t="str">
        <x:v>https://kozhaclinic.ru/gladkost-i-siyanie-kozhi/</x:v>
      </x:c>
      <x:c r="C279" s="30" t="n">
        <x:v>1</x:v>
      </x:c>
      <x:c r="D279" s="30" t="n">
        <x:v>34</x:v>
      </x:c>
      <x:c r="E279" s="32" t="n">
        <x:f>IF(AND(ISNUMBER(C279),ISNUMBER(D279),D279&gt;0),C279/D279,"")</x:f>
        <x:v>0.029411764705882353</x:v>
      </x:c>
      <x:c r="F279" s="34" t="n">
        <x:v>6.8</x:v>
      </x:c>
      <x:c r="G279" s="30" t="n">
        <x:v>93</x:v>
      </x:c>
    </x:row>
    <x:row r="280" ht="42" customHeight="1">
      <x:c r="A280" s="14" t="str">
        <x:v>коллост под глаза эффект</x:v>
      </x:c>
      <x:c r="B280" s="14" t="str">
        <x:v>https://kozhaclinic.ru/inekcionnaya-kosmetologiya/kollagenoterapiya/kollagenoterapiya-vokrug-glaz/</x:v>
      </x:c>
      <x:c r="C280" s="31" t="n">
        <x:v>0</x:v>
      </x:c>
      <x:c r="D280" s="31" t="n">
        <x:v>0</x:v>
      </x:c>
      <x:c r="E280" s="33" t="str">
        <x:f>IF(AND(ISNUMBER(C280),ISNUMBER(D280),D280&gt;0),C280/D280,"")</x:f>
      </x:c>
      <x:c r="F280" s="35"/>
      <x:c r="G280" s="31" t="n">
        <x:v>34</x:v>
      </x:c>
    </x:row>
    <x:row r="281" ht="42" customHeight="1">
      <x:c r="A281" s="12" t="str">
        <x:v>пилинг джесснера медидерма</x:v>
      </x:c>
      <x:c r="B281" s="12" t="str">
        <x:v>https://kozhaclinic.ru/uhodovye-procedury/pilingi/piling-dzhessnera-j2-mediderma/</x:v>
      </x:c>
      <x:c r="C281" s="30" t="n">
        <x:v>0</x:v>
      </x:c>
      <x:c r="D281" s="30" t="n">
        <x:v>0</x:v>
      </x:c>
      <x:c r="E281" s="32" t="str">
        <x:f>IF(AND(ISNUMBER(C281),ISNUMBER(D281),D281&gt;0),C281/D281,"")</x:f>
      </x:c>
      <x:c r="F281" s="34"/>
      <x:c r="G281" s="30" t="n">
        <x:v>26</x:v>
      </x:c>
    </x:row>
    <x:row r="282" ht="42" customHeight="1">
      <x:c r="A282" s="14" t="str">
        <x:v>стоимость рф лифтинга лица</x:v>
      </x:c>
      <x:c r="B282" s="14" t="str">
        <x:v>https://kozhaclinic.ru/apparatnaya-kosmetologiya/igolchatyy-rf-lifting-na-morpheus-8/</x:v>
      </x:c>
      <x:c r="C282" s="31" t="n">
        <x:v>0</x:v>
      </x:c>
      <x:c r="D282" s="31" t="n">
        <x:v>0</x:v>
      </x:c>
      <x:c r="E282" s="33" t="str">
        <x:f>IF(AND(ISNUMBER(C282),ISNUMBER(D282),D282&gt;0),C282/D282,"")</x:f>
      </x:c>
      <x:c r="F282" s="35"/>
      <x:c r="G282" s="31" t="n">
        <x:v>139</x:v>
      </x:c>
    </x:row>
    <x:row r="283" ht="42" customHeight="1">
      <x:c r="A283" s="12" t="str">
        <x:v>удаление папиллом сургут лазером</x:v>
      </x:c>
      <x:c r="B283" s="12" t="str">
        <x:v>https://kozhaclinic.ru/udalenie-novoobrazovanij/</x:v>
      </x:c>
      <x:c r="C283" s="30" t="n">
        <x:v>0</x:v>
      </x:c>
      <x:c r="D283" s="30" t="n">
        <x:v>6</x:v>
      </x:c>
      <x:c r="E283" s="32" t="n">
        <x:f>IF(AND(ISNUMBER(C283),ISNUMBER(D283),D283&gt;0),C283/D283,"")</x:f>
        <x:v>0</x:v>
      </x:c>
      <x:c r="F283" s="34" t="n">
        <x:v>9.8</x:v>
      </x:c>
      <x:c r="G283" s="30" t="n">
        <x:v>8</x:v>
      </x:c>
    </x:row>
    <x:row r="284" ht="42" customHeight="1">
      <x:c r="A284" s="14" t="str">
        <x:v>удаление родинок и папиллом альфа</x:v>
      </x:c>
      <x:c r="B284" s="14" t="str">
        <x:v>https://kozhaclinic.ru/</x:v>
      </x:c>
      <x:c r="C284" s="31" t="n">
        <x:v>0</x:v>
      </x:c>
      <x:c r="D284" s="31" t="n">
        <x:v>2</x:v>
      </x:c>
      <x:c r="E284" s="33" t="n">
        <x:f>IF(AND(ISNUMBER(C284),ISNUMBER(D284),D284&gt;0),C284/D284,"")</x:f>
        <x:v>0</x:v>
      </x:c>
      <x:c r="F284" s="35" t="n">
        <x:v>6</x:v>
      </x:c>
      <x:c r="G284" s="31" t="n">
        <x:v>2</x:v>
      </x:c>
    </x:row>
    <x:row r="285" ht="42" customHeight="1">
      <x:c r="A285" s="12" t="str">
        <x:v>чистка кожи спины от прыщей</x:v>
      </x:c>
      <x:c r="B285" s="12" t="str">
        <x:v>https://kozhaclinic.ru/uhodovye-procedury/chistki-litsa-i-spiny/chistka-spiny/</x:v>
      </x:c>
      <x:c r="C285" s="30" t="n">
        <x:v>0</x:v>
      </x:c>
      <x:c r="D285" s="30" t="n">
        <x:v>14</x:v>
      </x:c>
      <x:c r="E285" s="32" t="n">
        <x:f>IF(AND(ISNUMBER(C285),ISNUMBER(D285),D285&gt;0),C285/D285,"")</x:f>
        <x:v>0</x:v>
      </x:c>
      <x:c r="F285" s="34" t="n">
        <x:v>36</x:v>
      </x:c>
      <x:c r="G285" s="30" t="n">
        <x:v>22</x:v>
      </x:c>
    </x:row>
    <x:row r="286" ht="42" customHeight="1">
      <x:c r="A286" s="14" t="str">
        <x:v>ботокс в сургуте</x:v>
      </x:c>
      <x:c r="B286" s="14" t="str">
        <x:v>https://kozhaclinic.ru/inekcionnaya-kosmetologiya/botulinoterapiya/</x:v>
      </x:c>
      <x:c r="C286" s="31" t="n">
        <x:v>4</x:v>
      </x:c>
      <x:c r="D286" s="31" t="n">
        <x:v>9</x:v>
      </x:c>
      <x:c r="E286" s="33" t="n">
        <x:f>IF(AND(ISNUMBER(C286),ISNUMBER(D286),D286&gt;0),C286/D286,"")</x:f>
        <x:v>0.4444444444444444</x:v>
      </x:c>
      <x:c r="F286" s="35" t="n">
        <x:v>5</x:v>
      </x:c>
      <x:c r="G286" s="31" t="n">
        <x:v>6</x:v>
      </x:c>
    </x:row>
    <x:row r="287" ht="42" customHeight="1">
      <x:c r="A287" s="12" t="str">
        <x:v>врач косметолог</x:v>
      </x:c>
      <x:c r="B287" s="12" t="str">
        <x:v>https://kozhaclinic.ru/osmotry-i-konsultatsii/konsultatsiya-vracha-kosmetologa-s-naznacheniem-plana-protsedur/</x:v>
      </x:c>
      <x:c r="C287" s="30" t="n">
        <x:v>0</x:v>
      </x:c>
      <x:c r="D287" s="30" t="n">
        <x:v>24</x:v>
      </x:c>
      <x:c r="E287" s="32" t="n">
        <x:f>IF(AND(ISNUMBER(C287),ISNUMBER(D287),D287&gt;0),C287/D287,"")</x:f>
        <x:v>0</x:v>
      </x:c>
      <x:c r="F287" s="34" t="n">
        <x:v>8.2</x:v>
      </x:c>
      <x:c r="G287" s="30" t="n">
        <x:v>10744</x:v>
      </x:c>
    </x:row>
    <x:row r="288" ht="42" customHeight="1">
      <x:c r="A288" s="14" t="str">
        <x:v>игольчатый рф лифтинг цена anatomy-krasoty</x:v>
      </x:c>
      <x:c r="B288" s="14" t="str">
        <x:v>https://kozhaclinic.ru/apparatnaya-kosmetologiya/igolchatyy-rf-lifting-na-morpheus-8/</x:v>
      </x:c>
      <x:c r="C288" s="31" t="n">
        <x:v>0</x:v>
      </x:c>
      <x:c r="D288" s="31" t="n">
        <x:v>0</x:v>
      </x:c>
      <x:c r="E288" s="33" t="str">
        <x:f>IF(AND(ISNUMBER(C288),ISNUMBER(D288),D288&gt;0),C288/D288,"")</x:f>
      </x:c>
      <x:c r="F288" s="35"/>
      <x:c r="G288" s="31" t="n">
        <x:v>0</x:v>
      </x:c>
    </x:row>
    <x:row r="289" ht="42" customHeight="1">
      <x:c r="A289" s="12" t="str">
        <x:v>косметолог сургут губы</x:v>
      </x:c>
      <x:c r="B289" s="12" t="str">
        <x:v>https://kozhaclinic.ru/inekcionnaya-kosmetologiya/konturnaya-plastika/uvelichenie-gub/</x:v>
      </x:c>
      <x:c r="C289" s="30" t="n">
        <x:v>0</x:v>
      </x:c>
      <x:c r="D289" s="30" t="n">
        <x:v>6</x:v>
      </x:c>
      <x:c r="E289" s="32" t="n">
        <x:f>IF(AND(ISNUMBER(C289),ISNUMBER(D289),D289&gt;0),C289/D289,"")</x:f>
        <x:v>0</x:v>
      </x:c>
      <x:c r="F289" s="34" t="n">
        <x:v>7.5</x:v>
      </x:c>
      <x:c r="G289" s="30" t="n">
        <x:v>6</x:v>
      </x:c>
    </x:row>
    <x:row r="290" ht="42" customHeight="1">
      <x:c r="A290" s="14" t="str">
        <x:v>лечение гипергидроза сургут</x:v>
      </x:c>
      <x:c r="B290" s="14" t="str">
        <x:v>https://kozhaclinic.ru/inekcionnaya-kosmetologiya/lechenie-gipergidroza/</x:v>
      </x:c>
      <x:c r="C290" s="31" t="n">
        <x:v>0</x:v>
      </x:c>
      <x:c r="D290" s="31" t="n">
        <x:v>1</x:v>
      </x:c>
      <x:c r="E290" s="33" t="n">
        <x:f>IF(AND(ISNUMBER(C290),ISNUMBER(D290),D290&gt;0),C290/D290,"")</x:f>
        <x:v>0</x:v>
      </x:c>
      <x:c r="F290" s="35" t="n">
        <x:v>4</x:v>
      </x:c>
      <x:c r="G290" s="31" t="n">
        <x:v>1</x:v>
      </x:c>
    </x:row>
    <x:row r="291" ht="42" customHeight="1">
      <x:c r="A291" s="12" t="str">
        <x:v>пластика лица сургут</x:v>
      </x:c>
      <x:c r="B291" s="12" t="str">
        <x:v>https://kozhaclinic.ru/inekcionnaya-kosmetologiya/konturnaya-plastika/konturnaya-plastika-litsa/</x:v>
      </x:c>
      <x:c r="C291" s="30" t="n">
        <x:v>0</x:v>
      </x:c>
      <x:c r="D291" s="30" t="n">
        <x:v>11</x:v>
      </x:c>
      <x:c r="E291" s="32" t="n">
        <x:f>IF(AND(ISNUMBER(C291),ISNUMBER(D291),D291&gt;0),C291/D291,"")</x:f>
        <x:v>0</x:v>
      </x:c>
      <x:c r="F291" s="34" t="n">
        <x:v>7.7</x:v>
      </x:c>
      <x:c r="G291" s="30" t="n">
        <x:v>12</x:v>
      </x:c>
    </x:row>
    <x:row r="292" ht="42" customHeight="1">
      <x:c r="A292" s="14" t="str">
        <x:v>удаление родинок сургут кардиоцентр</x:v>
      </x:c>
      <x:c r="B292" s="14" t="str">
        <x:v>https://kozhaclinic.ru/udalenie-novoobrazovanij/udalenie-rodinok/</x:v>
      </x:c>
      <x:c r="C292" s="31" t="n">
        <x:v>0</x:v>
      </x:c>
      <x:c r="D292" s="31" t="n">
        <x:v>5</x:v>
      </x:c>
      <x:c r="E292" s="33" t="n">
        <x:f>IF(AND(ISNUMBER(C292),ISNUMBER(D292),D292&gt;0),C292/D292,"")</x:f>
        <x:v>0</x:v>
      </x:c>
      <x:c r="F292" s="35" t="n">
        <x:v>7.8</x:v>
      </x:c>
      <x:c r="G292" s="31" t="n">
        <x:v>5</x:v>
      </x:c>
    </x:row>
    <x:row r="293" ht="42" customHeight="1">
      <x:c r="A293" s="12" t="str">
        <x:v>rf лифтинг цена anatomy-krasoty</x:v>
      </x:c>
      <x:c r="B293" s="12" t="str">
        <x:v>https://kozhaclinic.ru/apparatnaya-kosmetologiya/igolchatyy-rf-lifting-na-morpheus-8/</x:v>
      </x:c>
      <x:c r="C293" s="30" t="n">
        <x:v>0</x:v>
      </x:c>
      <x:c r="D293" s="30" t="n">
        <x:v>0</x:v>
      </x:c>
      <x:c r="E293" s="32" t="str">
        <x:f>IF(AND(ISNUMBER(C293),ISNUMBER(D293),D293&gt;0),C293/D293,"")</x:f>
      </x:c>
      <x:c r="F293" s="34"/>
      <x:c r="G293" s="30" t="n">
        <x:v>0</x:v>
      </x:c>
    </x:row>
    <x:row r="294" ht="42" customHeight="1">
      <x:c r="A294" s="14" t="str">
        <x:v>биоревитализация</x:v>
      </x:c>
      <x:c r="B294" s="14" t="str">
        <x:v>https://kozhaclinic.ru/inekcionnaya-kosmetologiya/omolozhenie-i-pitanie-kozhi/biorevitalizatsiya/</x:v>
      </x:c>
      <x:c r="C294" s="31" t="n">
        <x:v>0</x:v>
      </x:c>
      <x:c r="D294" s="31" t="n">
        <x:v>17</x:v>
      </x:c>
      <x:c r="E294" s="33" t="n">
        <x:f>IF(AND(ISNUMBER(C294),ISNUMBER(D294),D294&gt;0),C294/D294,"")</x:f>
        <x:v>0</x:v>
      </x:c>
      <x:c r="F294" s="35" t="n">
        <x:v>9.5</x:v>
      </x:c>
      <x:c r="G294" s="31" t="n">
        <x:v>44610</x:v>
      </x:c>
    </x:row>
    <x:row r="295" ht="42" customHeight="1">
      <x:c r="A295" s="12" t="str">
        <x:v>кожа клиник</x:v>
      </x:c>
      <x:c r="B295" s="12" t="str">
        <x:v>https://kozhaclinic.ru/</x:v>
      </x:c>
      <x:c r="C295" s="30" t="n">
        <x:v>0</x:v>
      </x:c>
      <x:c r="D295" s="30" t="n">
        <x:v>3</x:v>
      </x:c>
      <x:c r="E295" s="32" t="n">
        <x:f>IF(AND(ISNUMBER(C295),ISNUMBER(D295),D295&gt;0),C295/D295,"")</x:f>
        <x:v>0</x:v>
      </x:c>
      <x:c r="F295" s="34" t="n">
        <x:v>1.3</x:v>
      </x:c>
      <x:c r="G295" s="30" t="n">
        <x:v>2</x:v>
      </x:c>
    </x:row>
    <x:row r="296" ht="42" customHeight="1">
      <x:c r="A296" s="14" t="str">
        <x:v>косметолог</x:v>
      </x:c>
      <x:c r="B296" s="14" t="str">
        <x:v>https://kozhaclinic.ru/</x:v>
      </x:c>
      <x:c r="C296" s="31" t="n">
        <x:v>0</x:v>
      </x:c>
      <x:c r="D296" s="31" t="n">
        <x:v>5</x:v>
      </x:c>
      <x:c r="E296" s="33" t="n">
        <x:f>IF(AND(ISNUMBER(C296),ISNUMBER(D296),D296&gt;0),C296/D296,"")</x:f>
        <x:v>0</x:v>
      </x:c>
      <x:c r="F296" s="35" t="n">
        <x:v>11.4</x:v>
      </x:c>
      <x:c r="G296" s="31" t="n">
        <x:v>27256</x:v>
      </x:c>
    </x:row>
    <x:row r="297" ht="42" customHeight="1">
      <x:c r="A297" s="12" t="str">
        <x:v>миграция филлера</x:v>
      </x:c>
      <x:c r="B297" s="12" t="str">
        <x:v>https://kozhaclinic.ru/migratsiya-gelya-iz-gub/</x:v>
      </x:c>
      <x:c r="C297" s="30" t="n">
        <x:v>0</x:v>
      </x:c>
      <x:c r="D297" s="30" t="n">
        <x:v>15</x:v>
      </x:c>
      <x:c r="E297" s="32" t="n">
        <x:f>IF(AND(ISNUMBER(C297),ISNUMBER(D297),D297&gt;0),C297/D297,"")</x:f>
        <x:v>0</x:v>
      </x:c>
      <x:c r="F297" s="34" t="n">
        <x:v>10.8</x:v>
      </x:c>
      <x:c r="G297" s="30" t="n">
        <x:v>118</x:v>
      </x:c>
    </x:row>
    <x:row r="298" ht="42" customHeight="1">
      <x:c r="A298" s="14" t="str">
        <x:v>почистить кожу спины</x:v>
      </x:c>
      <x:c r="B298" s="14" t="str">
        <x:v>https://kozhaclinic.ru/uhodovye-procedury/chistki-litsa-i-spiny/chistka-spiny/</x:v>
      </x:c>
      <x:c r="C298" s="31" t="n">
        <x:v>0</x:v>
      </x:c>
      <x:c r="D298" s="31" t="n">
        <x:v>14</x:v>
      </x:c>
      <x:c r="E298" s="33" t="n">
        <x:f>IF(AND(ISNUMBER(C298),ISNUMBER(D298),D298&gt;0),C298/D298,"")</x:f>
        <x:v>0</x:v>
      </x:c>
      <x:c r="F298" s="35" t="n">
        <x:v>34.2</x:v>
      </x:c>
      <x:c r="G298" s="31" t="n">
        <x:v>23</x:v>
      </x:c>
    </x:row>
    <x:row r="299" ht="42" customHeight="1">
      <x:c r="A299" s="12" t="str">
        <x:v>удаление родинок 296-222</x:v>
      </x:c>
      <x:c r="B299" s="12" t="str">
        <x:v>https://kozhaclinic.ru/udalenie-novoobrazovanij/udalenie-rodinok/</x:v>
      </x:c>
      <x:c r="C299" s="30" t="n">
        <x:v>0</x:v>
      </x:c>
      <x:c r="D299" s="30" t="n">
        <x:v>2</x:v>
      </x:c>
      <x:c r="E299" s="32" t="n">
        <x:f>IF(AND(ISNUMBER(C299),ISNUMBER(D299),D299&gt;0),C299/D299,"")</x:f>
        <x:v>0</x:v>
      </x:c>
      <x:c r="F299" s="34" t="n">
        <x:v>10.5</x:v>
      </x:c>
      <x:c r="G299" s="30" t="n">
        <x:v>2</x:v>
      </x:c>
    </x:row>
    <x:row r="300" ht="42" customHeight="1">
      <x:c r="A300" s="14" t="str">
        <x:v>гладкая кожа это</x:v>
      </x:c>
      <x:c r="B300" s="14" t="str">
        <x:v>https://kozhaclinic.ru/gladkost-i-siyanie-kozhi/</x:v>
      </x:c>
      <x:c r="C300" s="31" t="n">
        <x:v>1</x:v>
      </x:c>
      <x:c r="D300" s="31" t="n">
        <x:v>16</x:v>
      </x:c>
      <x:c r="E300" s="33" t="n">
        <x:f>IF(AND(ISNUMBER(C300),ISNUMBER(D300),D300&gt;0),C300/D300,"")</x:f>
        <x:v>0.0625</x:v>
      </x:c>
      <x:c r="F300" s="35" t="n">
        <x:v>5.3</x:v>
      </x:c>
      <x:c r="G300" s="31" t="n">
        <x:v>22</x:v>
      </x:c>
    </x:row>
    <x:row r="301" ht="42" customHeight="1">
      <x:c r="A301" s="12" t="str">
        <x:v>клиника эстетической медицины</x:v>
      </x:c>
      <x:c r="B301" s="12" t="str">
        <x:v>https://kozhaclinic.ru/</x:v>
      </x:c>
      <x:c r="C301" s="30" t="n">
        <x:v>0</x:v>
      </x:c>
      <x:c r="D301" s="30" t="n">
        <x:v>1</x:v>
      </x:c>
      <x:c r="E301" s="32" t="n">
        <x:f>IF(AND(ISNUMBER(C301),ISNUMBER(D301),D301&gt;0),C301/D301,"")</x:f>
        <x:v>0</x:v>
      </x:c>
      <x:c r="F301" s="34" t="n">
        <x:v>6</x:v>
      </x:c>
      <x:c r="G301" s="30" t="n">
        <x:v>1194</x:v>
      </x:c>
    </x:row>
    <x:row r="302" ht="42" customHeight="1">
      <x:c r="A302" s="14" t="str">
        <x:v>миграция филлера в слизистую</x:v>
      </x:c>
      <x:c r="B302" s="14" t="str">
        <x:v>https://kozhaclinic.ru/migratsiya-gelya-iz-gub/</x:v>
      </x:c>
      <x:c r="C302" s="31" t="n">
        <x:v>0</x:v>
      </x:c>
      <x:c r="D302" s="31" t="n">
        <x:v>15</x:v>
      </x:c>
      <x:c r="E302" s="33" t="n">
        <x:f>IF(AND(ISNUMBER(C302),ISNUMBER(D302),D302&gt;0),C302/D302,"")</x:f>
        <x:v>0</x:v>
      </x:c>
      <x:c r="F302" s="35" t="n">
        <x:v>10.4</x:v>
      </x:c>
      <x:c r="G302" s="31" t="n">
        <x:v>34</x:v>
      </x:c>
    </x:row>
    <x:row r="303" ht="42" customHeight="1">
      <x:c r="A303" s="12" t="str">
        <x:v>мужская депиляция сургут</x:v>
      </x:c>
      <x:c r="B303" s="12" t="str">
        <x:v>https://kozhaclinic.ru/lazernaya-kosmetologiya/lazernaya-epilyaciya/dlya-muzhchin/</x:v>
      </x:c>
      <x:c r="C303" s="30" t="n">
        <x:v>0</x:v>
      </x:c>
      <x:c r="D303" s="30" t="n">
        <x:v>9</x:v>
      </x:c>
      <x:c r="E303" s="32" t="n">
        <x:f>IF(AND(ISNUMBER(C303),ISNUMBER(D303),D303&gt;0),C303/D303,"")</x:f>
        <x:v>0</x:v>
      </x:c>
      <x:c r="F303" s="34" t="n">
        <x:v>8.3</x:v>
      </x:c>
      <x:c r="G303" s="30" t="n">
        <x:v>10</x:v>
      </x:c>
    </x:row>
    <x:row r="304" ht="42" customHeight="1">
      <x:c r="A304" s="14" t="str">
        <x:v>пластифицирующий массаж лица что</x:v>
      </x:c>
      <x:c r="B304" s="14" t="str">
        <x:v>https://kozhaclinic.ru/uhodovye-procedury/massazhi/plastifitsiruyushchiy/</x:v>
      </x:c>
      <x:c r="C304" s="31" t="n">
        <x:v>0</x:v>
      </x:c>
      <x:c r="D304" s="31" t="n">
        <x:v>7</x:v>
      </x:c>
      <x:c r="E304" s="33" t="n">
        <x:f>IF(AND(ISNUMBER(C304),ISNUMBER(D304),D304&gt;0),C304/D304,"")</x:f>
        <x:v>0</x:v>
      </x:c>
      <x:c r="F304" s="35" t="n">
        <x:v>5.8</x:v>
      </x:c>
      <x:c r="G304" s="31" t="n">
        <x:v>7</x:v>
      </x:c>
    </x:row>
    <x:row r="305" ht="42" customHeight="1">
      <x:c r="A305" s="12" t="str">
        <x:v>студия кожа</x:v>
      </x:c>
      <x:c r="B305" s="12" t="str">
        <x:v>https://kozhaclinic.ru/akcii/</x:v>
      </x:c>
      <x:c r="C305" s="30" t="n">
        <x:v>1</x:v>
      </x:c>
      <x:c r="D305" s="30" t="n">
        <x:v>5</x:v>
      </x:c>
      <x:c r="E305" s="32" t="n">
        <x:f>IF(AND(ISNUMBER(C305),ISNUMBER(D305),D305&gt;0),C305/D305,"")</x:f>
        <x:v>0.2</x:v>
      </x:c>
      <x:c r="F305" s="34" t="n">
        <x:v>7.6</x:v>
      </x:c>
      <x:c r="G305" s="30" t="n">
        <x:v>8</x:v>
      </x:c>
    </x:row>
    <x:row r="306" ht="42" customHeight="1">
      <x:c r="A306" s="14" t="str">
        <x:v>дерматолог</x:v>
      </x:c>
      <x:c r="B306" s="14" t="str">
        <x:v>https://kozhaclinic.ru/</x:v>
      </x:c>
      <x:c r="C306" s="31" t="n">
        <x:v>0</x:v>
      </x:c>
      <x:c r="D306" s="31" t="n">
        <x:v>18</x:v>
      </x:c>
      <x:c r="E306" s="33" t="n">
        <x:f>IF(AND(ISNUMBER(C306),ISNUMBER(D306),D306&gt;0),C306/D306,"")</x:f>
        <x:v>0</x:v>
      </x:c>
      <x:c r="F306" s="35" t="n">
        <x:v>13</x:v>
      </x:c>
      <x:c r="G306" s="31" t="n">
        <x:v>77528</x:v>
      </x:c>
    </x:row>
    <x:row r="307" ht="42" customHeight="1">
      <x:c r="A307" s="12" t="str">
        <x:v>лазерное удаление папиллом 296-222</x:v>
      </x:c>
      <x:c r="B307" s="12" t="str">
        <x:v>https://kozhaclinic.ru/</x:v>
      </x:c>
      <x:c r="C307" s="30" t="n">
        <x:v>0</x:v>
      </x:c>
      <x:c r="D307" s="30" t="n">
        <x:v>1</x:v>
      </x:c>
      <x:c r="E307" s="32" t="n">
        <x:f>IF(AND(ISNUMBER(C307),ISNUMBER(D307),D307&gt;0),C307/D307,"")</x:f>
        <x:v>0</x:v>
      </x:c>
      <x:c r="F307" s="34" t="n">
        <x:v>6</x:v>
      </x:c>
      <x:c r="G307" s="30" t="n">
        <x:v>1</x:v>
      </x:c>
    </x:row>
    <x:row r="308" ht="42" customHeight="1">
      <x:c r="A308" s="14" t="str">
        <x:v>микроигольчатый rf лифтинг морфеус</x:v>
      </x:c>
      <x:c r="B308" s="14" t="str">
        <x:v>https://kozhaclinic.ru/apparatnaya-kosmetologiya/igolchatyy-rf-lifting-na-morpheus-8/</x:v>
      </x:c>
      <x:c r="C308" s="31" t="n">
        <x:v>0</x:v>
      </x:c>
      <x:c r="D308" s="31" t="n">
        <x:v>0</x:v>
      </x:c>
      <x:c r="E308" s="33" t="str">
        <x:f>IF(AND(ISNUMBER(C308),ISNUMBER(D308),D308&gt;0),C308/D308,"")</x:f>
      </x:c>
      <x:c r="F308" s="35"/>
      <x:c r="G308" s="31" t="n">
        <x:v>39</x:v>
      </x:c>
    </x:row>
    <x:row r="309" ht="42" customHeight="1">
      <x:c r="A309" s="12" t="str">
        <x:v>куда мигрирует филлер из губ</x:v>
      </x:c>
      <x:c r="B309" s="12" t="str">
        <x:v>https://kozhaclinic.ru/migratsiya-gelya-iz-gub/</x:v>
      </x:c>
      <x:c r="C309" s="30" t="n">
        <x:v>0</x:v>
      </x:c>
      <x:c r="D309" s="30" t="n">
        <x:v>13</x:v>
      </x:c>
      <x:c r="E309" s="32" t="n">
        <x:f>IF(AND(ISNUMBER(C309),ISNUMBER(D309),D309&gt;0),C309/D309,"")</x:f>
        <x:v>0</x:v>
      </x:c>
      <x:c r="F309" s="34" t="n">
        <x:v>7.2</x:v>
      </x:c>
      <x:c r="G309" s="30" t="n">
        <x:v>13</x:v>
      </x:c>
    </x:row>
    <x:row r="310" ht="42" customHeight="1">
      <x:c r="A310" s="14" t="str">
        <x:v>можно ли колоть только межбровку без лба</x:v>
      </x:c>
      <x:c r="B310" s="14" t="str">
        <x:v>https://kozhaclinic.ru/inekcionnaya-kosmetologiya/botulinoterapiya/botulinoterapiya-v-lob-i-mezhbrove/</x:v>
      </x:c>
      <x:c r="C310" s="31" t="n">
        <x:v>0</x:v>
      </x:c>
      <x:c r="D310" s="31" t="n">
        <x:v>11</x:v>
      </x:c>
      <x:c r="E310" s="33" t="n">
        <x:f>IF(AND(ISNUMBER(C310),ISNUMBER(D310),D310&gt;0),C310/D310,"")</x:f>
        <x:v>0</x:v>
      </x:c>
      <x:c r="F310" s="35" t="n">
        <x:v>5.6</x:v>
      </x:c>
      <x:c r="G310" s="31" t="n">
        <x:v>11</x:v>
      </x:c>
    </x:row>
    <x:row r="311" ht="42" customHeight="1">
      <x:c r="A311" s="12" t="str">
        <x:v>полимолочная кислота</x:v>
      </x:c>
      <x:c r="B311" s="12" t="str">
        <x:v>https://kozhaclinic.ru/inekcionnaya-kosmetologiya/omolozhenie-i-pitanie-kozhi/polimolochnaya-kislota/</x:v>
      </x:c>
      <x:c r="C311" s="30" t="n">
        <x:v>0</x:v>
      </x:c>
      <x:c r="D311" s="30" t="n">
        <x:v>6</x:v>
      </x:c>
      <x:c r="E311" s="32" t="n">
        <x:f>IF(AND(ISNUMBER(C311),ISNUMBER(D311),D311&gt;0),C311/D311,"")</x:f>
        <x:v>0</x:v>
      </x:c>
      <x:c r="F311" s="34" t="n">
        <x:v>8.8</x:v>
      </x:c>
      <x:c r="G311" s="30" t="n">
        <x:v>4880</x:v>
      </x:c>
    </x:row>
    <x:row r="312" ht="42" customHeight="1">
      <x:c r="A312" s="14" t="str">
        <x:v>салон кожа сургут</x:v>
      </x:c>
      <x:c r="B312" s="14" t="str">
        <x:v>https://kozhaclinic.ru/</x:v>
      </x:c>
      <x:c r="C312" s="31" t="n">
        <x:v>2</x:v>
      </x:c>
      <x:c r="D312" s="31" t="n">
        <x:v>8</x:v>
      </x:c>
      <x:c r="E312" s="33" t="n">
        <x:f>IF(AND(ISNUMBER(C312),ISNUMBER(D312),D312&gt;0),C312/D312,"")</x:f>
        <x:v>0.25</x:v>
      </x:c>
      <x:c r="F312" s="35" t="n">
        <x:v>1.5</x:v>
      </x:c>
      <x:c r="G312" s="31" t="n">
        <x:v>7</x:v>
      </x:c>
    </x:row>
    <x:row r="313" ht="42" customHeight="1">
      <x:c r="A313" s="12" t="str">
        <x:v>удаление папиллом лазером alfa</x:v>
      </x:c>
      <x:c r="B313" s="12" t="str">
        <x:v>https://kozhaclinic.ru/udalenie-novoobrazovanij/udalenie-papilom/</x:v>
      </x:c>
      <x:c r="C313" s="30" t="n">
        <x:v>0</x:v>
      </x:c>
      <x:c r="D313" s="30" t="n">
        <x:v>1</x:v>
      </x:c>
      <x:c r="E313" s="32" t="n">
        <x:f>IF(AND(ISNUMBER(C313),ISNUMBER(D313),D313&gt;0),C313/D313,"")</x:f>
        <x:v>0</x:v>
      </x:c>
      <x:c r="F313" s="34" t="n">
        <x:v>6</x:v>
      </x:c>
      <x:c r="G313" s="30" t="n">
        <x:v>2</x:v>
      </x:c>
    </x:row>
    <x:row r="314" ht="42" customHeight="1">
      <x:c r="A314" s="14" t="str">
        <x:v>врачебная косметология сургут</x:v>
      </x:c>
      <x:c r="B314" s="14" t="str">
        <x:v>https://kozhaclinic.ru/</x:v>
      </x:c>
      <x:c r="C314" s="31" t="n">
        <x:v>0</x:v>
      </x:c>
      <x:c r="D314" s="31" t="n">
        <x:v>7</x:v>
      </x:c>
      <x:c r="E314" s="33" t="n">
        <x:f>IF(AND(ISNUMBER(C314),ISNUMBER(D314),D314&gt;0),C314/D314,"")</x:f>
        <x:v>0</x:v>
      </x:c>
      <x:c r="F314" s="35" t="n">
        <x:v>9.5</x:v>
      </x:c>
      <x:c r="G314" s="31" t="n">
        <x:v>8</x:v>
      </x:c>
    </x:row>
    <x:row r="315" ht="42" customHeight="1">
      <x:c r="A315" s="12" t="str">
        <x:v>диспорт сургут</x:v>
      </x:c>
      <x:c r="B315" s="12" t="str">
        <x:v>https://kozhaclinic.ru/inekcionnaya-kosmetologiya/botulinoterapiya/disport/</x:v>
      </x:c>
      <x:c r="C315" s="30" t="n">
        <x:v>0</x:v>
      </x:c>
      <x:c r="D315" s="30" t="n">
        <x:v>3</x:v>
      </x:c>
      <x:c r="E315" s="32" t="n">
        <x:f>IF(AND(ISNUMBER(C315),ISNUMBER(D315),D315&gt;0),C315/D315,"")</x:f>
        <x:v>0</x:v>
      </x:c>
      <x:c r="F315" s="34" t="n">
        <x:v>8.3</x:v>
      </x:c>
      <x:c r="G315" s="30" t="n">
        <x:v>3</x:v>
      </x:c>
    </x:row>
    <x:row r="316" ht="42" customHeight="1">
      <x:c r="A316" s="14" t="str">
        <x:v>иммиграция филлера в губах</x:v>
      </x:c>
      <x:c r="B316" s="14" t="str">
        <x:v>https://kozhaclinic.ru/migratsiya-gelya-iz-gub/</x:v>
      </x:c>
      <x:c r="C316" s="31" t="n">
        <x:v>0</x:v>
      </x:c>
      <x:c r="D316" s="31" t="n">
        <x:v>3</x:v>
      </x:c>
      <x:c r="E316" s="33" t="n">
        <x:f>IF(AND(ISNUMBER(C316),ISNUMBER(D316),D316&gt;0),C316/D316,"")</x:f>
        <x:v>0</x:v>
      </x:c>
      <x:c r="F316" s="35" t="n">
        <x:v>6</x:v>
      </x:c>
      <x:c r="G316" s="31" t="n">
        <x:v>3</x:v>
      </x:c>
    </x:row>
    <x:row r="317" ht="42" customHeight="1">
      <x:c r="A317" s="12" t="str">
        <x:v>кожа салон косметологии avito.ru</x:v>
      </x:c>
      <x:c r="B317" s="12" t="str">
        <x:v>https://kozhaclinic.ru/uslugi/</x:v>
      </x:c>
      <x:c r="C317" s="30" t="n">
        <x:v>0</x:v>
      </x:c>
      <x:c r="D317" s="30" t="n">
        <x:v>0</x:v>
      </x:c>
      <x:c r="E317" s="32" t="str">
        <x:f>IF(AND(ISNUMBER(C317),ISNUMBER(D317),D317&gt;0),C317/D317,"")</x:f>
      </x:c>
      <x:c r="F317" s="34"/>
      <x:c r="G317" s="30" t="n">
        <x:v>2</x:v>
      </x:c>
    </x:row>
    <x:row r="318" ht="42" customHeight="1">
      <x:c r="A318" s="14" t="str">
        <x:v>кожа суроут</x:v>
      </x:c>
      <x:c r="B318" s="14" t="str">
        <x:v>https://kozhaclinic.ru/</x:v>
      </x:c>
      <x:c r="C318" s="31" t="n">
        <x:v>0</x:v>
      </x:c>
      <x:c r="D318" s="31" t="n">
        <x:v>0</x:v>
      </x:c>
      <x:c r="E318" s="33" t="str">
        <x:f>IF(AND(ISNUMBER(C318),ISNUMBER(D318),D318&gt;0),C318/D318,"")</x:f>
      </x:c>
      <x:c r="F318" s="35"/>
      <x:c r="G318" s="31" t="n">
        <x:v>0</x:v>
      </x:c>
    </x:row>
    <x:row r="319" ht="42" customHeight="1">
      <x:c r="A319" s="12" t="str">
        <x:v>лазерная эпиляция</x:v>
      </x:c>
      <x:c r="B319" s="12" t="str">
        <x:v>https://kozhaclinic.ru/</x:v>
      </x:c>
      <x:c r="C319" s="30" t="n">
        <x:v>0</x:v>
      </x:c>
      <x:c r="D319" s="30" t="n">
        <x:v>20</x:v>
      </x:c>
      <x:c r="E319" s="32" t="n">
        <x:f>IF(AND(ISNUMBER(C319),ISNUMBER(D319),D319&gt;0),C319/D319,"")</x:f>
        <x:v>0</x:v>
      </x:c>
      <x:c r="F319" s="34" t="n">
        <x:v>9.3</x:v>
      </x:c>
      <x:c r="G319" s="30" t="n">
        <x:v>55653</x:v>
      </x:c>
    </x:row>
    <x:row r="320" ht="42" customHeight="1">
      <x:c r="A320" s="14" t="str">
        <x:v>микроигольчатый рф лифтинг сургут</x:v>
      </x:c>
      <x:c r="B320" s="14" t="str">
        <x:v>https://kozhaclinic.ru/apparatnaya-kosmetologiya/igolchatyy-rf-lifting-na-morpheus-8/</x:v>
      </x:c>
      <x:c r="C320" s="31" t="n">
        <x:v>0</x:v>
      </x:c>
      <x:c r="D320" s="31" t="n">
        <x:v>10</x:v>
      </x:c>
      <x:c r="E320" s="33" t="n">
        <x:f>IF(AND(ISNUMBER(C320),ISNUMBER(D320),D320&gt;0),C320/D320,"")</x:f>
        <x:v>0</x:v>
      </x:c>
      <x:c r="F320" s="35" t="n">
        <x:v>7.3</x:v>
      </x:c>
      <x:c r="G320" s="31" t="n">
        <x:v>10</x:v>
      </x:c>
    </x:row>
    <x:row r="321" ht="42" customHeight="1">
      <x:c r="A321" s="12" t="str">
        <x:v>симонян лусинэ эдиковна</x:v>
      </x:c>
      <x:c r="B321" s="12" t="str">
        <x:v>https://kozhaclinic.ru/o-nas/specialisty/simonyan-lusine-edikovna/</x:v>
      </x:c>
      <x:c r="C321" s="30" t="n">
        <x:v>4</x:v>
      </x:c>
      <x:c r="D321" s="30" t="n">
        <x:v>6</x:v>
      </x:c>
      <x:c r="E321" s="32" t="n">
        <x:f>IF(AND(ISNUMBER(C321),ISNUMBER(D321),D321&gt;0),C321/D321,"")</x:f>
        <x:v>0.6666666666666666</x:v>
      </x:c>
      <x:c r="F321" s="34" t="n">
        <x:v>1.3</x:v>
      </x:c>
      <x:c r="G321" s="30" t="n">
        <x:v>6</x:v>
      </x:c>
    </x:row>
    <x:row r="322" ht="42" customHeight="1">
      <x:c r="A322" s="14" t="str">
        <x:v>удаление папиллом лазером сургут</x:v>
      </x:c>
      <x:c r="B322" s="14" t="str">
        <x:v>https://kozhaclinic.ru/udalenie-novoobrazovanij/</x:v>
      </x:c>
      <x:c r="C322" s="31" t="n">
        <x:v>0</x:v>
      </x:c>
      <x:c r="D322" s="31" t="n">
        <x:v>4</x:v>
      </x:c>
      <x:c r="E322" s="33" t="n">
        <x:f>IF(AND(ISNUMBER(C322),ISNUMBER(D322),D322&gt;0),C322/D322,"")</x:f>
        <x:v>0</x:v>
      </x:c>
      <x:c r="F322" s="35" t="n">
        <x:v>11.5</x:v>
      </x:c>
      <x:c r="G322" s="31" t="n">
        <x:v>9</x:v>
      </x:c>
    </x:row>
    <x:row r="323" ht="42" customHeight="1">
      <x:c r="A323" s="12" t="str">
        <x:v>удаление родинок и папиллом alfa</x:v>
      </x:c>
      <x:c r="B323" s="12" t="str">
        <x:v>https://kozhaclinic.ru/</x:v>
      </x:c>
      <x:c r="C323" s="30" t="n">
        <x:v>0</x:v>
      </x:c>
      <x:c r="D323" s="30" t="n">
        <x:v>3</x:v>
      </x:c>
      <x:c r="E323" s="32" t="n">
        <x:f>IF(AND(ISNUMBER(C323),ISNUMBER(D323),D323&gt;0),C323/D323,"")</x:f>
        <x:v>0</x:v>
      </x:c>
      <x:c r="F323" s="34" t="n">
        <x:v>8.3</x:v>
      </x:c>
      <x:c r="G323" s="30" t="n">
        <x:v>3</x:v>
      </x:c>
    </x:row>
    <x:row r="324" ht="42" customHeight="1">
      <x:c r="A324" s="14" t="str">
        <x:v>удаление родинок на лице альфа</x:v>
      </x:c>
      <x:c r="B324" s="14" t="str">
        <x:v>https://kozhaclinic.ru/</x:v>
      </x:c>
      <x:c r="C324" s="31" t="n">
        <x:v>0</x:v>
      </x:c>
      <x:c r="D324" s="31" t="n">
        <x:v>2</x:v>
      </x:c>
      <x:c r="E324" s="33" t="n">
        <x:f>IF(AND(ISNUMBER(C324),ISNUMBER(D324),D324&gt;0),C324/D324,"")</x:f>
        <x:v>0</x:v>
      </x:c>
      <x:c r="F324" s="35" t="n">
        <x:v>12</x:v>
      </x:c>
      <x:c r="G324" s="31" t="n">
        <x:v>2</x:v>
      </x:c>
    </x:row>
    <x:row r="325" ht="42" customHeight="1">
      <x:c r="A325" s="12" t="str">
        <x:v>что такое миграция на губах</x:v>
      </x:c>
      <x:c r="B325" s="12" t="str">
        <x:v>https://kozhaclinic.ru/migratsiya-gelya-iz-gub/</x:v>
      </x:c>
      <x:c r="C325" s="30" t="n">
        <x:v>0</x:v>
      </x:c>
      <x:c r="D325" s="30" t="n">
        <x:v>4</x:v>
      </x:c>
      <x:c r="E325" s="32" t="n">
        <x:f>IF(AND(ISNUMBER(C325),ISNUMBER(D325),D325&gt;0),C325/D325,"")</x:f>
        <x:v>0</x:v>
      </x:c>
      <x:c r="F325" s="34" t="n">
        <x:v>7.5</x:v>
      </x:c>
      <x:c r="G325" s="30" t="n">
        <x:v>5</x:v>
      </x:c>
    </x:row>
    <x:row r="326" ht="42" customHeight="1">
      <x:c r="A326" s="14" t="str">
        <x:v>из за чего мигрирует гель в губах</x:v>
      </x:c>
      <x:c r="B326" s="14" t="str">
        <x:v>https://kozhaclinic.ru/migratsiya-gelya-iz-gub/</x:v>
      </x:c>
      <x:c r="C326" s="31" t="n">
        <x:v>0</x:v>
      </x:c>
      <x:c r="D326" s="31" t="n">
        <x:v>12</x:v>
      </x:c>
      <x:c r="E326" s="33" t="n">
        <x:f>IF(AND(ISNUMBER(C326),ISNUMBER(D326),D326&gt;0),C326/D326,"")</x:f>
        <x:v>0</x:v>
      </x:c>
      <x:c r="F326" s="35" t="n">
        <x:v>9.1</x:v>
      </x:c>
      <x:c r="G326" s="31" t="n">
        <x:v>13</x:v>
      </x:c>
    </x:row>
    <x:row r="327" ht="42" customHeight="1">
      <x:c r="A327" s="12" t="str">
        <x:v>миграция гиалуронки в губах</x:v>
      </x:c>
      <x:c r="B327" s="12" t="str">
        <x:v>https://kozhaclinic.ru/migratsiya-gelya-iz-gub/</x:v>
      </x:c>
      <x:c r="C327" s="30" t="n">
        <x:v>0</x:v>
      </x:c>
      <x:c r="D327" s="30" t="n">
        <x:v>13</x:v>
      </x:c>
      <x:c r="E327" s="32" t="n">
        <x:f>IF(AND(ISNUMBER(C327),ISNUMBER(D327),D327&gt;0),C327/D327,"")</x:f>
        <x:v>0</x:v>
      </x:c>
      <x:c r="F327" s="34" t="n">
        <x:v>7.6</x:v>
      </x:c>
      <x:c r="G327" s="30" t="n">
        <x:v>15</x:v>
      </x:c>
    </x:row>
    <x:row r="328" ht="42" customHeight="1">
      <x:c r="A328" s="14" t="str">
        <x:v>мужская лазерная эпиляция сургут</x:v>
      </x:c>
      <x:c r="B328" s="14" t="str">
        <x:v>https://kozhaclinic.ru/lazernaya-kosmetologiya/dlya-muzhchin/</x:v>
      </x:c>
      <x:c r="C328" s="31" t="n">
        <x:v>0</x:v>
      </x:c>
      <x:c r="D328" s="31" t="n">
        <x:v>1</x:v>
      </x:c>
      <x:c r="E328" s="33" t="n">
        <x:f>IF(AND(ISNUMBER(C328),ISNUMBER(D328),D328&gt;0),C328/D328,"")</x:f>
        <x:v>0</x:v>
      </x:c>
      <x:c r="F328" s="35" t="n">
        <x:v>9</x:v>
      </x:c>
      <x:c r="G328" s="31" t="n">
        <x:v>1</x:v>
      </x:c>
    </x:row>
    <x:row r="329" ht="42" customHeight="1">
      <x:c r="A329" s="12" t="str">
        <x:v>юлия аманова</x:v>
      </x:c>
      <x:c r="B329" s="12" t="str">
        <x:v>https://kozhaclinic.ru/o-nas/specialisty/amanova-yuliya-vadimovna/</x:v>
      </x:c>
      <x:c r="C329" s="30" t="n">
        <x:v>0</x:v>
      </x:c>
      <x:c r="D329" s="30" t="n">
        <x:v>2</x:v>
      </x:c>
      <x:c r="E329" s="32" t="n">
        <x:f>IF(AND(ISNUMBER(C329),ISNUMBER(D329),D329&gt;0),C329/D329,"")</x:f>
        <x:v>0</x:v>
      </x:c>
      <x:c r="F329" s="34" t="n">
        <x:v>11</x:v>
      </x:c>
      <x:c r="G329" s="30" t="n">
        <x:v>7</x:v>
      </x:c>
    </x:row>
    <x:row r="330" ht="42" customHeight="1">
      <x:c r="A330" s="14" t="str">
        <x:v>как выглядит увлажнение губ</x:v>
      </x:c>
      <x:c r="B330" s="14" t="str">
        <x:v>https://kozhaclinic.ru/inekcionnaya-kosmetologiya/konturnaya-plastika/uvlazhnenie-gub/</x:v>
      </x:c>
      <x:c r="C330" s="31" t="n">
        <x:v>0</x:v>
      </x:c>
      <x:c r="D330" s="31" t="n">
        <x:v>0</x:v>
      </x:c>
      <x:c r="E330" s="33" t="str">
        <x:f>IF(AND(ISNUMBER(C330),ISNUMBER(D330),D330&gt;0),C330/D330,"")</x:f>
      </x:c>
      <x:c r="F330" s="35"/>
      <x:c r="G330" s="31" t="n">
        <x:v>5</x:v>
      </x:c>
    </x:row>
    <x:row r="331" ht="42" customHeight="1">
      <x:c r="A331" s="12" t="str">
        <x:v>мигрирование губ</x:v>
      </x:c>
      <x:c r="B331" s="12" t="str">
        <x:v>https://kozhaclinic.ru/migratsiya-gelya-iz-gub/</x:v>
      </x:c>
      <x:c r="C331" s="30" t="n">
        <x:v>0</x:v>
      </x:c>
      <x:c r="D331" s="30" t="n">
        <x:v>4</x:v>
      </x:c>
      <x:c r="E331" s="32" t="n">
        <x:f>IF(AND(ISNUMBER(C331),ISNUMBER(D331),D331&gt;0),C331/D331,"")</x:f>
        <x:v>0</x:v>
      </x:c>
      <x:c r="F331" s="34" t="n">
        <x:v>9.2</x:v>
      </x:c>
      <x:c r="G331" s="30" t="n">
        <x:v>4</x:v>
      </x:c>
    </x:row>
    <x:row r="332" ht="42" customHeight="1">
      <x:c r="A332" s="14" t="str">
        <x:v>почему филлер мигрирует за контур губ</x:v>
      </x:c>
      <x:c r="B332" s="14" t="str">
        <x:v>https://kozhaclinic.ru/migratsiya-gelya-iz-gub/</x:v>
      </x:c>
      <x:c r="C332" s="31" t="n">
        <x:v>0</x:v>
      </x:c>
      <x:c r="D332" s="31" t="n">
        <x:v>10</x:v>
      </x:c>
      <x:c r="E332" s="33" t="n">
        <x:f>IF(AND(ISNUMBER(C332),ISNUMBER(D332),D332&gt;0),C332/D332,"")</x:f>
        <x:v>0</x:v>
      </x:c>
      <x:c r="F332" s="35" t="n">
        <x:v>8.1</x:v>
      </x:c>
      <x:c r="G332" s="31" t="n">
        <x:v>12</x:v>
      </x:c>
    </x:row>
    <x:row r="333" ht="42" customHeight="1">
      <x:c r="A333" s="12" t="str">
        <x:v>филлер мигрировал в слизистую губ</x:v>
      </x:c>
      <x:c r="B333" s="12" t="str">
        <x:v>https://kozhaclinic.ru/migratsiya-gelya-iz-gub/</x:v>
      </x:c>
      <x:c r="C333" s="30" t="n">
        <x:v>0</x:v>
      </x:c>
      <x:c r="D333" s="30" t="n">
        <x:v>9</x:v>
      </x:c>
      <x:c r="E333" s="32" t="n">
        <x:f>IF(AND(ISNUMBER(C333),ISNUMBER(D333),D333&gt;0),C333/D333,"")</x:f>
        <x:v>0</x:v>
      </x:c>
      <x:c r="F333" s="34" t="n">
        <x:v>10</x:v>
      </x:c>
      <x:c r="G333" s="30" t="n">
        <x:v>26</x:v>
      </x:c>
    </x:row>
    <x:row r="334" ht="42" customHeight="1">
      <x:c r="A334" s="14" t="str">
        <x:v>инмод аппарат реакция кожи на</x:v>
      </x:c>
      <x:c r="B334" s="14" t="str">
        <x:v>https://kozhaclinic.ru/apparatnaya-kosmetologiya/ustranenie-giperpigmentatsii-inmode/</x:v>
      </x:c>
      <x:c r="C334" s="31" t="n">
        <x:v>0</x:v>
      </x:c>
      <x:c r="D334" s="31" t="n">
        <x:v>0</x:v>
      </x:c>
      <x:c r="E334" s="33" t="str">
        <x:f>IF(AND(ISNUMBER(C334),ISNUMBER(D334),D334&gt;0),C334/D334,"")</x:f>
      </x:c>
      <x:c r="F334" s="35"/>
      <x:c r="G334" s="31" t="n">
        <x:v>4</x:v>
      </x:c>
    </x:row>
    <x:row r="335" ht="42" customHeight="1">
      <x:c r="A335" s="12" t="str">
        <x:v>миграция филлера в нижней губе</x:v>
      </x:c>
      <x:c r="B335" s="12" t="str">
        <x:v>https://kozhaclinic.ru/migratsiya-gelya-iz-gub/</x:v>
      </x:c>
      <x:c r="C335" s="30" t="n">
        <x:v>0</x:v>
      </x:c>
      <x:c r="D335" s="30" t="n">
        <x:v>9</x:v>
      </x:c>
      <x:c r="E335" s="32" t="n">
        <x:f>IF(AND(ISNUMBER(C335),ISNUMBER(D335),D335&gt;0),C335/D335,"")</x:f>
        <x:v>0</x:v>
      </x:c>
      <x:c r="F335" s="34" t="n">
        <x:v>3.1</x:v>
      </x:c>
      <x:c r="G335" s="30" t="n">
        <x:v>9</x:v>
      </x:c>
    </x:row>
    <x:row r="336" ht="42" customHeight="1">
      <x:c r="A336" s="14" t="str">
        <x:v>микроигольчатый рф лифтинг epilux</x:v>
      </x:c>
      <x:c r="B336" s="14" t="str">
        <x:v>https://kozhaclinic.ru/apparatnaya-kosmetologiya/igolchatyy-rf-lifting-na-morpheus-8/</x:v>
      </x:c>
      <x:c r="C336" s="31" t="n">
        <x:v>0</x:v>
      </x:c>
      <x:c r="D336" s="31" t="n">
        <x:v>0</x:v>
      </x:c>
      <x:c r="E336" s="33" t="str">
        <x:f>IF(AND(ISNUMBER(C336),ISNUMBER(D336),D336&gt;0),C336/D336,"")</x:f>
      </x:c>
      <x:c r="F336" s="35"/>
      <x:c r="G336" s="31" t="n">
        <x:v>0</x:v>
      </x:c>
    </x:row>
    <x:row r="337" ht="42" customHeight="1">
      <x:c r="A337" s="12" t="str">
        <x:v>сургут ботокс</x:v>
      </x:c>
      <x:c r="B337" s="12" t="str">
        <x:v>https://kozhaclinic.ru/inekcionnaya-kosmetologiya/botulinoterapiya/</x:v>
      </x:c>
      <x:c r="C337" s="30" t="n">
        <x:v>0</x:v>
      </x:c>
      <x:c r="D337" s="30" t="n">
        <x:v>2</x:v>
      </x:c>
      <x:c r="E337" s="32" t="n">
        <x:f>IF(AND(ISNUMBER(C337),ISNUMBER(D337),D337&gt;0),C337/D337,"")</x:f>
        <x:v>0</x:v>
      </x:c>
      <x:c r="F337" s="34" t="n">
        <x:v>3</x:v>
      </x:c>
      <x:c r="G337" s="30" t="n">
        <x:v>2</x:v>
      </x:c>
    </x:row>
    <x:row r="338" ht="42" customHeight="1">
      <x:c r="A338" s="14" t="str">
        <x:v>что делать если гель в губах мигрировал</x:v>
      </x:c>
      <x:c r="B338" s="14" t="str">
        <x:v>https://kozhaclinic.ru/migratsiya-gelya-iz-gub/</x:v>
      </x:c>
      <x:c r="C338" s="31" t="n">
        <x:v>0</x:v>
      </x:c>
      <x:c r="D338" s="31" t="n">
        <x:v>10</x:v>
      </x:c>
      <x:c r="E338" s="33" t="n">
        <x:f>IF(AND(ISNUMBER(C338),ISNUMBER(D338),D338&gt;0),C338/D338,"")</x:f>
        <x:v>0</x:v>
      </x:c>
      <x:c r="F338" s="35" t="n">
        <x:v>9.6</x:v>
      </x:c>
      <x:c r="G338" s="31" t="n">
        <x:v>13</x:v>
      </x:c>
    </x:row>
    <x:row r="339" ht="42" customHeight="1">
      <x:c r="A339" s="12" t="str">
        <x:v>капельница цены в сургут</x:v>
      </x:c>
      <x:c r="B339" s="12" t="str">
        <x:v>https://kozhaclinic.ru/ceny-prajs-list/</x:v>
      </x:c>
      <x:c r="C339" s="30" t="n">
        <x:v>0</x:v>
      </x:c>
      <x:c r="D339" s="30" t="n">
        <x:v>0</x:v>
      </x:c>
      <x:c r="E339" s="32" t="str">
        <x:f>IF(AND(ISNUMBER(C339),ISNUMBER(D339),D339&gt;0),C339/D339,"")</x:f>
      </x:c>
      <x:c r="F339" s="34"/>
      <x:c r="G339" s="30" t="n">
        <x:v>0</x:v>
      </x:c>
    </x:row>
    <x:row r="340" ht="42" customHeight="1">
      <x:c r="A340" s="14" t="str">
        <x:v>кожа косметология</x:v>
      </x:c>
      <x:c r="B340" s="14" t="str">
        <x:v>https://kozhaclinic.ru/</x:v>
      </x:c>
      <x:c r="C340" s="31" t="n">
        <x:v>1</x:v>
      </x:c>
      <x:c r="D340" s="31" t="n">
        <x:v>1</x:v>
      </x:c>
      <x:c r="E340" s="33" t="n">
        <x:f>IF(AND(ISNUMBER(C340),ISNUMBER(D340),D340&gt;0),C340/D340,"")</x:f>
        <x:v>1</x:v>
      </x:c>
      <x:c r="F340" s="35" t="n">
        <x:v>2</x:v>
      </x:c>
      <x:c r="G340" s="31" t="n">
        <x:v>10</x:v>
      </x:c>
    </x:row>
    <x:row r="341" ht="42" customHeight="1">
      <x:c r="A341" s="12" t="str">
        <x:v>лазерное удаление папиллом сургут</x:v>
      </x:c>
      <x:c r="B341" s="12" t="str">
        <x:v>https://kozhaclinic.ru/udalenie-novoobrazovanij/</x:v>
      </x:c>
      <x:c r="C341" s="30" t="n">
        <x:v>0</x:v>
      </x:c>
      <x:c r="D341" s="30" t="n">
        <x:v>5</x:v>
      </x:c>
      <x:c r="E341" s="32" t="n">
        <x:f>IF(AND(ISNUMBER(C341),ISNUMBER(D341),D341&gt;0),C341/D341,"")</x:f>
        <x:v>0</x:v>
      </x:c>
      <x:c r="F341" s="34" t="n">
        <x:v>11</x:v>
      </x:c>
      <x:c r="G341" s="30" t="n">
        <x:v>7</x:v>
      </x:c>
    </x:row>
    <x:row r="342" ht="42" customHeight="1">
      <x:c r="A342" s="14" t="str">
        <x:v>массаж для подтяжки лица body-ksy.ru/</x:v>
      </x:c>
      <x:c r="B342" s="14" t="str">
        <x:v>https://kozhaclinic.ru/uhodovye-procedury/massazhi/plastifitsiruyushchiy/</x:v>
      </x:c>
      <x:c r="C342" s="31" t="n">
        <x:v>0</x:v>
      </x:c>
      <x:c r="D342" s="31" t="n">
        <x:v>0</x:v>
      </x:c>
      <x:c r="E342" s="33" t="str">
        <x:f>IF(AND(ISNUMBER(C342),ISNUMBER(D342),D342&gt;0),C342/D342,"")</x:f>
      </x:c>
      <x:c r="F342" s="35"/>
      <x:c r="G342" s="31" t="n">
        <x:v>0</x:v>
      </x:c>
    </x:row>
    <x:row r="343" ht="42" customHeight="1">
      <x:c r="A343" s="12" t="str">
        <x:v>миграция верхней губы</x:v>
      </x:c>
      <x:c r="B343" s="12" t="str">
        <x:v>https://kozhaclinic.ru/migratsiya-gelya-iz-gub/</x:v>
      </x:c>
      <x:c r="C343" s="30" t="n">
        <x:v>0</x:v>
      </x:c>
      <x:c r="D343" s="30" t="n">
        <x:v>7</x:v>
      </x:c>
      <x:c r="E343" s="32" t="n">
        <x:f>IF(AND(ISNUMBER(C343),ISNUMBER(D343),D343&gt;0),C343/D343,"")</x:f>
        <x:v>0</x:v>
      </x:c>
      <x:c r="F343" s="34" t="n">
        <x:v>6.5</x:v>
      </x:c>
      <x:c r="G343" s="30" t="n">
        <x:v>8</x:v>
      </x:c>
    </x:row>
    <x:row r="344" ht="42" customHeight="1">
      <x:c r="A344" s="14" t="str">
        <x:v>миграция препарата в губах</x:v>
      </x:c>
      <x:c r="B344" s="14" t="str">
        <x:v>https://kozhaclinic.ru/migratsiya-gelya-iz-gub/</x:v>
      </x:c>
      <x:c r="C344" s="31" t="n">
        <x:v>0</x:v>
      </x:c>
      <x:c r="D344" s="31" t="n">
        <x:v>13</x:v>
      </x:c>
      <x:c r="E344" s="33" t="n">
        <x:f>IF(AND(ISNUMBER(C344),ISNUMBER(D344),D344&gt;0),C344/D344,"")</x:f>
        <x:v>0</x:v>
      </x:c>
      <x:c r="F344" s="35" t="n">
        <x:v>8.5</x:v>
      </x:c>
      <x:c r="G344" s="31" t="n">
        <x:v>14</x:v>
      </x:c>
    </x:row>
    <x:row r="345" ht="42" customHeight="1">
      <x:c r="A345" s="12" t="str">
        <x:v>миграция филлера из губ</x:v>
      </x:c>
      <x:c r="B345" s="12" t="str">
        <x:v>https://kozhaclinic.ru/migratsiya-gelya-iz-gub/</x:v>
      </x:c>
      <x:c r="C345" s="30" t="n">
        <x:v>0</x:v>
      </x:c>
      <x:c r="D345" s="30" t="n">
        <x:v>8</x:v>
      </x:c>
      <x:c r="E345" s="32" t="n">
        <x:f>IF(AND(ISNUMBER(C345),ISNUMBER(D345),D345&gt;0),C345/D345,"")</x:f>
        <x:v>0</x:v>
      </x:c>
      <x:c r="F345" s="34" t="n">
        <x:v>4.8</x:v>
      </x:c>
      <x:c r="G345" s="30" t="n">
        <x:v>8</x:v>
      </x:c>
    </x:row>
    <x:row r="346" ht="42" customHeight="1">
      <x:c r="A346" s="14" t="str">
        <x:v>почему мигрирует гель в губах</x:v>
      </x:c>
      <x:c r="B346" s="14" t="str">
        <x:v>https://kozhaclinic.ru/migratsiya-gelya-iz-gub/</x:v>
      </x:c>
      <x:c r="C346" s="31" t="n">
        <x:v>0</x:v>
      </x:c>
      <x:c r="D346" s="31" t="n">
        <x:v>7</x:v>
      </x:c>
      <x:c r="E346" s="33" t="n">
        <x:f>IF(AND(ISNUMBER(C346),ISNUMBER(D346),D346&gt;0),C346/D346,"")</x:f>
        <x:v>0</x:v>
      </x:c>
      <x:c r="F346" s="35" t="n">
        <x:v>9.8</x:v>
      </x:c>
      <x:c r="G346" s="31" t="n">
        <x:v>8</x:v>
      </x:c>
    </x:row>
    <x:row r="347" ht="42" customHeight="1">
      <x:c r="A347" s="12" t="str">
        <x:v>удалить бородавки сургут</x:v>
      </x:c>
      <x:c r="B347" s="12" t="str">
        <x:v>https://kozhaclinic.ru/udalenie-novoobrazovanij/udalenie-borodavok/</x:v>
      </x:c>
      <x:c r="C347" s="30" t="n">
        <x:v>1</x:v>
      </x:c>
      <x:c r="D347" s="30" t="n">
        <x:v>4</x:v>
      </x:c>
      <x:c r="E347" s="32" t="n">
        <x:f>IF(AND(ISNUMBER(C347),ISNUMBER(D347),D347&gt;0),C347/D347,"")</x:f>
        <x:v>0.25</x:v>
      </x:c>
      <x:c r="F347" s="34" t="n">
        <x:v>2.7</x:v>
      </x:c>
      <x:c r="G347" s="30" t="n">
        <x:v>4</x:v>
      </x:c>
    </x:row>
    <x:row r="348" ht="42" customHeight="1">
      <x:c r="A348" s="14" t="str">
        <x:v>биоревитализация лица сургут</x:v>
      </x:c>
      <x:c r="B348" s="14" t="str">
        <x:v>https://kozhaclinic.ru/inekcionnaya-kosmetologiya/omolozhenie-i-pitanie-kozhi/biorevitalizatsiya/</x:v>
      </x:c>
      <x:c r="C348" s="31" t="n">
        <x:v>0</x:v>
      </x:c>
      <x:c r="D348" s="31" t="n">
        <x:v>2</x:v>
      </x:c>
      <x:c r="E348" s="33" t="n">
        <x:f>IF(AND(ISNUMBER(C348),ISNUMBER(D348),D348&gt;0),C348/D348,"")</x:f>
        <x:v>0</x:v>
      </x:c>
      <x:c r="F348" s="35" t="n">
        <x:v>2</x:v>
      </x:c>
      <x:c r="G348" s="31" t="n">
        <x:v>2</x:v>
      </x:c>
    </x:row>
    <x:row r="349" ht="42" customHeight="1">
      <x:c r="A349" s="12" t="str">
        <x:v>гиалуронидаза для удаления филлера</x:v>
      </x:c>
      <x:c r="B349" s="12" t="str">
        <x:v>https://kozhaclinic.ru/inekcionnaya-kosmetologiya/vyvedenie-fillera/</x:v>
      </x:c>
      <x:c r="C349" s="30" t="n">
        <x:v>0</x:v>
      </x:c>
      <x:c r="D349" s="30" t="n">
        <x:v>0</x:v>
      </x:c>
      <x:c r="E349" s="32" t="str">
        <x:f>IF(AND(ISNUMBER(C349),ISNUMBER(D349),D349&gt;0),C349/D349,"")</x:f>
      </x:c>
      <x:c r="F349" s="34"/>
      <x:c r="G349" s="30" t="n">
        <x:v>31</x:v>
      </x:c>
    </x:row>
    <x:row r="350" ht="42" customHeight="1">
      <x:c r="A350" s="14" t="str">
        <x:v>миграция геля из губ</x:v>
      </x:c>
      <x:c r="B350" s="14" t="str">
        <x:v>https://kozhaclinic.ru/migratsiya-gelya-iz-gub/</x:v>
      </x:c>
      <x:c r="C350" s="31" t="n">
        <x:v>0</x:v>
      </x:c>
      <x:c r="D350" s="31" t="n">
        <x:v>0</x:v>
      </x:c>
      <x:c r="E350" s="33" t="str">
        <x:f>IF(AND(ISNUMBER(C350),ISNUMBER(D350),D350&gt;0),C350/D350,"")</x:f>
      </x:c>
      <x:c r="F350" s="35"/>
      <x:c r="G350" s="31" t="n">
        <x:v>0</x:v>
      </x:c>
    </x:row>
    <x:row r="351" ht="42" customHeight="1">
      <x:c r="A351" s="12" t="str">
        <x:v>почистить спину от прыщей</x:v>
      </x:c>
      <x:c r="B351" s="12" t="str">
        <x:v>https://kozhaclinic.ru/uhodovye-procedury/chistki-litsa-i-spiny/chistka-spiny/</x:v>
      </x:c>
      <x:c r="C351" s="30" t="n">
        <x:v>0</x:v>
      </x:c>
      <x:c r="D351" s="30" t="n">
        <x:v>17</x:v>
      </x:c>
      <x:c r="E351" s="32" t="n">
        <x:f>IF(AND(ISNUMBER(C351),ISNUMBER(D351),D351&gt;0),C351/D351,"")</x:f>
        <x:v>0</x:v>
      </x:c>
      <x:c r="F351" s="34" t="n">
        <x:v>37.8</x:v>
      </x:c>
      <x:c r="G351" s="30" t="n">
        <x:v>24</x:v>
      </x:c>
    </x:row>
    <x:row r="352" ht="42" customHeight="1">
      <x:c r="A352" s="14" t="str">
        <x:v>удаление родинок лазером</x:v>
      </x:c>
      <x:c r="B352" s="14" t="str">
        <x:v>https://kozhaclinic.ru/</x:v>
      </x:c>
      <x:c r="C352" s="31" t="n">
        <x:v>2</x:v>
      </x:c>
      <x:c r="D352" s="31" t="n">
        <x:v>13</x:v>
      </x:c>
      <x:c r="E352" s="33" t="n">
        <x:f>IF(AND(ISNUMBER(C352),ISNUMBER(D352),D352&gt;0),C352/D352,"")</x:f>
        <x:v>0.15384615384615385</x:v>
      </x:c>
      <x:c r="F352" s="35" t="n">
        <x:v>9</x:v>
      </x:c>
      <x:c r="G352" s="31" t="n">
        <x:v>1577</x:v>
      </x:c>
    </x:row>
    <x:row r="353" ht="42" customHeight="1">
      <x:c r="A353" s="12" t="str">
        <x:v>удалить шипицу сургут</x:v>
      </x:c>
      <x:c r="B353" s="12" t="str">
        <x:v>https://kozhaclinic.ru/udalenie-novoobrazovanij/udalenie-borodavok/</x:v>
      </x:c>
      <x:c r="C353" s="30" t="n">
        <x:v>0</x:v>
      </x:c>
      <x:c r="D353" s="30" t="n">
        <x:v>6</x:v>
      </x:c>
      <x:c r="E353" s="32" t="n">
        <x:f>IF(AND(ISNUMBER(C353),ISNUMBER(D353),D353&gt;0),C353/D353,"")</x:f>
        <x:v>0</x:v>
      </x:c>
      <x:c r="F353" s="34" t="n">
        <x:v>5.8</x:v>
      </x:c>
      <x:c r="G353" s="30" t="n">
        <x:v>8</x:v>
      </x:c>
    </x:row>
    <x:row r="354" ht="42" customHeight="1">
      <x:c r="A354" s="14" t="str">
        <x:v>что дает увлажнение губ</x:v>
      </x:c>
      <x:c r="B354" s="14" t="str">
        <x:v>https://kozhaclinic.ru/inekcionnaya-kosmetologiya/konturnaya-plastika/uvlazhnenie-gub/</x:v>
      </x:c>
      <x:c r="C354" s="31" t="n">
        <x:v>0</x:v>
      </x:c>
      <x:c r="D354" s="31" t="n">
        <x:v>0</x:v>
      </x:c>
      <x:c r="E354" s="33" t="str">
        <x:f>IF(AND(ISNUMBER(C354),ISNUMBER(D354),D354&gt;0),C354/D354,"")</x:f>
      </x:c>
      <x:c r="F354" s="35"/>
      <x:c r="G354" s="31" t="n">
        <x:v>3</x:v>
      </x:c>
    </x:row>
    <x:row r="355" ht="42" customHeight="1">
      <x:c r="A355" s="12" t="str">
        <x:v>дерматолог сургут</x:v>
      </x:c>
      <x:c r="B355" s="12" t="str">
        <x:v>https://kozhaclinic.ru/</x:v>
      </x:c>
      <x:c r="C355" s="30" t="n">
        <x:v>0</x:v>
      </x:c>
      <x:c r="D355" s="30" t="n">
        <x:v>13</x:v>
      </x:c>
      <x:c r="E355" s="32" t="n">
        <x:f>IF(AND(ISNUMBER(C355),ISNUMBER(D355),D355&gt;0),C355/D355,"")</x:f>
        <x:v>0</x:v>
      </x:c>
      <x:c r="F355" s="34" t="n">
        <x:v>14.1</x:v>
      </x:c>
      <x:c r="G355" s="30" t="n">
        <x:v>484</x:v>
      </x:c>
    </x:row>
    <x:row r="356" ht="42" customHeight="1">
      <x:c r="A356" s="14" t="str">
        <x:v>радиесс</x:v>
      </x:c>
      <x:c r="B356" s="14" t="str">
        <x:v>https://kozhaclinic.ru/inekcionnaya-kosmetologiya/omolozhenie-i-pitanie-kozhi/protsedura-fillerom-radiesse-radiess/</x:v>
      </x:c>
      <x:c r="C356" s="31" t="n">
        <x:v>0</x:v>
      </x:c>
      <x:c r="D356" s="31" t="n">
        <x:v>0</x:v>
      </x:c>
      <x:c r="E356" s="33" t="str">
        <x:f>IF(AND(ISNUMBER(C356),ISNUMBER(D356),D356&gt;0),C356/D356,"")</x:f>
      </x:c>
      <x:c r="F356" s="35"/>
      <x:c r="G356" s="31" t="n">
        <x:v>2326</x:v>
      </x:c>
    </x:row>
    <x:row r="357" ht="42" customHeight="1">
      <x:c r="A357" s="12" t="str">
        <x:v>удаление папиллом лазером 296-222</x:v>
      </x:c>
      <x:c r="B357" s="12" t="str">
        <x:v>https://kozhaclinic.ru/</x:v>
      </x:c>
      <x:c r="C357" s="30" t="n">
        <x:v>0</x:v>
      </x:c>
      <x:c r="D357" s="30" t="n">
        <x:v>1</x:v>
      </x:c>
      <x:c r="E357" s="32" t="n">
        <x:f>IF(AND(ISNUMBER(C357),ISNUMBER(D357),D357&gt;0),C357/D357,"")</x:f>
        <x:v>0</x:v>
      </x:c>
      <x:c r="F357" s="34" t="n">
        <x:v>8</x:v>
      </x:c>
      <x:c r="G357" s="30" t="n">
        <x:v>2</x:v>
      </x:c>
    </x:row>
    <x:row r="358" ht="42" customHeight="1">
      <x:c r="A358" s="14" t="str">
        <x:v>фотоомоложение</x:v>
      </x:c>
      <x:c r="B358" s="14" t="str">
        <x:v>https://kozhaclinic.ru/apparatnaya-kosmetologiya/fotoomolozhenie-inmode/</x:v>
      </x:c>
      <x:c r="C358" s="31" t="n">
        <x:v>0</x:v>
      </x:c>
      <x:c r="D358" s="31" t="n">
        <x:v>13</x:v>
      </x:c>
      <x:c r="E358" s="33" t="n">
        <x:f>IF(AND(ISNUMBER(C358),ISNUMBER(D358),D358&gt;0),C358/D358,"")</x:f>
        <x:v>0</x:v>
      </x:c>
      <x:c r="F358" s="35" t="n">
        <x:v>7.2</x:v>
      </x:c>
      <x:c r="G358" s="31" t="n">
        <x:v>7099</x:v>
      </x:c>
    </x:row>
    <x:row r="359" ht="42" customHeight="1">
      <x:c r="A359" s="12" t="str">
        <x:v>чистка спины от угрей</x:v>
      </x:c>
      <x:c r="B359" s="12" t="str">
        <x:v>https://kozhaclinic.ru/uhodovye-procedury/chistki-litsa-i-spiny/chistka-spiny/</x:v>
      </x:c>
      <x:c r="C359" s="30" t="n">
        <x:v>0</x:v>
      </x:c>
      <x:c r="D359" s="30" t="n">
        <x:v>3</x:v>
      </x:c>
      <x:c r="E359" s="32" t="n">
        <x:f>IF(AND(ISNUMBER(C359),ISNUMBER(D359),D359&gt;0),C359/D359,"")</x:f>
        <x:v>0</x:v>
      </x:c>
      <x:c r="F359" s="34" t="n">
        <x:v>25</x:v>
      </x:c>
      <x:c r="G359" s="30" t="n">
        <x:v>157</x:v>
      </x:c>
    </x:row>
    <x:row r="360" ht="42" customHeight="1">
      <x:c r="A360" s="14" t="str">
        <x:v>дерматолог косметолог сургут</x:v>
      </x:c>
      <x:c r="B360" s="14" t="str">
        <x:v>https://kozhaclinic.ru/</x:v>
      </x:c>
      <x:c r="C360" s="31" t="n">
        <x:v>0</x:v>
      </x:c>
      <x:c r="D360" s="31" t="n">
        <x:v>12</x:v>
      </x:c>
      <x:c r="E360" s="33" t="n">
        <x:f>IF(AND(ISNUMBER(C360),ISNUMBER(D360),D360&gt;0),C360/D360,"")</x:f>
        <x:v>0</x:v>
      </x:c>
      <x:c r="F360" s="35" t="n">
        <x:v>9.9</x:v>
      </x:c>
      <x:c r="G360" s="31" t="n">
        <x:v>17</x:v>
      </x:c>
    </x:row>
    <x:row r="361" ht="42" customHeight="1">
      <x:c r="A361" s="12" t="str">
        <x:v>как понять что филлер мигрировал</x:v>
      </x:c>
      <x:c r="B361" s="12" t="str">
        <x:v>https://kozhaclinic.ru/migratsiya-gelya-iz-gub/</x:v>
      </x:c>
      <x:c r="C361" s="30" t="n">
        <x:v>0</x:v>
      </x:c>
      <x:c r="D361" s="30" t="n">
        <x:v>13</x:v>
      </x:c>
      <x:c r="E361" s="32" t="n">
        <x:f>IF(AND(ISNUMBER(C361),ISNUMBER(D361),D361&gt;0),C361/D361,"")</x:f>
        <x:v>0</x:v>
      </x:c>
      <x:c r="F361" s="34" t="n">
        <x:v>9.4</x:v>
      </x:c>
      <x:c r="G361" s="30" t="n">
        <x:v>22</x:v>
      </x:c>
    </x:row>
    <x:row r="362" ht="42" customHeight="1">
      <x:c r="A362" s="14" t="str">
        <x:v>клиника косметологии кожа</x:v>
      </x:c>
      <x:c r="B362" s="14" t="str">
        <x:v>https://kozhaclinic.ru/</x:v>
      </x:c>
      <x:c r="C362" s="31" t="n">
        <x:v>0</x:v>
      </x:c>
      <x:c r="D362" s="31" t="n">
        <x:v>2</x:v>
      </x:c>
      <x:c r="E362" s="33" t="n">
        <x:f>IF(AND(ISNUMBER(C362),ISNUMBER(D362),D362&gt;0),C362/D362,"")</x:f>
        <x:v>0</x:v>
      </x:c>
      <x:c r="F362" s="35" t="n">
        <x:v>1.5</x:v>
      </x:c>
      <x:c r="G362" s="31" t="n">
        <x:v>1</x:v>
      </x:c>
    </x:row>
    <x:row r="363" ht="42" customHeight="1">
      <x:c r="A363" s="12" t="str">
        <x:v>миграция губы</x:v>
      </x:c>
      <x:c r="B363" s="12" t="str">
        <x:v>https://kozhaclinic.ru/migratsiya-gelya-iz-gub/</x:v>
      </x:c>
      <x:c r="C363" s="30" t="n">
        <x:v>0</x:v>
      </x:c>
      <x:c r="D363" s="30" t="n">
        <x:v>7</x:v>
      </x:c>
      <x:c r="E363" s="32" t="n">
        <x:f>IF(AND(ISNUMBER(C363),ISNUMBER(D363),D363&gt;0),C363/D363,"")</x:f>
        <x:v>0</x:v>
      </x:c>
      <x:c r="F363" s="34" t="n">
        <x:v>5.8</x:v>
      </x:c>
      <x:c r="G363" s="30" t="n">
        <x:v>9</x:v>
      </x:c>
    </x:row>
    <x:row r="364" ht="42" customHeight="1">
      <x:c r="A364" s="14" t="str">
        <x:v>может ли гиалуроновая кислота мигрировать из губ</x:v>
      </x:c>
      <x:c r="B364" s="14" t="str">
        <x:v>https://kozhaclinic.ru/migratsiya-gelya-iz-gub/</x:v>
      </x:c>
      <x:c r="C364" s="31" t="n">
        <x:v>0</x:v>
      </x:c>
      <x:c r="D364" s="31" t="n">
        <x:v>3</x:v>
      </x:c>
      <x:c r="E364" s="33" t="n">
        <x:f>IF(AND(ISNUMBER(C364),ISNUMBER(D364),D364&gt;0),C364/D364,"")</x:f>
        <x:v>0</x:v>
      </x:c>
      <x:c r="F364" s="35" t="n">
        <x:v>7.3</x:v>
      </x:c>
      <x:c r="G364" s="31" t="n">
        <x:v>3</x:v>
      </x:c>
    </x:row>
    <x:row r="365" ht="42" customHeight="1">
      <x:c r="A365" s="12" t="str">
        <x:v>плазмолифтинг сургут цена</x:v>
      </x:c>
      <x:c r="B365" s="12" t="str">
        <x:v>https://kozhaclinic.ru/inekcionnaya-kosmetologiya/omolozhenie-i-pitanie-kozhi/plazmolifting-dlya-volos/</x:v>
      </x:c>
      <x:c r="C365" s="30" t="n">
        <x:v>0</x:v>
      </x:c>
      <x:c r="D365" s="30" t="n">
        <x:v>3</x:v>
      </x:c>
      <x:c r="E365" s="32" t="n">
        <x:f>IF(AND(ISNUMBER(C365),ISNUMBER(D365),D365&gt;0),C365/D365,"")</x:f>
        <x:v>0</x:v>
      </x:c>
      <x:c r="F365" s="34" t="n">
        <x:v>7.6</x:v>
      </x:c>
      <x:c r="G365" s="30" t="n">
        <x:v>3</x:v>
      </x:c>
    </x:row>
    <x:row r="366" ht="42" customHeight="1">
      <x:c r="A366" s="14" t="str">
        <x:v>удаление папиллом лазером цена 296-222</x:v>
      </x:c>
      <x:c r="B366" s="14" t="str">
        <x:v>https://kozhaclinic.ru/udalenie-novoobrazovanij/udalenie-papilom/</x:v>
      </x:c>
      <x:c r="C366" s="31" t="n">
        <x:v>0</x:v>
      </x:c>
      <x:c r="D366" s="31" t="n">
        <x:v>1</x:v>
      </x:c>
      <x:c r="E366" s="33" t="n">
        <x:f>IF(AND(ISNUMBER(C366),ISNUMBER(D366),D366&gt;0),C366/D366,"")</x:f>
        <x:v>0</x:v>
      </x:c>
      <x:c r="F366" s="35" t="n">
        <x:v>8</x:v>
      </x:c>
      <x:c r="G366" s="31" t="n">
        <x:v>1</x:v>
      </x:c>
    </x:row>
    <x:row r="367" ht="42" customHeight="1">
      <x:c r="A367" s="12" t="str">
        <x:v>фейслифтинг сургут</x:v>
      </x:c>
      <x:c r="B367" s="12" t="str">
        <x:v>https://kozhaclinic.ru/podtyazhka-kozhi-litsa/</x:v>
      </x:c>
      <x:c r="C367" s="30" t="n">
        <x:v>0</x:v>
      </x:c>
      <x:c r="D367" s="30" t="n">
        <x:v>2</x:v>
      </x:c>
      <x:c r="E367" s="32" t="n">
        <x:f>IF(AND(ISNUMBER(C367),ISNUMBER(D367),D367&gt;0),C367/D367,"")</x:f>
        <x:v>0</x:v>
      </x:c>
      <x:c r="F367" s="34" t="n">
        <x:v>9.5</x:v>
      </x:c>
      <x:c r="G367" s="30" t="n">
        <x:v>2</x:v>
      </x:c>
    </x:row>
    <x:row r="368" ht="42" customHeight="1">
      <x:c r="A368" s="14" t="str">
        <x:v>эстетическая косметология сургут</x:v>
      </x:c>
      <x:c r="B368" s="14" t="str">
        <x:v>https://kozhaclinic.ru/</x:v>
      </x:c>
      <x:c r="C368" s="31" t="n">
        <x:v>0</x:v>
      </x:c>
      <x:c r="D368" s="31" t="n">
        <x:v>3</x:v>
      </x:c>
      <x:c r="E368" s="33" t="n">
        <x:f>IF(AND(ISNUMBER(C368),ISNUMBER(D368),D368&gt;0),C368/D368,"")</x:f>
        <x:v>0</x:v>
      </x:c>
      <x:c r="F368" s="35" t="n">
        <x:v>10.6</x:v>
      </x:c>
      <x:c r="G368" s="31" t="n">
        <x:v>3</x:v>
      </x:c>
    </x:row>
    <x:row r="369" ht="42" customHeight="1">
      <x:c r="A369" s="12" t="str">
        <x:v>prp терапия сургут</x:v>
      </x:c>
      <x:c r="B369" s="12" t="str">
        <x:v>https://kozhaclinic.ru/inekcionnaya-kosmetologiya/omolozhenie-i-pitanie-kozhi/prp-terapiya-cortexil/</x:v>
      </x:c>
      <x:c r="C369" s="30" t="n">
        <x:v>0</x:v>
      </x:c>
      <x:c r="D369" s="30" t="n">
        <x:v>0</x:v>
      </x:c>
      <x:c r="E369" s="32" t="str">
        <x:f>IF(AND(ISNUMBER(C369),ISNUMBER(D369),D369&gt;0),C369/D369,"")</x:f>
      </x:c>
      <x:c r="F369" s="34"/>
      <x:c r="G369" s="30" t="n">
        <x:v>0</x:v>
      </x:c>
    </x:row>
    <x:row r="370" ht="42" customHeight="1">
      <x:c r="A370" s="14" t="str">
        <x:v>врачебная косметология</x:v>
      </x:c>
      <x:c r="B370" s="14" t="str">
        <x:v>https://kozhaclinic.ru/</x:v>
      </x:c>
      <x:c r="C370" s="31" t="n">
        <x:v>0</x:v>
      </x:c>
      <x:c r="D370" s="31" t="n">
        <x:v>5</x:v>
      </x:c>
      <x:c r="E370" s="33" t="n">
        <x:f>IF(AND(ISNUMBER(C370),ISNUMBER(D370),D370&gt;0),C370/D370,"")</x:f>
        <x:v>0</x:v>
      </x:c>
      <x:c r="F370" s="35" t="n">
        <x:v>8</x:v>
      </x:c>
      <x:c r="G370" s="31" t="n">
        <x:v>344</x:v>
      </x:c>
    </x:row>
    <x:row r="371" ht="42" customHeight="1">
      <x:c r="A371" s="12" t="str">
        <x:v>миграция в слизистую</x:v>
      </x:c>
      <x:c r="B371" s="12" t="str">
        <x:v>https://kozhaclinic.ru/migratsiya-gelya-iz-gub/</x:v>
      </x:c>
      <x:c r="C371" s="30" t="n">
        <x:v>0</x:v>
      </x:c>
      <x:c r="D371" s="30" t="n">
        <x:v>3</x:v>
      </x:c>
      <x:c r="E371" s="32" t="n">
        <x:f>IF(AND(ISNUMBER(C371),ISNUMBER(D371),D371&gt;0),C371/D371,"")</x:f>
        <x:v>0</x:v>
      </x:c>
      <x:c r="F371" s="34" t="n">
        <x:v>8.3</x:v>
      </x:c>
      <x:c r="G371" s="30" t="n">
        <x:v>3</x:v>
      </x:c>
    </x:row>
    <x:row r="372" ht="42" customHeight="1">
      <x:c r="A372" s="14" t="str">
        <x:v>салон косметологии кожа</x:v>
      </x:c>
      <x:c r="B372" s="14" t="str">
        <x:v>https://kozhaclinic.ru/akcii/</x:v>
      </x:c>
      <x:c r="C372" s="31" t="n">
        <x:v>0</x:v>
      </x:c>
      <x:c r="D372" s="31" t="n">
        <x:v>2</x:v>
      </x:c>
      <x:c r="E372" s="33" t="n">
        <x:f>IF(AND(ISNUMBER(C372),ISNUMBER(D372),D372&gt;0),C372/D372,"")</x:f>
        <x:v>0</x:v>
      </x:c>
      <x:c r="F372" s="35" t="n">
        <x:v>9.5</x:v>
      </x:c>
      <x:c r="G372" s="31" t="n">
        <x:v>2</x:v>
      </x:c>
    </x:row>
    <x:row r="373" ht="42" customHeight="1">
      <x:c r="A373" s="12" t="str">
        <x:v>сделать губы в сургуте</x:v>
      </x:c>
      <x:c r="B373" s="12" t="str">
        <x:v>https://kozhaclinic.ru/inekcionnaya-kosmetologiya/konturnaya-plastika/uvelichenie-gub/</x:v>
      </x:c>
      <x:c r="C373" s="30" t="n">
        <x:v>0</x:v>
      </x:c>
      <x:c r="D373" s="30" t="n">
        <x:v>3</x:v>
      </x:c>
      <x:c r="E373" s="32" t="n">
        <x:f>IF(AND(ISNUMBER(C373),ISNUMBER(D373),D373&gt;0),C373/D373,"")</x:f>
        <x:v>0</x:v>
      </x:c>
      <x:c r="F373" s="34" t="n">
        <x:v>8.3</x:v>
      </x:c>
      <x:c r="G373" s="30" t="n">
        <x:v>3</x:v>
      </x:c>
    </x:row>
    <x:row r="374" ht="42" customHeight="1">
      <x:c r="A374" s="14" t="str">
        <x:v>удаление сосудистых звездочек на лице сургут</x:v>
      </x:c>
      <x:c r="B374" s="14" t="str">
        <x:v>https://kozhaclinic.ru/apparatnaya-kosmetologiya/ustranenie-sosudistykh-zvyezdochek-kuperoz/</x:v>
      </x:c>
      <x:c r="C374" s="31" t="n">
        <x:v>1</x:v>
      </x:c>
      <x:c r="D374" s="31" t="n">
        <x:v>6</x:v>
      </x:c>
      <x:c r="E374" s="33" t="n">
        <x:f>IF(AND(ISNUMBER(C374),ISNUMBER(D374),D374&gt;0),C374/D374,"")</x:f>
        <x:v>0.16666666666666666</x:v>
      </x:c>
      <x:c r="F374" s="35" t="n">
        <x:v>7.8</x:v>
      </x:c>
      <x:c r="G374" s="31" t="n">
        <x:v>5</x:v>
      </x:c>
    </x:row>
    <x:row r="375" ht="42" customHeight="1">
      <x:c r="A375" s="12" t="str">
        <x:v>фотоомоложение инмод</x:v>
      </x:c>
      <x:c r="B375" s="12" t="str">
        <x:v>https://kozhaclinic.ru/apparatnaya-kosmetologiya/fotoomolozhenie-inmode/</x:v>
      </x:c>
      <x:c r="C375" s="30" t="n">
        <x:v>0</x:v>
      </x:c>
      <x:c r="D375" s="30" t="n">
        <x:v>2</x:v>
      </x:c>
      <x:c r="E375" s="32" t="n">
        <x:f>IF(AND(ISNUMBER(C375),ISNUMBER(D375),D375&gt;0),C375/D375,"")</x:f>
        <x:v>0</x:v>
      </x:c>
      <x:c r="F375" s="34" t="n">
        <x:v>9</x:v>
      </x:c>
      <x:c r="G375" s="30" t="n">
        <x:v>4</x:v>
      </x:c>
    </x:row>
    <x:row r="376" ht="42" customHeight="1">
      <x:c r="A376" s="14" t="str">
        <x:v>что делать если мигрировал филлер в губах после увеличения</x:v>
      </x:c>
      <x:c r="B376" s="14" t="str">
        <x:v>https://kozhaclinic.ru/migratsiya-gelya-iz-gub/</x:v>
      </x:c>
      <x:c r="C376" s="31" t="n">
        <x:v>0</x:v>
      </x:c>
      <x:c r="D376" s="31" t="n">
        <x:v>2</x:v>
      </x:c>
      <x:c r="E376" s="33" t="n">
        <x:f>IF(AND(ISNUMBER(C376),ISNUMBER(D376),D376&gt;0),C376/D376,"")</x:f>
        <x:v>0</x:v>
      </x:c>
      <x:c r="F376" s="35" t="n">
        <x:v>7.5</x:v>
      </x:c>
      <x:c r="G376" s="31" t="n">
        <x:v>3</x:v>
      </x:c>
    </x:row>
    <x:row r="377" ht="42" customHeight="1">
      <x:c r="A377" s="12" t="str">
        <x:v>где в сургуте можно удалить папилломы</x:v>
      </x:c>
      <x:c r="B377" s="12" t="str">
        <x:v>https://kozhaclinic.ru/udalenie-novoobrazovanij/udalenie-papilom/</x:v>
      </x:c>
      <x:c r="C377" s="30" t="n">
        <x:v>0</x:v>
      </x:c>
      <x:c r="D377" s="30" t="n">
        <x:v>3</x:v>
      </x:c>
      <x:c r="E377" s="32" t="n">
        <x:f>IF(AND(ISNUMBER(C377),ISNUMBER(D377),D377&gt;0),C377/D377,"")</x:f>
        <x:v>0</x:v>
      </x:c>
      <x:c r="F377" s="34" t="n">
        <x:v>5</x:v>
      </x:c>
      <x:c r="G377" s="30" t="n">
        <x:v>3</x:v>
      </x:c>
    </x:row>
    <x:row r="378" ht="42" customHeight="1">
      <x:c r="A378" s="14" t="str">
        <x:v>коллагенотерапия</x:v>
      </x:c>
      <x:c r="B378" s="14" t="str">
        <x:v>https://kozhaclinic.ru/inekcionnaya-kosmetologiya/kollagenoterapiya/</x:v>
      </x:c>
      <x:c r="C378" s="31" t="n">
        <x:v>0</x:v>
      </x:c>
      <x:c r="D378" s="31" t="n">
        <x:v>4</x:v>
      </x:c>
      <x:c r="E378" s="33" t="n">
        <x:f>IF(AND(ISNUMBER(C378),ISNUMBER(D378),D378&gt;0),C378/D378,"")</x:f>
        <x:v>0</x:v>
      </x:c>
      <x:c r="F378" s="35" t="n">
        <x:v>7.7</x:v>
      </x:c>
      <x:c r="G378" s="31" t="n">
        <x:v>2703</x:v>
      </x:c>
    </x:row>
    <x:row r="379" ht="42" customHeight="1">
      <x:c r="A379" s="12" t="str">
        <x:v>лазер сургут</x:v>
      </x:c>
      <x:c r="B379" s="12" t="str">
        <x:v>https://kozhaclinic.ru/</x:v>
      </x:c>
      <x:c r="C379" s="30" t="n">
        <x:v>0</x:v>
      </x:c>
      <x:c r="D379" s="30" t="n">
        <x:v>10</x:v>
      </x:c>
      <x:c r="E379" s="32" t="n">
        <x:f>IF(AND(ISNUMBER(C379),ISNUMBER(D379),D379&gt;0),C379/D379,"")</x:f>
        <x:v>0</x:v>
      </x:c>
      <x:c r="F379" s="34" t="n">
        <x:v>11.2</x:v>
      </x:c>
      <x:c r="G379" s="30" t="n">
        <x:v>21</x:v>
      </x:c>
    </x:row>
    <x:row r="380" ht="42" customHeight="1">
      <x:c r="A380" s="14" t="str">
        <x:v>лазерное удаление родинок альфа</x:v>
      </x:c>
      <x:c r="B380" s="14" t="str">
        <x:v>https://kozhaclinic.ru/udalenie-novoobrazovanij/</x:v>
      </x:c>
      <x:c r="C380" s="31" t="n">
        <x:v>0</x:v>
      </x:c>
      <x:c r="D380" s="31" t="n">
        <x:v>0</x:v>
      </x:c>
      <x:c r="E380" s="33" t="str">
        <x:f>IF(AND(ISNUMBER(C380),ISNUMBER(D380),D380&gt;0),C380/D380,"")</x:f>
      </x:c>
      <x:c r="F380" s="35"/>
      <x:c r="G380" s="31" t="n">
        <x:v>0</x:v>
      </x:c>
    </x:row>
    <x:row r="381" ht="42" customHeight="1">
      <x:c r="A381" s="12" t="str">
        <x:v>пластифицирующий массаж лица это</x:v>
      </x:c>
      <x:c r="B381" s="12" t="str">
        <x:v>https://kozhaclinic.ru/uhodovye-procedury/massazhi/plastifitsiruyushchiy/</x:v>
      </x:c>
      <x:c r="C381" s="30" t="n">
        <x:v>0</x:v>
      </x:c>
      <x:c r="D381" s="30" t="n">
        <x:v>3</x:v>
      </x:c>
      <x:c r="E381" s="32" t="n">
        <x:f>IF(AND(ISNUMBER(C381),ISNUMBER(D381),D381&gt;0),C381/D381,"")</x:f>
        <x:v>0</x:v>
      </x:c>
      <x:c r="F381" s="34" t="n">
        <x:v>6</x:v>
      </x:c>
      <x:c r="G381" s="30" t="n">
        <x:v>3</x:v>
      </x:c>
    </x:row>
    <x:row r="382" ht="42" customHeight="1">
      <x:c r="A382" s="14" t="str">
        <x:v>пластифицирующий массаж это</x:v>
      </x:c>
      <x:c r="B382" s="14" t="str">
        <x:v>https://kozhaclinic.ru/uhodovye-procedury/massazhi/plastifitsiruyushchiy/</x:v>
      </x:c>
      <x:c r="C382" s="31" t="n">
        <x:v>0</x:v>
      </x:c>
      <x:c r="D382" s="31" t="n">
        <x:v>2</x:v>
      </x:c>
      <x:c r="E382" s="33" t="n">
        <x:f>IF(AND(ISNUMBER(C382),ISNUMBER(D382),D382&gt;0),C382/D382,"")</x:f>
        <x:v>0</x:v>
      </x:c>
      <x:c r="F382" s="35" t="n">
        <x:v>6</x:v>
      </x:c>
      <x:c r="G382" s="31" t="n">
        <x:v>2</x:v>
      </x:c>
    </x:row>
    <x:row r="383" ht="42" customHeight="1">
      <x:c r="A383" s="12" t="str">
        <x:v>релатокс что нельзя делать после процедуры</x:v>
      </x:c>
      <x:c r="B383" s="12" t="str">
        <x:v>https://kozhaclinic.ru/inekcionnaya-kosmetologiya/botulinoterapiya/relatox/</x:v>
      </x:c>
      <x:c r="C383" s="30" t="n">
        <x:v>1</x:v>
      </x:c>
      <x:c r="D383" s="30" t="n">
        <x:v>6</x:v>
      </x:c>
      <x:c r="E383" s="32" t="n">
        <x:f>IF(AND(ISNUMBER(C383),ISNUMBER(D383),D383&gt;0),C383/D383,"")</x:f>
        <x:v>0.16666666666666666</x:v>
      </x:c>
      <x:c r="F383" s="34" t="n">
        <x:v>10.5</x:v>
      </x:c>
      <x:c r="G383" s="30" t="n">
        <x:v>29</x:v>
      </x:c>
    </x:row>
    <x:row r="384" ht="42" customHeight="1">
      <x:c r="A384" s="14" t="str">
        <x:v>удаление родинок альфа</x:v>
      </x:c>
      <x:c r="B384" s="14" t="str">
        <x:v>https://kozhaclinic.ru/</x:v>
      </x:c>
      <x:c r="C384" s="31" t="n">
        <x:v>0</x:v>
      </x:c>
      <x:c r="D384" s="31" t="n">
        <x:v>1</x:v>
      </x:c>
      <x:c r="E384" s="33" t="n">
        <x:f>IF(AND(ISNUMBER(C384),ISNUMBER(D384),D384&gt;0),C384/D384,"")</x:f>
        <x:v>0</x:v>
      </x:c>
      <x:c r="F384" s="35" t="n">
        <x:v>11</x:v>
      </x:c>
      <x:c r="G384" s="31" t="n">
        <x:v>2</x:v>
      </x:c>
    </x:row>
    <x:row r="385" ht="42" customHeight="1">
      <x:c r="A385" s="12" t="str">
        <x:v>аппаратная косметология для лица</x:v>
      </x:c>
      <x:c r="B385" s="12" t="str">
        <x:v>https://kozhaclinic.ru/apparatnaya-kosmetologiya/</x:v>
      </x:c>
      <x:c r="C385" s="30" t="n">
        <x:v>0</x:v>
      </x:c>
      <x:c r="D385" s="30" t="n">
        <x:v>0</x:v>
      </x:c>
      <x:c r="E385" s="32" t="str">
        <x:f>IF(AND(ISNUMBER(C385),ISNUMBER(D385),D385&gt;0),C385/D385,"")</x:f>
      </x:c>
      <x:c r="F385" s="34"/>
      <x:c r="G385" s="30" t="n">
        <x:v>533</x:v>
      </x:c>
    </x:row>
    <x:row r="386" ht="42" customHeight="1">
      <x:c r="A386" s="14" t="str">
        <x:v>губы миграция</x:v>
      </x:c>
      <x:c r="B386" s="14" t="str">
        <x:v>https://kozhaclinic.ru/migratsiya-gelya-iz-gub/</x:v>
      </x:c>
      <x:c r="C386" s="31" t="n">
        <x:v>0</x:v>
      </x:c>
      <x:c r="D386" s="31" t="n">
        <x:v>6</x:v>
      </x:c>
      <x:c r="E386" s="33" t="n">
        <x:f>IF(AND(ISNUMBER(C386),ISNUMBER(D386),D386&gt;0),C386/D386,"")</x:f>
        <x:v>0</x:v>
      </x:c>
      <x:c r="F386" s="35" t="n">
        <x:v>7.3</x:v>
      </x:c>
      <x:c r="G386" s="31" t="n">
        <x:v>10</x:v>
      </x:c>
    </x:row>
    <x:row r="387" ht="42" customHeight="1">
      <x:c r="A387" s="12" t="str">
        <x:v>клиника кожи</x:v>
      </x:c>
      <x:c r="B387" s="12" t="str">
        <x:v>https://kozhaclinic.ru/</x:v>
      </x:c>
      <x:c r="C387" s="30" t="n">
        <x:v>0</x:v>
      </x:c>
      <x:c r="D387" s="30" t="n">
        <x:v>6</x:v>
      </x:c>
      <x:c r="E387" s="32" t="n">
        <x:f>IF(AND(ISNUMBER(C387),ISNUMBER(D387),D387&gt;0),C387/D387,"")</x:f>
        <x:v>0</x:v>
      </x:c>
      <x:c r="F387" s="34" t="n">
        <x:v>10.6</x:v>
      </x:c>
      <x:c r="G387" s="30" t="n">
        <x:v>165</x:v>
      </x:c>
    </x:row>
    <x:row r="388" ht="42" customHeight="1">
      <x:c r="A388" s="14" t="str">
        <x:v>кожа студия косметологии</x:v>
      </x:c>
      <x:c r="B388" s="14" t="str">
        <x:v>https://kozhaclinic.ru/o-nas/specialisty/</x:v>
      </x:c>
      <x:c r="C388" s="31" t="n">
        <x:v>0</x:v>
      </x:c>
      <x:c r="D388" s="31" t="n">
        <x:v>6</x:v>
      </x:c>
      <x:c r="E388" s="33" t="n">
        <x:f>IF(AND(ISNUMBER(C388),ISNUMBER(D388),D388&gt;0),C388/D388,"")</x:f>
        <x:v>0</x:v>
      </x:c>
      <x:c r="F388" s="35" t="n">
        <x:v>7.6</x:v>
      </x:c>
      <x:c r="G388" s="31" t="n">
        <x:v>6</x:v>
      </x:c>
    </x:row>
    <x:row r="389" ht="42" customHeight="1">
      <x:c r="A389" s="12" t="str">
        <x:v>контурная пластика лица сургут</x:v>
      </x:c>
      <x:c r="B389" s="12" t="str">
        <x:v>https://kozhaclinic.ru/inekcionnaya-kosmetologiya/konturnaya-plastika/konturnaya-plastika-litsa/</x:v>
      </x:c>
      <x:c r="C389" s="30" t="n">
        <x:v>0</x:v>
      </x:c>
      <x:c r="D389" s="30" t="n">
        <x:v>2</x:v>
      </x:c>
      <x:c r="E389" s="32" t="n">
        <x:f>IF(AND(ISNUMBER(C389),ISNUMBER(D389),D389&gt;0),C389/D389,"")</x:f>
        <x:v>0</x:v>
      </x:c>
      <x:c r="F389" s="34" t="n">
        <x:v>5.5</x:v>
      </x:c>
      <x:c r="G389" s="30" t="n">
        <x:v>2</x:v>
      </x:c>
    </x:row>
    <x:row r="390" ht="42" customHeight="1">
      <x:c r="A390" s="14" t="str">
        <x:v>косметолог null</x:v>
      </x:c>
      <x:c r="B390" s="14" t="str">
        <x:v>https://kozhaclinic.ru/o-nas/</x:v>
      </x:c>
      <x:c r="C390" s="31" t="n">
        <x:v>0</x:v>
      </x:c>
      <x:c r="D390" s="31" t="n">
        <x:v>0</x:v>
      </x:c>
      <x:c r="E390" s="33" t="str">
        <x:f>IF(AND(ISNUMBER(C390),ISNUMBER(D390),D390&gt;0),C390/D390,"")</x:f>
      </x:c>
      <x:c r="F390" s="35"/>
      <x:c r="G390" s="31" t="n">
        <x:v>0</x:v>
      </x:c>
    </x:row>
    <x:row r="391" ht="42" customHeight="1">
      <x:c r="A391" s="12" t="str">
        <x:v>лазер lumecca от пигментных пятен</x:v>
      </x:c>
      <x:c r="B391" s="12" t="str">
        <x:v>https://kozhaclinic.ru/apparatnaya-kosmetologiya/fotoomolozhenie-inmode/</x:v>
      </x:c>
      <x:c r="C391" s="30" t="n">
        <x:v>0</x:v>
      </x:c>
      <x:c r="D391" s="30" t="n">
        <x:v>0</x:v>
      </x:c>
      <x:c r="E391" s="32" t="str">
        <x:f>IF(AND(ISNUMBER(C391),ISNUMBER(D391),D391&gt;0),C391/D391,"")</x:f>
      </x:c>
      <x:c r="F391" s="34"/>
      <x:c r="G391" s="30" t="n">
        <x:v>2</x:v>
      </x:c>
    </x:row>
    <x:row r="392" ht="42" customHeight="1">
      <x:c r="A392" s="14" t="str">
        <x:v>миграция геля после увеличения губ</x:v>
      </x:c>
      <x:c r="B392" s="14" t="str">
        <x:v>https://kozhaclinic.ru/migratsiya-gelya-iz-gub/</x:v>
      </x:c>
      <x:c r="C392" s="31" t="n">
        <x:v>0</x:v>
      </x:c>
      <x:c r="D392" s="31" t="n">
        <x:v>8</x:v>
      </x:c>
      <x:c r="E392" s="33" t="n">
        <x:f>IF(AND(ISNUMBER(C392),ISNUMBER(D392),D392&gt;0),C392/D392,"")</x:f>
        <x:v>0</x:v>
      </x:c>
      <x:c r="F392" s="35" t="n">
        <x:v>7.3</x:v>
      </x:c>
      <x:c r="G392" s="31" t="n">
        <x:v>8</x:v>
      </x:c>
    </x:row>
    <x:row r="393" ht="42" customHeight="1">
      <x:c r="A393" s="12" t="str">
        <x:v>миграция губ в слизистую</x:v>
      </x:c>
      <x:c r="B393" s="12" t="str">
        <x:v>https://kozhaclinic.ru/migratsiya-gelya-iz-gub/</x:v>
      </x:c>
      <x:c r="C393" s="30" t="n">
        <x:v>0</x:v>
      </x:c>
      <x:c r="D393" s="30" t="n">
        <x:v>5</x:v>
      </x:c>
      <x:c r="E393" s="32" t="n">
        <x:f>IF(AND(ISNUMBER(C393),ISNUMBER(D393),D393&gt;0),C393/D393,"")</x:f>
        <x:v>0</x:v>
      </x:c>
      <x:c r="F393" s="34" t="n">
        <x:v>7.8</x:v>
      </x:c>
      <x:c r="G393" s="30" t="n">
        <x:v>5</x:v>
      </x:c>
    </x:row>
    <x:row r="394" ht="42" customHeight="1">
      <x:c r="A394" s="14" t="str">
        <x:v>миграция после увеличения губ</x:v>
      </x:c>
      <x:c r="B394" s="14" t="str">
        <x:v>https://kozhaclinic.ru/migratsiya-gelya-iz-gub/</x:v>
      </x:c>
      <x:c r="C394" s="31" t="n">
        <x:v>0</x:v>
      </x:c>
      <x:c r="D394" s="31" t="n">
        <x:v>6</x:v>
      </x:c>
      <x:c r="E394" s="33" t="n">
        <x:f>IF(AND(ISNUMBER(C394),ISNUMBER(D394),D394&gt;0),C394/D394,"")</x:f>
        <x:v>0</x:v>
      </x:c>
      <x:c r="F394" s="35" t="n">
        <x:v>7.1</x:v>
      </x:c>
      <x:c r="G394" s="31" t="n">
        <x:v>7</x:v>
      </x:c>
    </x:row>
    <x:row r="395" ht="42" customHeight="1">
      <x:c r="A395" s="12" t="str">
        <x:v>мигрированный гель в губах</x:v>
      </x:c>
      <x:c r="B395" s="12" t="str">
        <x:v>https://kozhaclinic.ru/migratsiya-gelya-iz-gub/</x:v>
      </x:c>
      <x:c r="C395" s="30" t="n">
        <x:v>0</x:v>
      </x:c>
      <x:c r="D395" s="30" t="n">
        <x:v>4</x:v>
      </x:c>
      <x:c r="E395" s="32" t="n">
        <x:f>IF(AND(ISNUMBER(C395),ISNUMBER(D395),D395&gt;0),C395/D395,"")</x:f>
        <x:v>0</x:v>
      </x:c>
      <x:c r="F395" s="34" t="n">
        <x:v>7.7</x:v>
      </x:c>
      <x:c r="G395" s="30" t="n">
        <x:v>4</x:v>
      </x:c>
    </x:row>
    <x:row r="396" ht="42" customHeight="1">
      <x:c r="A396" s="14" t="str">
        <x:v>мигрирующий гель в губах</x:v>
      </x:c>
      <x:c r="B396" s="14" t="str">
        <x:v>https://kozhaclinic.ru/migratsiya-gelya-iz-gub/</x:v>
      </x:c>
      <x:c r="C396" s="31" t="n">
        <x:v>0</x:v>
      </x:c>
      <x:c r="D396" s="31" t="n">
        <x:v>4</x:v>
      </x:c>
      <x:c r="E396" s="33" t="n">
        <x:f>IF(AND(ISNUMBER(C396),ISNUMBER(D396),D396&gt;0),C396/D396,"")</x:f>
        <x:v>0</x:v>
      </x:c>
      <x:c r="F396" s="35" t="n">
        <x:v>9</x:v>
      </x:c>
      <x:c r="G396" s="31" t="n">
        <x:v>6</x:v>
      </x:c>
    </x:row>
    <x:row r="397" ht="42" customHeight="1">
      <x:c r="A397" s="12" t="str">
        <x:v>увлажнение губ что это за процедура</x:v>
      </x:c>
      <x:c r="B397" s="12" t="str">
        <x:v>https://kozhaclinic.ru/inekcionnaya-kosmetologiya/konturnaya-plastika/uvlazhnenie-gub/</x:v>
      </x:c>
      <x:c r="C397" s="30" t="n">
        <x:v>0</x:v>
      </x:c>
      <x:c r="D397" s="30" t="n">
        <x:v>0</x:v>
      </x:c>
      <x:c r="E397" s="32" t="str">
        <x:f>IF(AND(ISNUMBER(C397),ISNUMBER(D397),D397&gt;0),C397/D397,"")</x:f>
      </x:c>
      <x:c r="F397" s="34"/>
      <x:c r="G397" s="30" t="n">
        <x:v>348</x:v>
      </x:c>
    </x:row>
    <x:row r="398" ht="42" customHeight="1">
      <x:c r="A398" s="14" t="str">
        <x:v>удаление папиллом лазером цена alfa</x:v>
      </x:c>
      <x:c r="B398" s="14" t="str">
        <x:v>https://kozhaclinic.ru/udalenie-novoobrazovanij/udalenie-papilom/</x:v>
      </x:c>
      <x:c r="C398" s="31" t="n">
        <x:v>0</x:v>
      </x:c>
      <x:c r="D398" s="31" t="n">
        <x:v>2</x:v>
      </x:c>
      <x:c r="E398" s="33" t="n">
        <x:f>IF(AND(ISNUMBER(C398),ISNUMBER(D398),D398&gt;0),C398/D398,"")</x:f>
        <x:v>0</x:v>
      </x:c>
      <x:c r="F398" s="35" t="n">
        <x:v>7.5</x:v>
      </x:c>
      <x:c r="G398" s="31" t="n">
        <x:v>3</x:v>
      </x:c>
    </x:row>
    <x:row r="399" ht="42" customHeight="1">
      <x:c r="A399" s="12" t="str">
        <x:v>филлер в губах мигрировал</x:v>
      </x:c>
      <x:c r="B399" s="12" t="str">
        <x:v>https://kozhaclinic.ru/migratsiya-gelya-iz-gub/</x:v>
      </x:c>
      <x:c r="C399" s="30" t="n">
        <x:v>0</x:v>
      </x:c>
      <x:c r="D399" s="30" t="n">
        <x:v>8</x:v>
      </x:c>
      <x:c r="E399" s="32" t="n">
        <x:f>IF(AND(ISNUMBER(C399),ISNUMBER(D399),D399&gt;0),C399/D399,"")</x:f>
        <x:v>0</x:v>
      </x:c>
      <x:c r="F399" s="34" t="n">
        <x:v>7.7</x:v>
      </x:c>
      <x:c r="G399" s="30" t="n">
        <x:v>8</x:v>
      </x:c>
    </x:row>
    <x:row r="400" ht="42" customHeight="1">
      <x:c r="A400" s="14" t="str">
        <x:v>плазмолифтинг сургут цены</x:v>
      </x:c>
      <x:c r="B400" s="14" t="str">
        <x:v>https://kozhaclinic.ru/inekcionnaya-kosmetologiya/omolozhenie-i-pitanie-kozhi/plazmolifting-dlya-volos/</x:v>
      </x:c>
      <x:c r="C400" s="31" t="n">
        <x:v>0</x:v>
      </x:c>
      <x:c r="D400" s="31" t="n">
        <x:v>0</x:v>
      </x:c>
      <x:c r="E400" s="33" t="str">
        <x:f>IF(AND(ISNUMBER(C400),ISNUMBER(D400),D400&gt;0),C400/D400,"")</x:f>
      </x:c>
      <x:c r="F400" s="35"/>
      <x:c r="G400" s="31" t="n">
        <x:v>0</x:v>
      </x:c>
    </x:row>
    <x:row r="401" ht="42" customHeight="1">
      <x:c r="A401" s="12" t="str">
        <x:v>почему гель мигрирует в слизистую</x:v>
      </x:c>
      <x:c r="B401" s="12" t="str">
        <x:v>https://kozhaclinic.ru/migratsiya-gelya-iz-gub/</x:v>
      </x:c>
      <x:c r="C401" s="30" t="n">
        <x:v>0</x:v>
      </x:c>
      <x:c r="D401" s="30" t="n">
        <x:v>5</x:v>
      </x:c>
      <x:c r="E401" s="32" t="n">
        <x:f>IF(AND(ISNUMBER(C401),ISNUMBER(D401),D401&gt;0),C401/D401,"")</x:f>
        <x:v>0</x:v>
      </x:c>
      <x:c r="F401" s="34" t="n">
        <x:v>10.4</x:v>
      </x:c>
      <x:c r="G401" s="30" t="n">
        <x:v>9</x:v>
      </x:c>
    </x:row>
    <x:row r="402" ht="42" customHeight="1">
      <x:c r="A402" s="14" t="str">
        <x:v>салон лазерной эпиляции сургут</x:v>
      </x:c>
      <x:c r="B402" s="14" t="str">
        <x:v>https://kozhaclinic.ru/</x:v>
      </x:c>
      <x:c r="C402" s="31" t="n">
        <x:v>0</x:v>
      </x:c>
      <x:c r="D402" s="31" t="n">
        <x:v>0</x:v>
      </x:c>
      <x:c r="E402" s="33" t="str">
        <x:f>IF(AND(ISNUMBER(C402),ISNUMBER(D402),D402&gt;0),C402/D402,"")</x:f>
      </x:c>
      <x:c r="F402" s="35"/>
      <x:c r="G402" s="31" t="n">
        <x:v>1</x:v>
      </x:c>
    </x:row>
    <x:row r="403" ht="42" customHeight="1">
      <x:c r="A403" s="12" t="str">
        <x:v>убрать папилломы сургут</x:v>
      </x:c>
      <x:c r="B403" s="12" t="str">
        <x:v>https://kozhaclinic.ru/udalenie-novoobrazovanij/udalenie-papilom/</x:v>
      </x:c>
      <x:c r="C403" s="30" t="n">
        <x:v>0</x:v>
      </x:c>
      <x:c r="D403" s="30" t="n">
        <x:v>2</x:v>
      </x:c>
      <x:c r="E403" s="32" t="n">
        <x:f>IF(AND(ISNUMBER(C403),ISNUMBER(D403),D403&gt;0),C403/D403,"")</x:f>
        <x:v>0</x:v>
      </x:c>
      <x:c r="F403" s="34" t="n">
        <x:v>4</x:v>
      </x:c>
      <x:c r="G403" s="30" t="n">
        <x:v>2</x:v>
      </x:c>
    </x:row>
    <x:row r="404" ht="42" customHeight="1">
      <x:c r="A404" s="14" t="str">
        <x:v>удаление новообразований лазером 296-222</x:v>
      </x:c>
      <x:c r="B404" s="14" t="str">
        <x:v>https://kozhaclinic.ru/</x:v>
      </x:c>
      <x:c r="C404" s="31" t="n">
        <x:v>0</x:v>
      </x:c>
      <x:c r="D404" s="31" t="n">
        <x:v>2</x:v>
      </x:c>
      <x:c r="E404" s="33" t="n">
        <x:f>IF(AND(ISNUMBER(C404),ISNUMBER(D404),D404&gt;0),C404/D404,"")</x:f>
        <x:v>0</x:v>
      </x:c>
      <x:c r="F404" s="35" t="n">
        <x:v>7.5</x:v>
      </x:c>
      <x:c r="G404" s="31" t="n">
        <x:v>2</x:v>
      </x:c>
    </x:row>
    <x:row r="405" ht="42" customHeight="1">
      <x:c r="A405" s="12" t="str">
        <x:v>центр эстетической медицины</x:v>
      </x:c>
      <x:c r="B405" s="12" t="str">
        <x:v>https://kozhaclinic.ru/</x:v>
      </x:c>
      <x:c r="C405" s="30" t="n">
        <x:v>0</x:v>
      </x:c>
      <x:c r="D405" s="30" t="n">
        <x:v>1</x:v>
      </x:c>
      <x:c r="E405" s="32" t="n">
        <x:f>IF(AND(ISNUMBER(C405),ISNUMBER(D405),D405&gt;0),C405/D405,"")</x:f>
        <x:v>0</x:v>
      </x:c>
      <x:c r="F405" s="34" t="n">
        <x:v>5</x:v>
      </x:c>
      <x:c r="G405" s="30" t="n">
        <x:v>815</x:v>
      </x:c>
    </x:row>
    <x:row r="406" ht="42" customHeight="1">
      <x:c r="A406" s="14" t="str">
        <x:v>гель в губах мигрировал</x:v>
      </x:c>
      <x:c r="B406" s="14" t="str">
        <x:v>https://kozhaclinic.ru/migratsiya-gelya-iz-gub/</x:v>
      </x:c>
      <x:c r="C406" s="31" t="n">
        <x:v>0</x:v>
      </x:c>
      <x:c r="D406" s="31" t="n">
        <x:v>6</x:v>
      </x:c>
      <x:c r="E406" s="33" t="n">
        <x:f>IF(AND(ISNUMBER(C406),ISNUMBER(D406),D406&gt;0),C406/D406,"")</x:f>
        <x:v>0</x:v>
      </x:c>
      <x:c r="F406" s="35" t="n">
        <x:v>6.8</x:v>
      </x:c>
      <x:c r="G406" s="31" t="n">
        <x:v>7</x:v>
      </x:c>
    </x:row>
    <x:row r="407" ht="42" customHeight="1">
      <x:c r="A407" s="12" t="str">
        <x:v>лазерное удаление папиллом alfa</x:v>
      </x:c>
      <x:c r="B407" s="12" t="str">
        <x:v>https://kozhaclinic.ru/udalenie-novoobrazovanij/udalenie-papilom/</x:v>
      </x:c>
      <x:c r="C407" s="30" t="n">
        <x:v>0</x:v>
      </x:c>
      <x:c r="D407" s="30" t="n">
        <x:v>2</x:v>
      </x:c>
      <x:c r="E407" s="32" t="n">
        <x:f>IF(AND(ISNUMBER(C407),ISNUMBER(D407),D407&gt;0),C407/D407,"")</x:f>
        <x:v>0</x:v>
      </x:c>
      <x:c r="F407" s="34" t="n">
        <x:v>7.5</x:v>
      </x:c>
      <x:c r="G407" s="30" t="n">
        <x:v>2</x:v>
      </x:c>
    </x:row>
    <x:row r="408" ht="42" customHeight="1">
      <x:c r="A408" s="14" t="str">
        <x:v>миграция геля в слизистую губ</x:v>
      </x:c>
      <x:c r="B408" s="14" t="str">
        <x:v>https://kozhaclinic.ru/migratsiya-gelya-iz-gub/</x:v>
      </x:c>
      <x:c r="C408" s="31" t="n">
        <x:v>0</x:v>
      </x:c>
      <x:c r="D408" s="31" t="n">
        <x:v>5</x:v>
      </x:c>
      <x:c r="E408" s="33" t="n">
        <x:f>IF(AND(ISNUMBER(C408),ISNUMBER(D408),D408&gt;0),C408/D408,"")</x:f>
        <x:v>0</x:v>
      </x:c>
      <x:c r="F408" s="35" t="n">
        <x:v>6.4</x:v>
      </x:c>
      <x:c r="G408" s="31" t="n">
        <x:v>5</x:v>
      </x:c>
    </x:row>
    <x:row r="409" ht="42" customHeight="1">
      <x:c r="A409" s="12" t="str">
        <x:v>субцизия рубцов сургут</x:v>
      </x:c>
      <x:c r="B409" s="12" t="str">
        <x:v>https://kozhaclinic.ru/ubrat-shram/</x:v>
      </x:c>
      <x:c r="C409" s="30" t="n">
        <x:v>0</x:v>
      </x:c>
      <x:c r="D409" s="30" t="n">
        <x:v>9</x:v>
      </x:c>
      <x:c r="E409" s="32" t="n">
        <x:f>IF(AND(ISNUMBER(C409),ISNUMBER(D409),D409&gt;0),C409/D409,"")</x:f>
        <x:v>0</x:v>
      </x:c>
      <x:c r="F409" s="34" t="n">
        <x:v>6.1</x:v>
      </x:c>
      <x:c r="G409" s="30" t="n">
        <x:v>9</x:v>
      </x:c>
    </x:row>
    <x:row r="410" ht="42" customHeight="1">
      <x:c r="A410" s="14" t="str">
        <x:v>увлажнение губ</x:v>
      </x:c>
      <x:c r="B410" s="14" t="str">
        <x:v>https://kozhaclinic.ru/inekcionnaya-kosmetologiya/konturnaya-plastika/uvlazhnenie-gub/</x:v>
      </x:c>
      <x:c r="C410" s="31" t="n">
        <x:v>0</x:v>
      </x:c>
      <x:c r="D410" s="31" t="n">
        <x:v>0</x:v>
      </x:c>
      <x:c r="E410" s="33" t="str">
        <x:f>IF(AND(ISNUMBER(C410),ISNUMBER(D410),D410&gt;0),C410/D410,"")</x:f>
      </x:c>
      <x:c r="F410" s="35"/>
      <x:c r="G410" s="31" t="n">
        <x:v>345</x:v>
      </x:c>
    </x:row>
    <x:row r="411" ht="42" customHeight="1">
      <x:c r="A411" s="12" t="str">
        <x:v>удаление папиллом alfa</x:v>
      </x:c>
      <x:c r="B411" s="12" t="str">
        <x:v>https://kozhaclinic.ru/udalenie-novoobrazovanij/udalenie-papilom/</x:v>
      </x:c>
      <x:c r="C411" s="30" t="n">
        <x:v>0</x:v>
      </x:c>
      <x:c r="D411" s="30" t="n">
        <x:v>0</x:v>
      </x:c>
      <x:c r="E411" s="32" t="str">
        <x:f>IF(AND(ISNUMBER(C411),ISNUMBER(D411),D411&gt;0),C411/D411,"")</x:f>
      </x:c>
      <x:c r="F411" s="34"/>
      <x:c r="G411" s="30" t="n">
        <x:v>0</x:v>
      </x:c>
    </x:row>
    <x:row r="412" ht="42" customHeight="1">
      <x:c r="A412" s="14" t="str">
        <x:v>удаление родинок цена alfa</x:v>
      </x:c>
      <x:c r="B412" s="14" t="str">
        <x:v>https://kozhaclinic.ru/udalenie-novoobrazovanij/</x:v>
      </x:c>
      <x:c r="C412" s="31" t="n">
        <x:v>0</x:v>
      </x:c>
      <x:c r="D412" s="31" t="n">
        <x:v>0</x:v>
      </x:c>
      <x:c r="E412" s="33" t="str">
        <x:f>IF(AND(ISNUMBER(C412),ISNUMBER(D412),D412&gt;0),C412/D412,"")</x:f>
      </x:c>
      <x:c r="F412" s="35"/>
      <x:c r="G412" s="31" t="n">
        <x:v>0</x:v>
      </x:c>
    </x:row>
    <x:row r="413" ht="42" customHeight="1">
      <x:c r="A413" s="12" t="str">
        <x:v>удаление родинок цена альфа</x:v>
      </x:c>
      <x:c r="B413" s="12" t="str">
        <x:v>https://kozhaclinic.ru/udalenie-novoobrazovanij/</x:v>
      </x:c>
      <x:c r="C413" s="30" t="n">
        <x:v>0</x:v>
      </x:c>
      <x:c r="D413" s="30" t="n">
        <x:v>2</x:v>
      </x:c>
      <x:c r="E413" s="32" t="n">
        <x:f>IF(AND(ISNUMBER(C413),ISNUMBER(D413),D413&gt;0),C413/D413,"")</x:f>
        <x:v>0</x:v>
      </x:c>
      <x:c r="F413" s="34" t="n">
        <x:v>8.5</x:v>
      </x:c>
      <x:c r="G413" s="30" t="n">
        <x:v>2</x:v>
      </x:c>
    </x:row>
    <x:row r="414" ht="42" customHeight="1">
      <x:c r="A414" s="14" t="str">
        <x:v>философия кожи сургут</x:v>
      </x:c>
      <x:c r="B414" s="14" t="str">
        <x:v>https://kozhaclinic.ru/</x:v>
      </x:c>
      <x:c r="C414" s="31" t="n">
        <x:v>0</x:v>
      </x:c>
      <x:c r="D414" s="31" t="n">
        <x:v>11</x:v>
      </x:c>
      <x:c r="E414" s="33" t="n">
        <x:f>IF(AND(ISNUMBER(C414),ISNUMBER(D414),D414&gt;0),C414/D414,"")</x:f>
        <x:v>0</x:v>
      </x:c>
      <x:c r="F414" s="35" t="n">
        <x:v>9.1</x:v>
      </x:c>
      <x:c r="G414" s="31" t="n">
        <x:v>11</x:v>
      </x:c>
    </x:row>
    <x:row r="415" ht="42" customHeight="1">
      <x:c r="A415" s="12" t="str">
        <x:v>чистка кожи спины от комедонов и черных точек</x:v>
      </x:c>
      <x:c r="B415" s="12" t="str">
        <x:v>https://kozhaclinic.ru/uhodovye-procedury/chistki-litsa-i-spiny/chistka-spiny/</x:v>
      </x:c>
      <x:c r="C415" s="30" t="n">
        <x:v>0</x:v>
      </x:c>
      <x:c r="D415" s="30" t="n">
        <x:v>0</x:v>
      </x:c>
      <x:c r="E415" s="32" t="str">
        <x:f>IF(AND(ISNUMBER(C415),ISNUMBER(D415),D415&gt;0),C415/D415,"")</x:f>
      </x:c>
      <x:c r="F415" s="34"/>
      <x:c r="G415" s="30" t="n">
        <x:v>3</x:v>
      </x:c>
    </x:row>
    <x:row r="416" ht="42" customHeight="1">
      <x:c r="A416" s="14" t="str">
        <x:v>что делать если гель с губ мигрировал</x:v>
      </x:c>
      <x:c r="B416" s="14" t="str">
        <x:v>https://kozhaclinic.ru/migratsiya-gelya-iz-gub/</x:v>
      </x:c>
      <x:c r="C416" s="31" t="n">
        <x:v>0</x:v>
      </x:c>
      <x:c r="D416" s="31" t="n">
        <x:v>2</x:v>
      </x:c>
      <x:c r="E416" s="33" t="n">
        <x:f>IF(AND(ISNUMBER(C416),ISNUMBER(D416),D416&gt;0),C416/D416,"")</x:f>
        <x:v>0</x:v>
      </x:c>
      <x:c r="F416" s="35" t="n">
        <x:v>10</x:v>
      </x:c>
      <x:c r="G416" s="31" t="n">
        <x:v>2</x:v>
      </x:c>
    </x:row>
    <x:row r="417" ht="42" customHeight="1">
      <x:c r="A417" s="12" t="str">
        <x:v>как понять что мигрировал гель в губах</x:v>
      </x:c>
      <x:c r="B417" s="12" t="str">
        <x:v>https://kozhaclinic.ru/migratsiya-gelya-iz-gub/</x:v>
      </x:c>
      <x:c r="C417" s="30" t="n">
        <x:v>0</x:v>
      </x:c>
      <x:c r="D417" s="30" t="n">
        <x:v>9</x:v>
      </x:c>
      <x:c r="E417" s="32" t="n">
        <x:f>IF(AND(ISNUMBER(C417),ISNUMBER(D417),D417&gt;0),C417/D417,"")</x:f>
        <x:v>0</x:v>
      </x:c>
      <x:c r="F417" s="34" t="n">
        <x:v>8.3</x:v>
      </x:c>
      <x:c r="G417" s="30" t="n">
        <x:v>11</x:v>
      </x:c>
    </x:row>
    <x:row r="418" ht="42" customHeight="1">
      <x:c r="A418" s="14" t="str">
        <x:v>кожа салон косметологии авито</x:v>
      </x:c>
      <x:c r="B418" s="14" t="str">
        <x:v>https://kozhaclinic.ru/uslugi/</x:v>
      </x:c>
      <x:c r="C418" s="31" t="n">
        <x:v>0</x:v>
      </x:c>
      <x:c r="D418" s="31" t="n">
        <x:v>2</x:v>
      </x:c>
      <x:c r="E418" s="33" t="n">
        <x:f>IF(AND(ISNUMBER(C418),ISNUMBER(D418),D418&gt;0),C418/D418,"")</x:f>
        <x:v>0</x:v>
      </x:c>
      <x:c r="F418" s="35" t="n">
        <x:v>9</x:v>
      </x:c>
      <x:c r="G418" s="31" t="n">
        <x:v>2</x:v>
      </x:c>
    </x:row>
    <x:row r="419" ht="42" customHeight="1">
      <x:c r="A419" s="12" t="str">
        <x:v>миграция филлера в слизистую нижней губы</x:v>
      </x:c>
      <x:c r="B419" s="12" t="str">
        <x:v>https://kozhaclinic.ru/migratsiya-gelya-iz-gub/</x:v>
      </x:c>
      <x:c r="C419" s="30" t="n">
        <x:v>0</x:v>
      </x:c>
      <x:c r="D419" s="30" t="n">
        <x:v>9</x:v>
      </x:c>
      <x:c r="E419" s="32" t="n">
        <x:f>IF(AND(ISNUMBER(C419),ISNUMBER(D419),D419&gt;0),C419/D419,"")</x:f>
        <x:v>0</x:v>
      </x:c>
      <x:c r="F419" s="34" t="n">
        <x:v>6.4</x:v>
      </x:c>
      <x:c r="G419" s="30" t="n">
        <x:v>10</x:v>
      </x:c>
    </x:row>
    <x:row r="420" ht="42" customHeight="1">
      <x:c r="A420" s="14" t="str">
        <x:v>миграция филлера на губах</x:v>
      </x:c>
      <x:c r="B420" s="14" t="str">
        <x:v>https://kozhaclinic.ru/migratsiya-gelya-iz-gub/</x:v>
      </x:c>
      <x:c r="C420" s="31" t="n">
        <x:v>0</x:v>
      </x:c>
      <x:c r="D420" s="31" t="n">
        <x:v>11</x:v>
      </x:c>
      <x:c r="E420" s="33" t="n">
        <x:f>IF(AND(ISNUMBER(C420),ISNUMBER(D420),D420&gt;0),C420/D420,"")</x:f>
        <x:v>0</x:v>
      </x:c>
      <x:c r="F420" s="35" t="n">
        <x:v>6.8</x:v>
      </x:c>
      <x:c r="G420" s="31" t="n">
        <x:v>12</x:v>
      </x:c>
    </x:row>
    <x:row r="421" ht="42" customHeight="1">
      <x:c r="A421" s="12" t="str">
        <x:v>мигрированные губы</x:v>
      </x:c>
      <x:c r="B421" s="12" t="str">
        <x:v>https://kozhaclinic.ru/migratsiya-gelya-iz-gub/</x:v>
      </x:c>
      <x:c r="C421" s="30" t="n">
        <x:v>0</x:v>
      </x:c>
      <x:c r="D421" s="30" t="n">
        <x:v>4</x:v>
      </x:c>
      <x:c r="E421" s="32" t="n">
        <x:f>IF(AND(ISNUMBER(C421),ISNUMBER(D421),D421&gt;0),C421/D421,"")</x:f>
        <x:v>0</x:v>
      </x:c>
      <x:c r="F421" s="34" t="n">
        <x:v>8</x:v>
      </x:c>
      <x:c r="G421" s="30" t="n">
        <x:v>4</x:v>
      </x:c>
    </x:row>
    <x:row r="422" ht="42" customHeight="1">
      <x:c r="A422" s="14" t="str">
        <x:v>может ли мигрировать филлер из губ</x:v>
      </x:c>
      <x:c r="B422" s="14" t="str">
        <x:v>https://kozhaclinic.ru/migratsiya-gelya-iz-gub/</x:v>
      </x:c>
      <x:c r="C422" s="31" t="n">
        <x:v>0</x:v>
      </x:c>
      <x:c r="D422" s="31" t="n">
        <x:v>3</x:v>
      </x:c>
      <x:c r="E422" s="33" t="n">
        <x:f>IF(AND(ISNUMBER(C422),ISNUMBER(D422),D422&gt;0),C422/D422,"")</x:f>
        <x:v>0</x:v>
      </x:c>
      <x:c r="F422" s="35" t="n">
        <x:v>6</x:v>
      </x:c>
      <x:c r="G422" s="31" t="n">
        <x:v>3</x:v>
      </x:c>
    </x:row>
    <x:row r="423" ht="42" customHeight="1">
      <x:c r="A423" s="12" t="str">
        <x:v>папиллома - дерматологи в сургуте</x:v>
      </x:c>
      <x:c r="B423" s="12" t="str">
        <x:v>https://kozhaclinic.ru/udalenie-novoobrazovanij/udalenie-papilom/</x:v>
      </x:c>
      <x:c r="C423" s="30" t="n">
        <x:v>0</x:v>
      </x:c>
      <x:c r="D423" s="30" t="n">
        <x:v>0</x:v>
      </x:c>
      <x:c r="E423" s="32" t="str">
        <x:f>IF(AND(ISNUMBER(C423),ISNUMBER(D423),D423&gt;0),C423/D423,"")</x:f>
      </x:c>
      <x:c r="F423" s="34"/>
      <x:c r="G423" s="30" t="n">
        <x:v>0</x:v>
      </x:c>
    </x:row>
    <x:row r="424" ht="42" customHeight="1">
      <x:c r="A424" s="14" t="str">
        <x:v>почему гель в губах мигрирует</x:v>
      </x:c>
      <x:c r="B424" s="14" t="str">
        <x:v>https://kozhaclinic.ru/migratsiya-gelya-iz-gub/</x:v>
      </x:c>
      <x:c r="C424" s="31" t="n">
        <x:v>0</x:v>
      </x:c>
      <x:c r="D424" s="31" t="n">
        <x:v>5</x:v>
      </x:c>
      <x:c r="E424" s="33" t="n">
        <x:f>IF(AND(ISNUMBER(C424),ISNUMBER(D424),D424&gt;0),C424/D424,"")</x:f>
        <x:v>0</x:v>
      </x:c>
      <x:c r="F424" s="35" t="n">
        <x:v>8.4</x:v>
      </x:c>
      <x:c r="G424" s="31" t="n">
        <x:v>6</x:v>
      </x:c>
    </x:row>
    <x:row r="425" ht="42" customHeight="1">
      <x:c r="A425" s="12" t="str">
        <x:v>процедура микротоки для лица diamed86</x:v>
      </x:c>
      <x:c r="B425" s="12" t="str">
        <x:v>https://kozhaclinic.ru/apparatnaya-kosmetologiya/mikrotokovaya-terapiya/</x:v>
      </x:c>
      <x:c r="C425" s="30" t="n">
        <x:v>0</x:v>
      </x:c>
      <x:c r="D425" s="30" t="n">
        <x:v>0</x:v>
      </x:c>
      <x:c r="E425" s="32" t="str">
        <x:f>IF(AND(ISNUMBER(C425),ISNUMBER(D425),D425&gt;0),C425/D425,"")</x:f>
      </x:c>
      <x:c r="F425" s="34"/>
      <x:c r="G425" s="30" t="n">
        <x:v>0</x:v>
      </x:c>
    </x:row>
    <x:row r="426" ht="42" customHeight="1">
      <x:c r="A426" s="14" t="str">
        <x:v>салон красоты кожа</x:v>
      </x:c>
      <x:c r="B426" s="14" t="str">
        <x:v>https://kozhaclinic.ru/portfolio/</x:v>
      </x:c>
      <x:c r="C426" s="31" t="n">
        <x:v>0</x:v>
      </x:c>
      <x:c r="D426" s="31" t="n">
        <x:v>2</x:v>
      </x:c>
      <x:c r="E426" s="33" t="n">
        <x:f>IF(AND(ISNUMBER(C426),ISNUMBER(D426),D426&gt;0),C426/D426,"")</x:f>
        <x:v>0</x:v>
      </x:c>
      <x:c r="F426" s="35" t="n">
        <x:v>6</x:v>
      </x:c>
      <x:c r="G426" s="31" t="n">
        <x:v>2</x:v>
      </x:c>
    </x:row>
    <x:row r="427" ht="42" customHeight="1">
      <x:c r="A427" s="12" t="str">
        <x:v>сделать губы сургут</x:v>
      </x:c>
      <x:c r="B427" s="12" t="str">
        <x:v>https://kozhaclinic.ru/inekcionnaya-kosmetologiya/konturnaya-plastika/uvelichenie-gub/</x:v>
      </x:c>
      <x:c r="C427" s="30" t="n">
        <x:v>0</x:v>
      </x:c>
      <x:c r="D427" s="30" t="n">
        <x:v>4</x:v>
      </x:c>
      <x:c r="E427" s="32" t="n">
        <x:f>IF(AND(ISNUMBER(C427),ISNUMBER(D427),D427&gt;0),C427/D427,"")</x:f>
        <x:v>0</x:v>
      </x:c>
      <x:c r="F427" s="34" t="n">
        <x:v>6.5</x:v>
      </x:c>
      <x:c r="G427" s="30" t="n">
        <x:v>4</x:v>
      </x:c>
    </x:row>
    <x:row r="428" ht="42" customHeight="1">
      <x:c r="A428" s="14" t="str">
        <x:v>увлажнение губ филлерами</x:v>
      </x:c>
      <x:c r="B428" s="14" t="str">
        <x:v>https://kozhaclinic.ru/inekcionnaya-kosmetologiya/konturnaya-plastika/uvlazhnenie-gub/</x:v>
      </x:c>
      <x:c r="C428" s="31" t="n">
        <x:v>0</x:v>
      </x:c>
      <x:c r="D428" s="31" t="n">
        <x:v>0</x:v>
      </x:c>
      <x:c r="E428" s="33" t="str">
        <x:f>IF(AND(ISNUMBER(C428),ISNUMBER(D428),D428&gt;0),C428/D428,"")</x:f>
      </x:c>
      <x:c r="F428" s="35"/>
      <x:c r="G428" s="31" t="n">
        <x:v>1</x:v>
      </x:c>
    </x:row>
    <x:row r="429" ht="42" customHeight="1">
      <x:c r="A429" s="12" t="str">
        <x:v>удаление невуса 296-222</x:v>
      </x:c>
      <x:c r="B429" s="12" t="str">
        <x:v>https://kozhaclinic.ru/udalenie-novoobrazovanij/udalenie-rodinok/</x:v>
      </x:c>
      <x:c r="C429" s="30" t="n">
        <x:v>0</x:v>
      </x:c>
      <x:c r="D429" s="30" t="n">
        <x:v>0</x:v>
      </x:c>
      <x:c r="E429" s="32" t="str">
        <x:f>IF(AND(ISNUMBER(C429),ISNUMBER(D429),D429&gt;0),C429/D429,"")</x:f>
      </x:c>
      <x:c r="F429" s="34"/>
      <x:c r="G429" s="30" t="n">
        <x:v>0</x:v>
      </x:c>
    </x:row>
    <x:row r="430" ht="42" customHeight="1">
      <x:c r="A430" s="14" t="str">
        <x:v>удаление папиллом на веке alfa</x:v>
      </x:c>
      <x:c r="B430" s="14" t="str">
        <x:v>https://kozhaclinic.ru/udalenie-novoobrazovanij/udalenie-papilom/</x:v>
      </x:c>
      <x:c r="C430" s="31" t="n">
        <x:v>0</x:v>
      </x:c>
      <x:c r="D430" s="31" t="n">
        <x:v>1</x:v>
      </x:c>
      <x:c r="E430" s="33" t="n">
        <x:f>IF(AND(ISNUMBER(C430),ISNUMBER(D430),D430&gt;0),C430/D430,"")</x:f>
        <x:v>0</x:v>
      </x:c>
      <x:c r="F430" s="35" t="n">
        <x:v>10</x:v>
      </x:c>
      <x:c r="G430" s="31" t="n">
        <x:v>2</x:v>
      </x:c>
    </x:row>
    <x:row r="431" ht="42" customHeight="1">
      <x:c r="A431" s="12" t="str">
        <x:v>уходовые процедуры это</x:v>
      </x:c>
      <x:c r="B431" s="12" t="str">
        <x:v>https://kozhaclinic.ru/uhodovye-procedury/</x:v>
      </x:c>
      <x:c r="C431" s="30" t="n">
        <x:v>0</x:v>
      </x:c>
      <x:c r="D431" s="30" t="n">
        <x:v>6</x:v>
      </x:c>
      <x:c r="E431" s="32" t="n">
        <x:f>IF(AND(ISNUMBER(C431),ISNUMBER(D431),D431&gt;0),C431/D431,"")</x:f>
        <x:v>0</x:v>
      </x:c>
      <x:c r="F431" s="34" t="n">
        <x:v>7.5</x:v>
      </x:c>
      <x:c r="G431" s="30" t="n">
        <x:v>11</x:v>
      </x:c>
    </x:row>
    <x:row r="432" ht="42" customHeight="1">
      <x:c r="A432" s="14" t="str">
        <x:v>филлер мигрировал за контур губ</x:v>
      </x:c>
      <x:c r="B432" s="14" t="str">
        <x:v>https://kozhaclinic.ru/migratsiya-gelya-iz-gub/</x:v>
      </x:c>
      <x:c r="C432" s="31" t="n">
        <x:v>0</x:v>
      </x:c>
      <x:c r="D432" s="31" t="n">
        <x:v>7</x:v>
      </x:c>
      <x:c r="E432" s="33" t="n">
        <x:f>IF(AND(ISNUMBER(C432),ISNUMBER(D432),D432&gt;0),C432/D432,"")</x:f>
        <x:v>0</x:v>
      </x:c>
      <x:c r="F432" s="35" t="n">
        <x:v>6.8</x:v>
      </x:c>
      <x:c r="G432" s="31" t="n">
        <x:v>7</x:v>
      </x:c>
    </x:row>
    <x:row r="433" ht="42" customHeight="1">
      <x:c r="A433" s="12" t="str">
        <x:v>белотеро</x:v>
      </x:c>
      <x:c r="B433" s="12" t="str">
        <x:v>https://kozhaclinic.ru/inekcionnaya-kosmetologiya/fillery-belotero/</x:v>
      </x:c>
      <x:c r="C433" s="30" t="n">
        <x:v>0</x:v>
      </x:c>
      <x:c r="D433" s="30" t="n">
        <x:v>1</x:v>
      </x:c>
      <x:c r="E433" s="32" t="n">
        <x:f>IF(AND(ISNUMBER(C433),ISNUMBER(D433),D433&gt;0),C433/D433,"")</x:f>
        <x:v>0</x:v>
      </x:c>
      <x:c r="F433" s="34" t="n">
        <x:v>13</x:v>
      </x:c>
      <x:c r="G433" s="30" t="n">
        <x:v>1350</x:v>
      </x:c>
    </x:row>
    <x:row r="434" ht="42" customHeight="1">
      <x:c r="A434" s="14" t="str">
        <x:v>как понять что гель мигрировал в слизистую</x:v>
      </x:c>
      <x:c r="B434" s="14" t="str">
        <x:v>https://kozhaclinic.ru/migratsiya-gelya-iz-gub/</x:v>
      </x:c>
      <x:c r="C434" s="31" t="n">
        <x:v>0</x:v>
      </x:c>
      <x:c r="D434" s="31" t="n">
        <x:v>7</x:v>
      </x:c>
      <x:c r="E434" s="33" t="n">
        <x:f>IF(AND(ISNUMBER(C434),ISNUMBER(D434),D434&gt;0),C434/D434,"")</x:f>
        <x:v>0</x:v>
      </x:c>
      <x:c r="F434" s="35" t="n">
        <x:v>9.1</x:v>
      </x:c>
      <x:c r="G434" s="31" t="n">
        <x:v>12</x:v>
      </x:c>
    </x:row>
    <x:row r="435" ht="42" customHeight="1">
      <x:c r="A435" s="12" t="str">
        <x:v>лазерная эпиляция для женщин xn----7sbckhcwngejxcb4bs8sma.xn--p1ai</x:v>
      </x:c>
      <x:c r="B435" s="12" t="str">
        <x:v>https://kozhaclinic.ru/lazernaya-kosmetologiya/dlya-zhenshchin/</x:v>
      </x:c>
      <x:c r="C435" s="30" t="n">
        <x:v>0</x:v>
      </x:c>
      <x:c r="D435" s="30" t="n">
        <x:v>0</x:v>
      </x:c>
      <x:c r="E435" s="32" t="str">
        <x:f>IF(AND(ISNUMBER(C435),ISNUMBER(D435),D435&gt;0),C435/D435,"")</x:f>
      </x:c>
      <x:c r="F435" s="34"/>
      <x:c r="G435" s="30" t="n">
        <x:v>0</x:v>
      </x:c>
    </x:row>
    <x:row r="436" ht="42" customHeight="1">
      <x:c r="A436" s="14" t="str">
        <x:v>микротоки для лица сургут</x:v>
      </x:c>
      <x:c r="B436" s="14" t="str">
        <x:v>https://kozhaclinic.ru/apparatnaya-kosmetologiya/mikrotokovaya-terapiya/</x:v>
      </x:c>
      <x:c r="C436" s="31" t="n">
        <x:v>0</x:v>
      </x:c>
      <x:c r="D436" s="31" t="n">
        <x:v>2</x:v>
      </x:c>
      <x:c r="E436" s="33" t="n">
        <x:f>IF(AND(ISNUMBER(C436),ISNUMBER(D436),D436&gt;0),C436/D436,"")</x:f>
        <x:v>0</x:v>
      </x:c>
      <x:c r="F436" s="35" t="n">
        <x:v>4.5</x:v>
      </x:c>
      <x:c r="G436" s="31" t="n">
        <x:v>2</x:v>
      </x:c>
    </x:row>
    <x:row r="437" ht="42" customHeight="1">
      <x:c r="A437" s="12" t="str">
        <x:v>сургут клиника кожа</x:v>
      </x:c>
      <x:c r="B437" s="12" t="str">
        <x:v>https://kozhaclinic.ru/</x:v>
      </x:c>
      <x:c r="C437" s="30" t="n">
        <x:v>0</x:v>
      </x:c>
      <x:c r="D437" s="30" t="n">
        <x:v>5</x:v>
      </x:c>
      <x:c r="E437" s="32" t="n">
        <x:f>IF(AND(ISNUMBER(C437),ISNUMBER(D437),D437&gt;0),C437/D437,"")</x:f>
        <x:v>0</x:v>
      </x:c>
      <x:c r="F437" s="34" t="n">
        <x:v>2</x:v>
      </x:c>
      <x:c r="G437" s="30" t="n">
        <x:v>5</x:v>
      </x:c>
    </x:row>
    <x:row r="438" ht="42" customHeight="1">
      <x:c r="A438" s="14" t="str">
        <x:v>трихоскопия сургут</x:v>
      </x:c>
      <x:c r="B438" s="14" t="str">
        <x:v>https://kozhaclinic.ru/osmotry-i-konsultatsii/konsultatsiya-vracha-trikhologa-s-naznacheniem-plana-protsedur/</x:v>
      </x:c>
      <x:c r="C438" s="31" t="n">
        <x:v>0</x:v>
      </x:c>
      <x:c r="D438" s="31" t="n">
        <x:v>8</x:v>
      </x:c>
      <x:c r="E438" s="33" t="n">
        <x:f>IF(AND(ISNUMBER(C438),ISNUMBER(D438),D438&gt;0),C438/D438,"")</x:f>
        <x:v>0</x:v>
      </x:c>
      <x:c r="F438" s="35" t="n">
        <x:v>11.1</x:v>
      </x:c>
      <x:c r="G438" s="31" t="n">
        <x:v>14</x:v>
      </x:c>
    </x:row>
    <x:row r="439" ht="42" customHeight="1">
      <x:c r="A439" s="12" t="str">
        <x:v>удаление невуса лазером 296-222</x:v>
      </x:c>
      <x:c r="B439" s="12" t="str">
        <x:v>https://kozhaclinic.ru/udalenie-novoobrazovanij/udalenie-rodinok/</x:v>
      </x:c>
      <x:c r="C439" s="30" t="n">
        <x:v>0</x:v>
      </x:c>
      <x:c r="D439" s="30" t="n">
        <x:v>0</x:v>
      </x:c>
      <x:c r="E439" s="32" t="str">
        <x:f>IF(AND(ISNUMBER(C439),ISNUMBER(D439),D439&gt;0),C439/D439,"")</x:f>
      </x:c>
      <x:c r="F439" s="34"/>
      <x:c r="G439" s="30" t="n">
        <x:v>0</x:v>
      </x:c>
    </x:row>
    <x:row r="440" ht="42" customHeight="1">
      <x:c r="A440" s="14" t="str">
        <x:v>удаление новообразований сургут</x:v>
      </x:c>
      <x:c r="B440" s="14" t="str">
        <x:v>https://kozhaclinic.ru/udalenie-novoobrazovanij/</x:v>
      </x:c>
      <x:c r="C440" s="31" t="n">
        <x:v>0</x:v>
      </x:c>
      <x:c r="D440" s="31" t="n">
        <x:v>3</x:v>
      </x:c>
      <x:c r="E440" s="33" t="n">
        <x:f>IF(AND(ISNUMBER(C440),ISNUMBER(D440),D440&gt;0),C440/D440,"")</x:f>
        <x:v>0</x:v>
      </x:c>
      <x:c r="F440" s="35" t="n">
        <x:v>4.6</x:v>
      </x:c>
      <x:c r="G440" s="31" t="n">
        <x:v>3</x:v>
      </x:c>
    </x:row>
    <x:row r="441" ht="42" customHeight="1">
      <x:c r="A441" s="12" t="str">
        <x:v>удаление папиллом веко alfa</x:v>
      </x:c>
      <x:c r="B441" s="12" t="str">
        <x:v>https://kozhaclinic.ru/udalenie-novoobrazovanij/udalenie-papilom/</x:v>
      </x:c>
      <x:c r="C441" s="30" t="n">
        <x:v>0</x:v>
      </x:c>
      <x:c r="D441" s="30" t="n">
        <x:v>1</x:v>
      </x:c>
      <x:c r="E441" s="32" t="n">
        <x:f>IF(AND(ISNUMBER(C441),ISNUMBER(D441),D441&gt;0),C441/D441,"")</x:f>
        <x:v>0</x:v>
      </x:c>
      <x:c r="F441" s="34" t="n">
        <x:v>5</x:v>
      </x:c>
      <x:c r="G441" s="30" t="n">
        <x:v>1</x:v>
      </x:c>
    </x:row>
    <x:row r="442" ht="42" customHeight="1">
      <x:c r="A442" s="14" t="str">
        <x:v>удаление папиллом лазером цена альфа</x:v>
      </x:c>
      <x:c r="B442" s="14" t="str">
        <x:v>https://kozhaclinic.ru/udalenie-novoobrazovanij/udalenie-papilom/</x:v>
      </x:c>
      <x:c r="C442" s="31" t="n">
        <x:v>0</x:v>
      </x:c>
      <x:c r="D442" s="31" t="n">
        <x:v>2</x:v>
      </x:c>
      <x:c r="E442" s="33" t="n">
        <x:f>IF(AND(ISNUMBER(C442),ISNUMBER(D442),D442&gt;0),C442/D442,"")</x:f>
        <x:v>0</x:v>
      </x:c>
      <x:c r="F442" s="35" t="n">
        <x:v>5.5</x:v>
      </x:c>
      <x:c r="G442" s="31" t="n">
        <x:v>2</x:v>
      </x:c>
    </x:row>
    <x:row r="443" ht="42" customHeight="1">
      <x:c r="A443" s="12" t="str">
        <x:v>чистка лица сургут косметолог</x:v>
      </x:c>
      <x:c r="B443" s="12" t="str">
        <x:v>https://kozhaclinic.ru/</x:v>
      </x:c>
      <x:c r="C443" s="30" t="n">
        <x:v>0</x:v>
      </x:c>
      <x:c r="D443" s="30" t="n">
        <x:v>0</x:v>
      </x:c>
      <x:c r="E443" s="32" t="str">
        <x:f>IF(AND(ISNUMBER(C443),ISNUMBER(D443),D443&gt;0),C443/D443,"")</x:f>
      </x:c>
      <x:c r="F443" s="34"/>
      <x:c r="G443" s="30" t="n">
        <x:v>1</x:v>
      </x:c>
    </x:row>
    <x:row r="444" ht="42" customHeight="1">
      <x:c r="A444" s="14" t="str">
        <x:v>как выглядит миграция геля в губах</x:v>
      </x:c>
      <x:c r="B444" s="14" t="str">
        <x:v>https://kozhaclinic.ru/migratsiya-gelya-iz-gub/</x:v>
      </x:c>
      <x:c r="C444" s="31" t="n">
        <x:v>1</x:v>
      </x:c>
      <x:c r="D444" s="31" t="n">
        <x:v>3</x:v>
      </x:c>
      <x:c r="E444" s="33" t="n">
        <x:f>IF(AND(ISNUMBER(C444),ISNUMBER(D444),D444&gt;0),C444/D444,"")</x:f>
        <x:v>0.3333333333333333</x:v>
      </x:c>
      <x:c r="F444" s="35" t="n">
        <x:v>6.3</x:v>
      </x:c>
      <x:c r="G444" s="31" t="n">
        <x:v>17</x:v>
      </x:c>
    </x:row>
    <x:row r="445" ht="42" customHeight="1">
      <x:c r="A445" s="12" t="str">
        <x:v>клиника эстетической медицины сургут</x:v>
      </x:c>
      <x:c r="B445" s="12" t="str">
        <x:v>https://kozhaclinic.ru/</x:v>
      </x:c>
      <x:c r="C445" s="30" t="n">
        <x:v>0</x:v>
      </x:c>
      <x:c r="D445" s="30" t="n">
        <x:v>6</x:v>
      </x:c>
      <x:c r="E445" s="32" t="n">
        <x:f>IF(AND(ISNUMBER(C445),ISNUMBER(D445),D445&gt;0),C445/D445,"")</x:f>
        <x:v>0</x:v>
      </x:c>
      <x:c r="F445" s="34" t="n">
        <x:v>8.5</x:v>
      </x:c>
      <x:c r="G445" s="30" t="n">
        <x:v>7</x:v>
      </x:c>
    </x:row>
    <x:row r="446" ht="42" customHeight="1">
      <x:c r="A446" s="14" t="str">
        <x:v>косметолог дерматолог сургут</x:v>
      </x:c>
      <x:c r="B446" s="14" t="str">
        <x:v>https://kozhaclinic.ru/</x:v>
      </x:c>
      <x:c r="C446" s="31" t="n">
        <x:v>0</x:v>
      </x:c>
      <x:c r="D446" s="31" t="n">
        <x:v>7</x:v>
      </x:c>
      <x:c r="E446" s="33" t="n">
        <x:f>IF(AND(ISNUMBER(C446),ISNUMBER(D446),D446&gt;0),C446/D446,"")</x:f>
        <x:v>0</x:v>
      </x:c>
      <x:c r="F446" s="35" t="n">
        <x:v>8.1</x:v>
      </x:c>
      <x:c r="G446" s="31" t="n">
        <x:v>9</x:v>
      </x:c>
    </x:row>
    <x:row r="447" ht="42" customHeight="1">
      <x:c r="A447" s="12" t="str">
        <x:v>массаж для лица для подтяжки body-ksy.ru/</x:v>
      </x:c>
      <x:c r="B447" s="12" t="str">
        <x:v>https://kozhaclinic.ru/uhodovye-procedury/massazhi/plastifitsiruyushchiy/</x:v>
      </x:c>
      <x:c r="C447" s="30" t="n">
        <x:v>0</x:v>
      </x:c>
      <x:c r="D447" s="30" t="n">
        <x:v>0</x:v>
      </x:c>
      <x:c r="E447" s="32" t="str">
        <x:f>IF(AND(ISNUMBER(C447),ISNUMBER(D447),D447&gt;0),C447/D447,"")</x:f>
      </x:c>
      <x:c r="F447" s="34"/>
      <x:c r="G447" s="30" t="n">
        <x:v>0</x:v>
      </x:c>
    </x:row>
    <x:row r="448" ht="42" customHeight="1">
      <x:c r="A448" s="14" t="str">
        <x:v>миграция филлера губ</x:v>
      </x:c>
      <x:c r="B448" s="14" t="str">
        <x:v>https://kozhaclinic.ru/migratsiya-gelya-iz-gub/</x:v>
      </x:c>
      <x:c r="C448" s="31" t="n">
        <x:v>0</x:v>
      </x:c>
      <x:c r="D448" s="31" t="n">
        <x:v>8</x:v>
      </x:c>
      <x:c r="E448" s="33" t="n">
        <x:f>IF(AND(ISNUMBER(C448),ISNUMBER(D448),D448&gt;0),C448/D448,"")</x:f>
        <x:v>0</x:v>
      </x:c>
      <x:c r="F448" s="35" t="n">
        <x:v>7.7</x:v>
      </x:c>
      <x:c r="G448" s="31" t="n">
        <x:v>13</x:v>
      </x:c>
    </x:row>
    <x:row r="449" ht="42" customHeight="1">
      <x:c r="A449" s="12" t="str">
        <x:v>мигрировавший филлер в губах</x:v>
      </x:c>
      <x:c r="B449" s="12" t="str">
        <x:v>https://kozhaclinic.ru/migratsiya-gelya-iz-gub/</x:v>
      </x:c>
      <x:c r="C449" s="30" t="n">
        <x:v>0</x:v>
      </x:c>
      <x:c r="D449" s="30" t="n">
        <x:v>6</x:v>
      </x:c>
      <x:c r="E449" s="32" t="n">
        <x:f>IF(AND(ISNUMBER(C449),ISNUMBER(D449),D449&gt;0),C449/D449,"")</x:f>
        <x:v>0</x:v>
      </x:c>
      <x:c r="F449" s="34" t="n">
        <x:v>7.5</x:v>
      </x:c>
      <x:c r="G449" s="30" t="n">
        <x:v>7</x:v>
      </x:c>
    </x:row>
    <x:row r="450" ht="42" customHeight="1">
      <x:c r="A450" s="14" t="str">
        <x:v>мигрировал филлер в губах</x:v>
      </x:c>
      <x:c r="B450" s="14" t="str">
        <x:v>https://kozhaclinic.ru/migratsiya-gelya-iz-gub/</x:v>
      </x:c>
      <x:c r="C450" s="31" t="n">
        <x:v>0</x:v>
      </x:c>
      <x:c r="D450" s="31" t="n">
        <x:v>6</x:v>
      </x:c>
      <x:c r="E450" s="33" t="n">
        <x:f>IF(AND(ISNUMBER(C450),ISNUMBER(D450),D450&gt;0),C450/D450,"")</x:f>
        <x:v>0</x:v>
      </x:c>
      <x:c r="F450" s="35" t="n">
        <x:v>7.1</x:v>
      </x:c>
      <x:c r="G450" s="31" t="n">
        <x:v>7</x:v>
      </x:c>
    </x:row>
    <x:row r="451" ht="42" customHeight="1">
      <x:c r="A451" s="12" t="str">
        <x:v>микроигольчатый rf лифтинг цена anatomy-krasoty</x:v>
      </x:c>
      <x:c r="B451" s="12" t="str">
        <x:v>https://kozhaclinic.ru/apparatnaya-kosmetologiya/igolchatyy-rf-lifting-na-morpheus-8/</x:v>
      </x:c>
      <x:c r="C451" s="30" t="n">
        <x:v>0</x:v>
      </x:c>
      <x:c r="D451" s="30" t="n">
        <x:v>0</x:v>
      </x:c>
      <x:c r="E451" s="32" t="str">
        <x:f>IF(AND(ISNUMBER(C451),ISNUMBER(D451),D451&gt;0),C451/D451,"")</x:f>
      </x:c>
      <x:c r="F451" s="34"/>
      <x:c r="G451" s="30" t="n">
        <x:v>0</x:v>
      </x:c>
    </x:row>
    <x:row r="452" ht="42" customHeight="1">
      <x:c r="A452" s="14" t="str">
        <x:v>удаление бородавок лазером alfa</x:v>
      </x:c>
      <x:c r="B452" s="14" t="str">
        <x:v>https://kozhaclinic.ru/</x:v>
      </x:c>
      <x:c r="C452" s="31" t="n">
        <x:v>0</x:v>
      </x:c>
      <x:c r="D452" s="31" t="n">
        <x:v>2</x:v>
      </x:c>
      <x:c r="E452" s="33" t="n">
        <x:f>IF(AND(ISNUMBER(C452),ISNUMBER(D452),D452&gt;0),C452/D452,"")</x:f>
        <x:v>0</x:v>
      </x:c>
      <x:c r="F452" s="35" t="n">
        <x:v>11.5</x:v>
      </x:c>
      <x:c r="G452" s="31" t="n">
        <x:v>2</x:v>
      </x:c>
    </x:row>
    <x:row r="453" ht="42" customHeight="1">
      <x:c r="A453" s="12" t="str">
        <x:v>удаление родинок лазером альфа</x:v>
      </x:c>
      <x:c r="B453" s="12" t="str">
        <x:v>https://kozhaclinic.ru/</x:v>
      </x:c>
      <x:c r="C453" s="30" t="n">
        <x:v>0</x:v>
      </x:c>
      <x:c r="D453" s="30" t="n">
        <x:v>0</x:v>
      </x:c>
      <x:c r="E453" s="32" t="str">
        <x:f>IF(AND(ISNUMBER(C453),ISNUMBER(D453),D453&gt;0),C453/D453,"")</x:f>
      </x:c>
      <x:c r="F453" s="34"/>
      <x:c r="G453" s="30" t="n">
        <x:v>1</x:v>
      </x:c>
    </x:row>
    <x:row r="454" ht="42" customHeight="1">
      <x:c r="A454" s="14" t="str">
        <x:v>что значит увлажнение губ</x:v>
      </x:c>
      <x:c r="B454" s="14" t="str">
        <x:v>https://kozhaclinic.ru/inekcionnaya-kosmetologiya/konturnaya-plastika/uvlazhnenie-gub/</x:v>
      </x:c>
      <x:c r="C454" s="31" t="n">
        <x:v>0</x:v>
      </x:c>
      <x:c r="D454" s="31" t="n">
        <x:v>0</x:v>
      </x:c>
      <x:c r="E454" s="33" t="str">
        <x:f>IF(AND(ISNUMBER(C454),ISNUMBER(D454),D454&gt;0),C454/D454,"")</x:f>
      </x:c>
      <x:c r="F454" s="35"/>
      <x:c r="G454" s="31" t="n">
        <x:v>4</x:v>
      </x:c>
    </x:row>
    <x:row r="455" ht="42" customHeight="1">
      <x:c r="A455" s="12" t="str">
        <x:v>belotero биоревитализация</x:v>
      </x:c>
      <x:c r="B455" s="12" t="str">
        <x:v>https://kozhaclinic.ru/inekcionnaya-kosmetologiya/omolozhenie-i-pitanie-kozhi/biorevitalizatsiya/</x:v>
      </x:c>
      <x:c r="C455" s="30" t="n">
        <x:v>0</x:v>
      </x:c>
      <x:c r="D455" s="30" t="n">
        <x:v>0</x:v>
      </x:c>
      <x:c r="E455" s="32" t="str">
        <x:f>IF(AND(ISNUMBER(C455),ISNUMBER(D455),D455&gt;0),C455/D455,"")</x:f>
      </x:c>
      <x:c r="F455" s="34"/>
      <x:c r="G455" s="30" t="n">
        <x:v>68</x:v>
      </x:c>
    </x:row>
    <x:row r="456" ht="42" customHeight="1">
      <x:c r="A456" s="14" t="str">
        <x:v>ботулинотерапия декольте</x:v>
      </x:c>
      <x:c r="B456" s="14" t="str">
        <x:v>https://kozhaclinic.ru/inekcionnaya-kosmetologiya/botulinoterapiya/botoks-dlya-shei-i-zony-dekolte/</x:v>
      </x:c>
      <x:c r="C456" s="31" t="n">
        <x:v>0</x:v>
      </x:c>
      <x:c r="D456" s="31" t="n">
        <x:v>0</x:v>
      </x:c>
      <x:c r="E456" s="33" t="str">
        <x:f>IF(AND(ISNUMBER(C456),ISNUMBER(D456),D456&gt;0),C456/D456,"")</x:f>
      </x:c>
      <x:c r="F456" s="35"/>
      <x:c r="G456" s="31" t="n">
        <x:v>0</x:v>
      </x:c>
    </x:row>
    <x:row r="457" ht="42" customHeight="1">
      <x:c r="A457" s="12" t="str">
        <x:v>врач косметолог дерматолог акне https://perezagruzka.clinic/konsultatsiya-vracha-dermatologa/</x:v>
      </x:c>
      <x:c r="B457" s="12" t="str">
        <x:v>https://kozhaclinic.ru/osmotry-i-konsultatsii/spetsializirovannyy-priem-vracha-dermatologa-po-akne-rozatsea-akneformnym-dermatozam/</x:v>
      </x:c>
      <x:c r="C457" s="30" t="n">
        <x:v>0</x:v>
      </x:c>
      <x:c r="D457" s="30" t="n">
        <x:v>0</x:v>
      </x:c>
      <x:c r="E457" s="32" t="str">
        <x:f>IF(AND(ISNUMBER(C457),ISNUMBER(D457),D457&gt;0),C457/D457,"")</x:f>
      </x:c>
      <x:c r="F457" s="34"/>
      <x:c r="G457" s="30" t="n">
        <x:v>0</x:v>
      </x:c>
    </x:row>
    <x:row r="458" ht="42" customHeight="1">
      <x:c r="A458" s="14" t="str">
        <x:v>записаться к косметологу</x:v>
      </x:c>
      <x:c r="B458" s="14" t="str">
        <x:v>https://kozhaclinic.ru/</x:v>
      </x:c>
      <x:c r="C458" s="31" t="n">
        <x:v>0</x:v>
      </x:c>
      <x:c r="D458" s="31" t="n">
        <x:v>13</x:v>
      </x:c>
      <x:c r="E458" s="33" t="n">
        <x:f>IF(AND(ISNUMBER(C458),ISNUMBER(D458),D458&gt;0),C458/D458,"")</x:f>
        <x:v>0</x:v>
      </x:c>
      <x:c r="F458" s="35" t="n">
        <x:v>33.7</x:v>
      </x:c>
      <x:c r="G458" s="31" t="n">
        <x:v>1214</x:v>
      </x:c>
    </x:row>
    <x:row r="459" ht="42" customHeight="1">
      <x:c r="A459" s="12" t="str">
        <x:v>игольчатый rf лифтинг лица и шеи</x:v>
      </x:c>
      <x:c r="B459" s="12" t="str">
        <x:v>https://kozhaclinic.ru/apparatnaya-kosmetologiya/igolchatyy-rf-lifting-na-morpheus-8/</x:v>
      </x:c>
      <x:c r="C459" s="30" t="n">
        <x:v>0</x:v>
      </x:c>
      <x:c r="D459" s="30" t="n">
        <x:v>0</x:v>
      </x:c>
      <x:c r="E459" s="32" t="str">
        <x:f>IF(AND(ISNUMBER(C459),ISNUMBER(D459),D459&gt;0),C459/D459,"")</x:f>
      </x:c>
      <x:c r="F459" s="34"/>
      <x:c r="G459" s="30" t="n">
        <x:v>2</x:v>
      </x:c>
    </x:row>
    <x:row r="460" ht="42" customHeight="1">
      <x:c r="A460" s="14" t="str">
        <x:v>как выглядит миграция геля в слизистую</x:v>
      </x:c>
      <x:c r="B460" s="14" t="str">
        <x:v>https://kozhaclinic.ru/migratsiya-gelya-iz-gub/</x:v>
      </x:c>
      <x:c r="C460" s="31" t="n">
        <x:v>1</x:v>
      </x:c>
      <x:c r="D460" s="31" t="n">
        <x:v>7</x:v>
      </x:c>
      <x:c r="E460" s="33" t="n">
        <x:f>IF(AND(ISNUMBER(C460),ISNUMBER(D460),D460&gt;0),C460/D460,"")</x:f>
        <x:v>0.14285714285714285</x:v>
      </x:c>
      <x:c r="F460" s="35" t="n">
        <x:v>4.7</x:v>
      </x:c>
      <x:c r="G460" s="31" t="n">
        <x:v>8</x:v>
      </x:c>
    </x:row>
    <x:row r="461" ht="42" customHeight="1">
      <x:c r="A461" s="12" t="str">
        <x:v>клиника здоровой кожи сургут</x:v>
      </x:c>
      <x:c r="B461" s="12" t="str">
        <x:v>https://kozhaclinic.ru/</x:v>
      </x:c>
      <x:c r="C461" s="30" t="n">
        <x:v>0</x:v>
      </x:c>
      <x:c r="D461" s="30" t="n">
        <x:v>3</x:v>
      </x:c>
      <x:c r="E461" s="32" t="n">
        <x:f>IF(AND(ISNUMBER(C461),ISNUMBER(D461),D461&gt;0),C461/D461,"")</x:f>
        <x:v>0</x:v>
      </x:c>
      <x:c r="F461" s="34" t="n">
        <x:v>9.6</x:v>
      </x:c>
      <x:c r="G461" s="30" t="n">
        <x:v>6</x:v>
      </x:c>
    </x:row>
    <x:row r="462" ht="42" customHeight="1">
      <x:c r="A462" s="14" t="str">
        <x:v>контурная пластика лица anatomy-krasoty</x:v>
      </x:c>
      <x:c r="B462" s="14" t="str">
        <x:v>https://kozhaclinic.ru/inekcionnaya-kosmetologiya/konturnaya-plastika/konturnaya-plastika-litsa/</x:v>
      </x:c>
      <x:c r="C462" s="31" t="n">
        <x:v>0</x:v>
      </x:c>
      <x:c r="D462" s="31" t="n">
        <x:v>1</x:v>
      </x:c>
      <x:c r="E462" s="33" t="n">
        <x:f>IF(AND(ISNUMBER(C462),ISNUMBER(D462),D462&gt;0),C462/D462,"")</x:f>
        <x:v>0</x:v>
      </x:c>
      <x:c r="F462" s="35" t="n">
        <x:v>6</x:v>
      </x:c>
      <x:c r="G462" s="31" t="n">
        <x:v>1</x:v>
      </x:c>
    </x:row>
    <x:row r="463" ht="42" customHeight="1">
      <x:c r="A463" s="12" t="str">
        <x:v>сургут массаж лица</x:v>
      </x:c>
      <x:c r="B463" s="12" t="str">
        <x:v>https://kozhaclinic.ru/uhodovye-procedury/massazhi/</x:v>
      </x:c>
      <x:c r="C463" s="30" t="n">
        <x:v>0</x:v>
      </x:c>
      <x:c r="D463" s="30" t="n">
        <x:v>1</x:v>
      </x:c>
      <x:c r="E463" s="32" t="n">
        <x:f>IF(AND(ISNUMBER(C463),ISNUMBER(D463),D463&gt;0),C463/D463,"")</x:f>
        <x:v>0</x:v>
      </x:c>
      <x:c r="F463" s="34" t="n">
        <x:v>8</x:v>
      </x:c>
      <x:c r="G463" s="30" t="n">
        <x:v>3</x:v>
      </x:c>
    </x:row>
    <x:row r="464" ht="42" customHeight="1">
      <x:c r="A464" s="14" t="str">
        <x:v>удаление папиллом жидким 296-222</x:v>
      </x:c>
      <x:c r="B464" s="14" t="str">
        <x:v>https://kozhaclinic.ru/udalenie-novoobrazovanij/</x:v>
      </x:c>
      <x:c r="C464" s="31" t="n">
        <x:v>0</x:v>
      </x:c>
      <x:c r="D464" s="31" t="n">
        <x:v>0</x:v>
      </x:c>
      <x:c r="E464" s="33" t="str">
        <x:f>IF(AND(ISNUMBER(C464),ISNUMBER(D464),D464&gt;0),C464/D464,"")</x:f>
      </x:c>
      <x:c r="F464" s="35"/>
      <x:c r="G464" s="31" t="n">
        <x:v>0</x:v>
      </x:c>
    </x:row>
    <x:row r="465" ht="42" customHeight="1">
      <x:c r="A465" s="12" t="str">
        <x:v>удаление папиллом на веке 296-222</x:v>
      </x:c>
      <x:c r="B465" s="12" t="str">
        <x:v>https://kozhaclinic.ru/udalenie-novoobrazovanij/udalenie-papilom/</x:v>
      </x:c>
      <x:c r="C465" s="30" t="n">
        <x:v>0</x:v>
      </x:c>
      <x:c r="D465" s="30" t="n">
        <x:v>0</x:v>
      </x:c>
      <x:c r="E465" s="32" t="str">
        <x:f>IF(AND(ISNUMBER(C465),ISNUMBER(D465),D465&gt;0),C465/D465,"")</x:f>
      </x:c>
      <x:c r="F465" s="34"/>
      <x:c r="G465" s="30" t="n">
        <x:v>2</x:v>
      </x:c>
    </x:row>
    <x:row r="466" ht="42" customHeight="1">
      <x:c r="A466" s="14" t="str">
        <x:v>удаление подошвенных бородавок сургут</x:v>
      </x:c>
      <x:c r="B466" s="14" t="str">
        <x:v>https://kozhaclinic.ru/udalenie-novoobrazovanij/udalenie-borodavok/</x:v>
      </x:c>
      <x:c r="C466" s="31" t="n">
        <x:v>0</x:v>
      </x:c>
      <x:c r="D466" s="31" t="n">
        <x:v>4</x:v>
      </x:c>
      <x:c r="E466" s="33" t="n">
        <x:f>IF(AND(ISNUMBER(C466),ISNUMBER(D466),D466&gt;0),C466/D466,"")</x:f>
        <x:v>0</x:v>
      </x:c>
      <x:c r="F466" s="35" t="n">
        <x:v>3.2</x:v>
      </x:c>
      <x:c r="G466" s="31" t="n">
        <x:v>4</x:v>
      </x:c>
    </x:row>
    <x:row r="467" ht="42" customHeight="1">
      <x:c r="A467" s="12" t="str">
        <x:v>удаление филлера из губ сургут</x:v>
      </x:c>
      <x:c r="B467" s="12" t="str">
        <x:v>https://kozhaclinic.ru/inekcionnaya-kosmetologiya/vyvedenie-fillera/</x:v>
      </x:c>
      <x:c r="C467" s="30" t="n">
        <x:v>0</x:v>
      </x:c>
      <x:c r="D467" s="30" t="n">
        <x:v>1</x:v>
      </x:c>
      <x:c r="E467" s="32" t="n">
        <x:f>IF(AND(ISNUMBER(C467),ISNUMBER(D467),D467&gt;0),C467/D467,"")</x:f>
        <x:v>0</x:v>
      </x:c>
      <x:c r="F467" s="34" t="n">
        <x:v>7</x:v>
      </x:c>
      <x:c r="G467" s="30" t="n">
        <x:v>1</x:v>
      </x:c>
    </x:row>
    <x:row r="468" ht="42" customHeight="1">
      <x:c r="A468" s="14" t="str">
        <x:v>ханты-мансийский автономный округ — югра сургут проспект ленина 18 кожа</x:v>
      </x:c>
      <x:c r="B468" s="14" t="str">
        <x:v>https://kozhaclinic.ru/</x:v>
      </x:c>
      <x:c r="C468" s="31" t="n">
        <x:v>1</x:v>
      </x:c>
      <x:c r="D468" s="31" t="n">
        <x:v>2</x:v>
      </x:c>
      <x:c r="E468" s="33" t="n">
        <x:f>IF(AND(ISNUMBER(C468),ISNUMBER(D468),D468&gt;0),C468/D468,"")</x:f>
        <x:v>0.5</x:v>
      </x:c>
      <x:c r="F468" s="35" t="n">
        <x:v>1</x:v>
      </x:c>
      <x:c r="G468" s="31" t="n">
        <x:v>2</x:v>
      </x:c>
    </x:row>
    <x:row r="469" ht="42" customHeight="1">
      <x:c r="A469" s="12" t="str">
        <x:v>bbl сургут</x:v>
      </x:c>
      <x:c r="B469" s="12" t="str">
        <x:v>https://kozhaclinic.ru/</x:v>
      </x:c>
      <x:c r="C469" s="30" t="n">
        <x:v>1</x:v>
      </x:c>
      <x:c r="D469" s="30" t="n">
        <x:v>5</x:v>
      </x:c>
      <x:c r="E469" s="32" t="n">
        <x:f>IF(AND(ISNUMBER(C469),ISNUMBER(D469),D469&gt;0),C469/D469,"")</x:f>
        <x:v>0.2</x:v>
      </x:c>
      <x:c r="F469" s="34" t="n">
        <x:v>8.8</x:v>
      </x:c>
      <x:c r="G469" s="30" t="n">
        <x:v>6</x:v>
      </x:c>
    </x:row>
    <x:row r="470" ht="42" customHeight="1">
      <x:c r="A470" s="14" t="str">
        <x:v>rf лифтинг morpheus 8</x:v>
      </x:c>
      <x:c r="B470" s="14" t="str">
        <x:v>https://kozhaclinic.ru/apparatnaya-kosmetologiya/igolchatyy-rf-lifting-na-morpheus-8/</x:v>
      </x:c>
      <x:c r="C470" s="31" t="n">
        <x:v>0</x:v>
      </x:c>
      <x:c r="D470" s="31" t="n">
        <x:v>0</x:v>
      </x:c>
      <x:c r="E470" s="33" t="str">
        <x:f>IF(AND(ISNUMBER(C470),ISNUMBER(D470),D470&gt;0),C470/D470,"")</x:f>
      </x:c>
      <x:c r="F470" s="35"/>
      <x:c r="G470" s="31" t="n">
        <x:v>397</x:v>
      </x:c>
    </x:row>
    <x:row r="471" ht="42" customHeight="1">
      <x:c r="A471" s="12" t="str">
        <x:v>аппаратная косметология для лица diamed86</x:v>
      </x:c>
      <x:c r="B471" s="12" t="str">
        <x:v>https://kozhaclinic.ru/apparatnaya-kosmetologiya/</x:v>
      </x:c>
      <x:c r="C471" s="30" t="n">
        <x:v>0</x:v>
      </x:c>
      <x:c r="D471" s="30" t="n">
        <x:v>0</x:v>
      </x:c>
      <x:c r="E471" s="32" t="str">
        <x:f>IF(AND(ISNUMBER(C471),ISNUMBER(D471),D471&gt;0),C471/D471,"")</x:f>
      </x:c>
      <x:c r="F471" s="34"/>
      <x:c r="G471" s="30" t="n">
        <x:v>0</x:v>
      </x:c>
    </x:row>
    <x:row r="472" ht="42" customHeight="1">
      <x:c r="A472" s="14" t="str">
        <x:v>губы мигрируют</x:v>
      </x:c>
      <x:c r="B472" s="14" t="str">
        <x:v>https://kozhaclinic.ru/migratsiya-gelya-iz-gub/</x:v>
      </x:c>
      <x:c r="C472" s="31" t="n">
        <x:v>0</x:v>
      </x:c>
      <x:c r="D472" s="31" t="n">
        <x:v>3</x:v>
      </x:c>
      <x:c r="E472" s="33" t="n">
        <x:f>IF(AND(ISNUMBER(C472),ISNUMBER(D472),D472&gt;0),C472/D472,"")</x:f>
        <x:v>0</x:v>
      </x:c>
      <x:c r="F472" s="35" t="n">
        <x:v>6.6</x:v>
      </x:c>
      <x:c r="G472" s="31" t="n">
        <x:v>5</x:v>
      </x:c>
    </x:row>
    <x:row r="473" ht="42" customHeight="1">
      <x:c r="A473" s="12" t="str">
        <x:v>клиника кожи сургут</x:v>
      </x:c>
      <x:c r="B473" s="12" t="str">
        <x:v>https://kozhaclinic.ru/</x:v>
      </x:c>
      <x:c r="C473" s="30" t="n">
        <x:v>0</x:v>
      </x:c>
      <x:c r="D473" s="30" t="n">
        <x:v>1</x:v>
      </x:c>
      <x:c r="E473" s="32" t="n">
        <x:f>IF(AND(ISNUMBER(C473),ISNUMBER(D473),D473&gt;0),C473/D473,"")</x:f>
        <x:v>0</x:v>
      </x:c>
      <x:c r="F473" s="34" t="n">
        <x:v>2</x:v>
      </x:c>
      <x:c r="G473" s="30" t="n">
        <x:v>1</x:v>
      </x:c>
    </x:row>
    <x:row r="474" ht="42" customHeight="1">
      <x:c r="A474" s="14" t="str">
        <x:v>лазерное удаление новообразований 296-222</x:v>
      </x:c>
      <x:c r="B474" s="14" t="str">
        <x:v>https://kozhaclinic.ru/</x:v>
      </x:c>
      <x:c r="C474" s="31" t="n">
        <x:v>0</x:v>
      </x:c>
      <x:c r="D474" s="31" t="n">
        <x:v>0</x:v>
      </x:c>
      <x:c r="E474" s="33" t="str">
        <x:f>IF(AND(ISNUMBER(C474),ISNUMBER(D474),D474&gt;0),C474/D474,"")</x:f>
      </x:c>
      <x:c r="F474" s="35"/>
      <x:c r="G474" s="31" t="n">
        <x:v>0</x:v>
      </x:c>
    </x:row>
    <x:row r="475" ht="42" customHeight="1">
      <x:c r="A475" s="12" t="str">
        <x:v>миграция филлера в губах что делать</x:v>
      </x:c>
      <x:c r="B475" s="12" t="str">
        <x:v>https://kozhaclinic.ru/migratsiya-gelya-iz-gub/</x:v>
      </x:c>
      <x:c r="C475" s="30" t="n">
        <x:v>0</x:v>
      </x:c>
      <x:c r="D475" s="30" t="n">
        <x:v>8</x:v>
      </x:c>
      <x:c r="E475" s="32" t="n">
        <x:f>IF(AND(ISNUMBER(C475),ISNUMBER(D475),D475&gt;0),C475/D475,"")</x:f>
        <x:v>0</x:v>
      </x:c>
      <x:c r="F475" s="34" t="n">
        <x:v>9.2</x:v>
      </x:c>
      <x:c r="G475" s="30" t="n">
        <x:v>18</x:v>
      </x:c>
    </x:row>
    <x:row r="476" ht="42" customHeight="1">
      <x:c r="A476" s="14" t="str">
        <x:v>миграция филлера губы</x:v>
      </x:c>
      <x:c r="B476" s="14" t="str">
        <x:v>https://kozhaclinic.ru/migratsiya-gelya-iz-gub/</x:v>
      </x:c>
      <x:c r="C476" s="31" t="n">
        <x:v>0</x:v>
      </x:c>
      <x:c r="D476" s="31" t="n">
        <x:v>10</x:v>
      </x:c>
      <x:c r="E476" s="33" t="n">
        <x:f>IF(AND(ISNUMBER(C476),ISNUMBER(D476),D476&gt;0),C476/D476,"")</x:f>
        <x:v>0</x:v>
      </x:c>
      <x:c r="F476" s="35" t="n">
        <x:v>7.3</x:v>
      </x:c>
      <x:c r="G476" s="31" t="n">
        <x:v>10</x:v>
      </x:c>
    </x:row>
    <x:row r="477" ht="42" customHeight="1">
      <x:c r="A477" s="12" t="str">
        <x:v>мигрируют губы</x:v>
      </x:c>
      <x:c r="B477" s="12" t="str">
        <x:v>https://kozhaclinic.ru/migratsiya-gelya-iz-gub/</x:v>
      </x:c>
      <x:c r="C477" s="30" t="n">
        <x:v>0</x:v>
      </x:c>
      <x:c r="D477" s="30" t="n">
        <x:v>3</x:v>
      </x:c>
      <x:c r="E477" s="32" t="n">
        <x:f>IF(AND(ISNUMBER(C477),ISNUMBER(D477),D477&gt;0),C477/D477,"")</x:f>
        <x:v>0</x:v>
      </x:c>
      <x:c r="F477" s="34" t="n">
        <x:v>5.3</x:v>
      </x:c>
      <x:c r="G477" s="30" t="n">
        <x:v>3</x:v>
      </x:c>
    </x:row>
    <x:row r="478" ht="42" customHeight="1">
      <x:c r="A478" s="14" t="str">
        <x:v>михайлова анастасия петровна</x:v>
      </x:c>
      <x:c r="B478" s="14" t="str">
        <x:v>https://kozhaclinic.ru/o-nas/specialisty/mikhaylova-anastasiya-petrovna/</x:v>
      </x:c>
      <x:c r="C478" s="31" t="n">
        <x:v>0</x:v>
      </x:c>
      <x:c r="D478" s="31" t="n">
        <x:v>2</x:v>
      </x:c>
      <x:c r="E478" s="33" t="n">
        <x:f>IF(AND(ISNUMBER(C478),ISNUMBER(D478),D478&gt;0),C478/D478,"")</x:f>
        <x:v>0</x:v>
      </x:c>
      <x:c r="F478" s="35" t="n">
        <x:v>5</x:v>
      </x:c>
      <x:c r="G478" s="31" t="n">
        <x:v>3</x:v>
      </x:c>
    </x:row>
    <x:row r="479" ht="42" customHeight="1">
      <x:c r="A479" s="12" t="str">
        <x:v>ргр терапия</x:v>
      </x:c>
      <x:c r="B479" s="12" t="str">
        <x:v>https://kozhaclinic.ru/vypadenie-volos-rgr-terapiya/</x:v>
      </x:c>
      <x:c r="C479" s="30" t="n">
        <x:v>0</x:v>
      </x:c>
      <x:c r="D479" s="30" t="n">
        <x:v>0</x:v>
      </x:c>
      <x:c r="E479" s="32" t="str">
        <x:f>IF(AND(ISNUMBER(C479),ISNUMBER(D479),D479&gt;0),C479/D479,"")</x:f>
      </x:c>
      <x:c r="F479" s="34"/>
      <x:c r="G479" s="30" t="n">
        <x:v>5</x:v>
      </x:c>
    </x:row>
    <x:row r="480" ht="42" customHeight="1">
      <x:c r="A480" s="14" t="str">
        <x:v>сколько стоит увеличить губы сургут</x:v>
      </x:c>
      <x:c r="B480" s="14" t="str">
        <x:v>https://kozhaclinic.ru/inekcionnaya-kosmetologiya/konturnaya-plastika/uvelichenie-gub/</x:v>
      </x:c>
      <x:c r="C480" s="31" t="n">
        <x:v>0</x:v>
      </x:c>
      <x:c r="D480" s="31" t="n">
        <x:v>0</x:v>
      </x:c>
      <x:c r="E480" s="33" t="str">
        <x:f>IF(AND(ISNUMBER(C480),ISNUMBER(D480),D480&gt;0),C480/D480,"")</x:f>
      </x:c>
      <x:c r="F480" s="35"/>
      <x:c r="G480" s="31" t="n">
        <x:v>0</x:v>
      </x:c>
    </x:row>
    <x:row r="481" ht="42" customHeight="1">
      <x:c r="A481" s="12" t="str">
        <x:v>удаление папиллом веко альфа</x:v>
      </x:c>
      <x:c r="B481" s="12" t="str">
        <x:v>https://kozhaclinic.ru/udalenie-novoobrazovanij/udalenie-papilom/</x:v>
      </x:c>
      <x:c r="C481" s="30" t="n">
        <x:v>0</x:v>
      </x:c>
      <x:c r="D481" s="30" t="n">
        <x:v>2</x:v>
      </x:c>
      <x:c r="E481" s="32" t="n">
        <x:f>IF(AND(ISNUMBER(C481),ISNUMBER(D481),D481&gt;0),C481/D481,"")</x:f>
        <x:v>0</x:v>
      </x:c>
      <x:c r="F481" s="34" t="n">
        <x:v>6</x:v>
      </x:c>
      <x:c r="G481" s="30" t="n">
        <x:v>2</x:v>
      </x:c>
    </x:row>
    <x:row r="482" ht="42" customHeight="1">
      <x:c r="A482" s="14" t="str">
        <x:v>чем отличается увлажнение губ от увеличения</x:v>
      </x:c>
      <x:c r="B482" s="14" t="str">
        <x:v>https://kozhaclinic.ru/inekcionnaya-kosmetologiya/konturnaya-plastika/uvlazhnenie-gub/</x:v>
      </x:c>
      <x:c r="C482" s="31" t="n">
        <x:v>0</x:v>
      </x:c>
      <x:c r="D482" s="31" t="n">
        <x:v>2</x:v>
      </x:c>
      <x:c r="E482" s="33" t="n">
        <x:f>IF(AND(ISNUMBER(C482),ISNUMBER(D482),D482&gt;0),C482/D482,"")</x:f>
        <x:v>0</x:v>
      </x:c>
      <x:c r="F482" s="35" t="n">
        <x:v>27</x:v>
      </x:c>
      <x:c r="G482" s="31" t="n">
        <x:v>4</x:v>
      </x:c>
    </x:row>
    <x:row r="483" ht="42" customHeight="1">
      <x:c r="A483" s="12" t="str">
        <x:v>чистка спины от прыщей от жировиков sanctum clinic</x:v>
      </x:c>
      <x:c r="B483" s="12" t="str">
        <x:v>https://kozhaclinic.ru/uhodovye-procedury/chistki-litsa-i-spiny/chistka-spiny/</x:v>
      </x:c>
      <x:c r="C483" s="30" t="n">
        <x:v>0</x:v>
      </x:c>
      <x:c r="D483" s="30" t="n">
        <x:v>0</x:v>
      </x:c>
      <x:c r="E483" s="32" t="str">
        <x:f>IF(AND(ISNUMBER(C483),ISNUMBER(D483),D483&gt;0),C483/D483,"")</x:f>
      </x:c>
      <x:c r="F483" s="34"/>
      <x:c r="G483" s="30" t="n">
        <x:v>0</x:v>
      </x:c>
    </x:row>
    <x:row r="484" ht="42" customHeight="1">
      <x:c r="A484" s="14" t="str">
        <x:v>rf лифтинг</x:v>
      </x:c>
      <x:c r="B484" s="14" t="str">
        <x:v>https://kozhaclinic.ru/apparatnaya-kosmetologiya/igolchatyy-rf-lifting-na-morpheus-8/</x:v>
      </x:c>
      <x:c r="C484" s="31" t="n">
        <x:v>0</x:v>
      </x:c>
      <x:c r="D484" s="31" t="n">
        <x:v>2</x:v>
      </x:c>
      <x:c r="E484" s="33" t="n">
        <x:f>IF(AND(ISNUMBER(C484),ISNUMBER(D484),D484&gt;0),C484/D484,"")</x:f>
        <x:v>0</x:v>
      </x:c>
      <x:c r="F484" s="35" t="n">
        <x:v>9</x:v>
      </x:c>
      <x:c r="G484" s="31" t="n">
        <x:v>12369</x:v>
      </x:c>
    </x:row>
    <x:row r="485" ht="42" customHeight="1">
      <x:c r="A485" s="12" t="str">
        <x:v>ботулинотерапия diamed86</x:v>
      </x:c>
      <x:c r="B485" s="12" t="str">
        <x:v>https://kozhaclinic.ru/inekcionnaya-kosmetologiya/botulinoterapiya/</x:v>
      </x:c>
      <x:c r="C485" s="30" t="n">
        <x:v>0</x:v>
      </x:c>
      <x:c r="D485" s="30" t="n">
        <x:v>0</x:v>
      </x:c>
      <x:c r="E485" s="32" t="str">
        <x:f>IF(AND(ISNUMBER(C485),ISNUMBER(D485),D485&gt;0),C485/D485,"")</x:f>
      </x:c>
      <x:c r="F485" s="34"/>
      <x:c r="G485" s="30" t="n">
        <x:v>0</x:v>
      </x:c>
    </x:row>
    <x:row r="486" ht="42" customHeight="1">
      <x:c r="A486" s="14" t="str">
        <x:v>ботулинотерапия сургут anatomy-krasoty</x:v>
      </x:c>
      <x:c r="B486" s="14" t="str">
        <x:v>https://kozhaclinic.ru/inekcionnaya-kosmetologiya/lechenie-gipergidroza/botulinoterapiya-podmyshek/</x:v>
      </x:c>
      <x:c r="C486" s="31" t="n">
        <x:v>0</x:v>
      </x:c>
      <x:c r="D486" s="31" t="n">
        <x:v>0</x:v>
      </x:c>
      <x:c r="E486" s="33" t="str">
        <x:f>IF(AND(ISNUMBER(C486),ISNUMBER(D486),D486&gt;0),C486/D486,"")</x:f>
      </x:c>
      <x:c r="F486" s="35"/>
      <x:c r="G486" s="31" t="n">
        <x:v>0</x:v>
      </x:c>
    </x:row>
    <x:row r="487" ht="42" customHeight="1">
      <x:c r="A487" s="12" t="str">
        <x:v>вакансия косметолог сургут</x:v>
      </x:c>
      <x:c r="B487" s="12" t="str">
        <x:v>https://kozhaclinic.ru/o-nas/vakansii/</x:v>
      </x:c>
      <x:c r="C487" s="30" t="n">
        <x:v>4</x:v>
      </x:c>
      <x:c r="D487" s="30" t="n">
        <x:v>4</x:v>
      </x:c>
      <x:c r="E487" s="32" t="n">
        <x:f>IF(AND(ISNUMBER(C487),ISNUMBER(D487),D487&gt;0),C487/D487,"")</x:f>
        <x:v>1</x:v>
      </x:c>
      <x:c r="F487" s="34" t="n">
        <x:v>3.7</x:v>
      </x:c>
      <x:c r="G487" s="30" t="n">
        <x:v>5</x:v>
      </x:c>
    </x:row>
    <x:row r="488" ht="42" customHeight="1">
      <x:c r="A488" s="14" t="str">
        <x:v>из за чего мигрирует филлер в губах</x:v>
      </x:c>
      <x:c r="B488" s="14" t="str">
        <x:v>https://kozhaclinic.ru/migratsiya-gelya-iz-gub/</x:v>
      </x:c>
      <x:c r="C488" s="31" t="n">
        <x:v>0</x:v>
      </x:c>
      <x:c r="D488" s="31" t="n">
        <x:v>8</x:v>
      </x:c>
      <x:c r="E488" s="33" t="n">
        <x:f>IF(AND(ISNUMBER(C488),ISNUMBER(D488),D488&gt;0),C488/D488,"")</x:f>
        <x:v>0</x:v>
      </x:c>
      <x:c r="F488" s="35" t="n">
        <x:v>9.3</x:v>
      </x:c>
      <x:c r="G488" s="31" t="n">
        <x:v>10</x:v>
      </x:c>
    </x:row>
    <x:row r="489" ht="42" customHeight="1">
      <x:c r="A489" s="12" t="str">
        <x:v>как понять что губы мигрируют</x:v>
      </x:c>
      <x:c r="B489" s="12" t="str">
        <x:v>https://kozhaclinic.ru/migratsiya-gelya-iz-gub/</x:v>
      </x:c>
      <x:c r="C489" s="30" t="n">
        <x:v>0</x:v>
      </x:c>
      <x:c r="D489" s="30" t="n">
        <x:v>10</x:v>
      </x:c>
      <x:c r="E489" s="32" t="n">
        <x:f>IF(AND(ISNUMBER(C489),ISNUMBER(D489),D489&gt;0),C489/D489,"")</x:f>
        <x:v>0</x:v>
      </x:c>
      <x:c r="F489" s="34" t="n">
        <x:v>8.2</x:v>
      </x:c>
      <x:c r="G489" s="30" t="n">
        <x:v>11</x:v>
      </x:c>
    </x:row>
    <x:row r="490" ht="42" customHeight="1">
      <x:c r="A490" s="14" t="str">
        <x:v>контурная пластика овала лица</x:v>
      </x:c>
      <x:c r="B490" s="14" t="str">
        <x:v>https://kozhaclinic.ru/uluchshenie-ovala-litsa/</x:v>
      </x:c>
      <x:c r="C490" s="31" t="n">
        <x:v>0</x:v>
      </x:c>
      <x:c r="D490" s="31" t="n">
        <x:v>0</x:v>
      </x:c>
      <x:c r="E490" s="33" t="str">
        <x:f>IF(AND(ISNUMBER(C490),ISNUMBER(D490),D490&gt;0),C490/D490,"")</x:f>
      </x:c>
      <x:c r="F490" s="35"/>
      <x:c r="G490" s="31" t="n">
        <x:v>283</x:v>
      </x:c>
    </x:row>
    <x:row r="491" ht="42" customHeight="1">
      <x:c r="A491" s="12" t="str">
        <x:v>косметологическая клиника</x:v>
      </x:c>
      <x:c r="B491" s="12" t="str">
        <x:v>https://kozhaclinic.ru/</x:v>
      </x:c>
      <x:c r="C491" s="30" t="n">
        <x:v>0</x:v>
      </x:c>
      <x:c r="D491" s="30" t="n">
        <x:v>3</x:v>
      </x:c>
      <x:c r="E491" s="32" t="n">
        <x:f>IF(AND(ISNUMBER(C491),ISNUMBER(D491),D491&gt;0),C491/D491,"")</x:f>
        <x:v>0</x:v>
      </x:c>
      <x:c r="F491" s="34" t="n">
        <x:v>5.3</x:v>
      </x:c>
      <x:c r="G491" s="30" t="n">
        <x:v>3294</x:v>
      </x:c>
    </x:row>
    <x:row r="492" ht="42" customHeight="1">
      <x:c r="A492" s="14" t="str">
        <x:v>миграция филлера над губой</x:v>
      </x:c>
      <x:c r="B492" s="14" t="str">
        <x:v>https://kozhaclinic.ru/migratsiya-gelya-iz-gub/</x:v>
      </x:c>
      <x:c r="C492" s="31" t="n">
        <x:v>0</x:v>
      </x:c>
      <x:c r="D492" s="31" t="n">
        <x:v>6</x:v>
      </x:c>
      <x:c r="E492" s="33" t="n">
        <x:f>IF(AND(ISNUMBER(C492),ISNUMBER(D492),D492&gt;0),C492/D492,"")</x:f>
        <x:v>0</x:v>
      </x:c>
      <x:c r="F492" s="35" t="n">
        <x:v>8</x:v>
      </x:c>
      <x:c r="G492" s="31" t="n">
        <x:v>10</x:v>
      </x:c>
    </x:row>
    <x:row r="493" ht="42" customHeight="1">
      <x:c r="A493" s="12" t="str">
        <x:v>мигрировал гель в губах что делать</x:v>
      </x:c>
      <x:c r="B493" s="12" t="str">
        <x:v>https://kozhaclinic.ru/migratsiya-gelya-iz-gub/</x:v>
      </x:c>
      <x:c r="C493" s="30" t="n">
        <x:v>0</x:v>
      </x:c>
      <x:c r="D493" s="30" t="n">
        <x:v>12</x:v>
      </x:c>
      <x:c r="E493" s="32" t="n">
        <x:f>IF(AND(ISNUMBER(C493),ISNUMBER(D493),D493&gt;0),C493/D493,"")</x:f>
        <x:v>0</x:v>
      </x:c>
      <x:c r="F493" s="34" t="n">
        <x:v>9</x:v>
      </x:c>
      <x:c r="G493" s="30" t="n">
        <x:v>13</x:v>
      </x:c>
    </x:row>
    <x:row r="494" ht="42" customHeight="1">
      <x:c r="A494" s="14" t="str">
        <x:v>полимолочная кислота стоимость nadinity.ru</x:v>
      </x:c>
      <x:c r="B494" s="14" t="str">
        <x:v>https://kozhaclinic.ru/inekcionnaya-kosmetologiya/omolozhenie-i-pitanie-kozhi/polimolochnaya-kislota/</x:v>
      </x:c>
      <x:c r="C494" s="31" t="n">
        <x:v>0</x:v>
      </x:c>
      <x:c r="D494" s="31" t="n">
        <x:v>0</x:v>
      </x:c>
      <x:c r="E494" s="33" t="str">
        <x:f>IF(AND(ISNUMBER(C494),ISNUMBER(D494),D494&gt;0),C494/D494,"")</x:f>
      </x:c>
      <x:c r="F494" s="35"/>
      <x:c r="G494" s="31" t="n">
        <x:v>0</x:v>
      </x:c>
    </x:row>
    <x:row r="495" ht="42" customHeight="1">
      <x:c r="A495" s="12" t="str">
        <x:v>студия лазерной эпиляции</x:v>
      </x:c>
      <x:c r="B495" s="12" t="str">
        <x:v>https://kozhaclinic.ru/</x:v>
      </x:c>
      <x:c r="C495" s="30" t="n">
        <x:v>0</x:v>
      </x:c>
      <x:c r="D495" s="30" t="n">
        <x:v>0</x:v>
      </x:c>
      <x:c r="E495" s="32" t="str">
        <x:f>IF(AND(ISNUMBER(C495),ISNUMBER(D495),D495&gt;0),C495/D495,"")</x:f>
      </x:c>
      <x:c r="F495" s="34"/>
      <x:c r="G495" s="30" t="n">
        <x:v>2563</x:v>
      </x:c>
    </x:row>
    <x:row r="496" ht="42" customHeight="1">
      <x:c r="A496" s="14" t="str">
        <x:v>студия лазерной эпиляции сургут</x:v>
      </x:c>
      <x:c r="B496" s="14" t="str">
        <x:v>https://kozhaclinic.ru/</x:v>
      </x:c>
      <x:c r="C496" s="31" t="n">
        <x:v>0</x:v>
      </x:c>
      <x:c r="D496" s="31" t="n">
        <x:v>0</x:v>
      </x:c>
      <x:c r="E496" s="33" t="str">
        <x:f>IF(AND(ISNUMBER(C496),ISNUMBER(D496),D496&gt;0),C496/D496,"")</x:f>
      </x:c>
      <x:c r="F496" s="35"/>
      <x:c r="G496" s="31" t="n">
        <x:v>3</x:v>
      </x:c>
    </x:row>
    <x:row r="497" ht="42" customHeight="1">
      <x:c r="A497" s="12" t="str">
        <x:v>сургут чистка лица</x:v>
      </x:c>
      <x:c r="B497" s="12" t="str">
        <x:v>https://kozhaclinic.ru/uhodovye-procedury/</x:v>
      </x:c>
      <x:c r="C497" s="30" t="n">
        <x:v>0</x:v>
      </x:c>
      <x:c r="D497" s="30" t="n">
        <x:v>1</x:v>
      </x:c>
      <x:c r="E497" s="32" t="n">
        <x:f>IF(AND(ISNUMBER(C497),ISNUMBER(D497),D497&gt;0),C497/D497,"")</x:f>
        <x:v>0</x:v>
      </x:c>
      <x:c r="F497" s="34" t="n">
        <x:v>10</x:v>
      </x:c>
      <x:c r="G497" s="30" t="n">
        <x:v>1</x:v>
      </x:c>
    </x:row>
    <x:row r="498" ht="42" customHeight="1">
      <x:c r="A498" s="14" t="str">
        <x:v>таскаева дарья геннадьевна дерматолог</x:v>
      </x:c>
      <x:c r="B498" s="14" t="str">
        <x:v>https://kozhaclinic.ru/o-nas/otzyvy/</x:v>
      </x:c>
      <x:c r="C498" s="31" t="n">
        <x:v>0</x:v>
      </x:c>
      <x:c r="D498" s="31" t="n">
        <x:v>1</x:v>
      </x:c>
      <x:c r="E498" s="33" t="n">
        <x:f>IF(AND(ISNUMBER(C498),ISNUMBER(D498),D498&gt;0),C498/D498,"")</x:f>
        <x:v>0</x:v>
      </x:c>
      <x:c r="F498" s="35" t="n">
        <x:v>5</x:v>
      </x:c>
      <x:c r="G498" s="31" t="n">
        <x:v>1</x:v>
      </x:c>
    </x:row>
    <x:row r="499" ht="42" customHeight="1">
      <x:c r="A499" s="12" t="str">
        <x:v>удаление бородавок цена альфа</x:v>
      </x:c>
      <x:c r="B499" s="12" t="str">
        <x:v>https://kozhaclinic.ru/udalenie-novoobrazovanij/udalenie-borodavok/</x:v>
      </x:c>
      <x:c r="C499" s="30" t="n">
        <x:v>0</x:v>
      </x:c>
      <x:c r="D499" s="30" t="n">
        <x:v>1</x:v>
      </x:c>
      <x:c r="E499" s="32" t="n">
        <x:f>IF(AND(ISNUMBER(C499),ISNUMBER(D499),D499&gt;0),C499/D499,"")</x:f>
        <x:v>0</x:v>
      </x:c>
      <x:c r="F499" s="34" t="n">
        <x:v>8</x:v>
      </x:c>
      <x:c r="G499" s="30" t="n">
        <x:v>2</x:v>
      </x:c>
    </x:row>
    <x:row r="500" ht="42" customHeight="1">
      <x:c r="A500" s="14" t="str">
        <x:v>удаление невуса лазером</x:v>
      </x:c>
      <x:c r="B500" s="14" t="str">
        <x:v>https://kozhaclinic.ru/udalenie-novoobrazovanij/udalenie-rodinok/</x:v>
      </x:c>
      <x:c r="C500" s="31" t="n">
        <x:v>0</x:v>
      </x:c>
      <x:c r="D500" s="31" t="n">
        <x:v>6</x:v>
      </x:c>
      <x:c r="E500" s="33" t="n">
        <x:f>IF(AND(ISNUMBER(C500),ISNUMBER(D500),D500&gt;0),C500/D500,"")</x:f>
        <x:v>0</x:v>
      </x:c>
      <x:c r="F500" s="35" t="n">
        <x:v>8.3</x:v>
      </x:c>
      <x:c r="G500" s="31" t="n">
        <x:v>286</x:v>
      </x:c>
    </x:row>
    <x:row r="501" ht="42" customHeight="1">
      <x:c r="A501" s="12" t="str">
        <x:v>что делать если гель мигрировал в слизистую</x:v>
      </x:c>
      <x:c r="B501" s="12" t="str">
        <x:v>https://kozhaclinic.ru/migratsiya-gelya-iz-gub/</x:v>
      </x:c>
      <x:c r="C501" s="30" t="n">
        <x:v>0</x:v>
      </x:c>
      <x:c r="D501" s="30" t="n">
        <x:v>3</x:v>
      </x:c>
      <x:c r="E501" s="32" t="n">
        <x:f>IF(AND(ISNUMBER(C501),ISNUMBER(D501),D501&gt;0),C501/D501,"")</x:f>
        <x:v>0</x:v>
      </x:c>
      <x:c r="F501" s="34" t="n">
        <x:v>9.3</x:v>
      </x:c>
      <x:c r="G501" s="30" t="n">
        <x:v>6</x:v>
      </x:c>
    </x:row>
    <x:row r="502" ht="42" customHeight="1">
      <x:c r="A502" s="14" t="str">
        <x:v>гель мигрирует в губах</x:v>
      </x:c>
      <x:c r="B502" s="14" t="str">
        <x:v>https://kozhaclinic.ru/migratsiya-gelya-iz-gub/</x:v>
      </x:c>
      <x:c r="C502" s="31" t="n">
        <x:v>0</x:v>
      </x:c>
      <x:c r="D502" s="31" t="n">
        <x:v>9</x:v>
      </x:c>
      <x:c r="E502" s="33" t="n">
        <x:f>IF(AND(ISNUMBER(C502),ISNUMBER(D502),D502&gt;0),C502/D502,"")</x:f>
        <x:v>0</x:v>
      </x:c>
      <x:c r="F502" s="35" t="n">
        <x:v>7.8</x:v>
      </x:c>
      <x:c r="G502" s="31" t="n">
        <x:v>9</x:v>
      </x:c>
    </x:row>
    <x:row r="503" ht="42" customHeight="1">
      <x:c r="A503" s="12" t="str">
        <x:v>как мигрирует гель в губах после увеличения</x:v>
      </x:c>
      <x:c r="B503" s="12" t="str">
        <x:v>https://kozhaclinic.ru/migratsiya-gelya-iz-gub/</x:v>
      </x:c>
      <x:c r="C503" s="30" t="n">
        <x:v>0</x:v>
      </x:c>
      <x:c r="D503" s="30" t="n">
        <x:v>6</x:v>
      </x:c>
      <x:c r="E503" s="32" t="n">
        <x:f>IF(AND(ISNUMBER(C503),ISNUMBER(D503),D503&gt;0),C503/D503,"")</x:f>
        <x:v>0</x:v>
      </x:c>
      <x:c r="F503" s="34" t="n">
        <x:v>8.8</x:v>
      </x:c>
      <x:c r="G503" s="30" t="n">
        <x:v>14</x:v>
      </x:c>
    </x:row>
    <x:row r="504" ht="42" customHeight="1">
      <x:c r="A504" s="14" t="str">
        <x:v>лазерное удаление бородавок альфа</x:v>
      </x:c>
      <x:c r="B504" s="14" t="str">
        <x:v>https://kozhaclinic.ru/udalenie-novoobrazovanij/udalenie-borodavok/</x:v>
      </x:c>
      <x:c r="C504" s="31" t="n">
        <x:v>0</x:v>
      </x:c>
      <x:c r="D504" s="31" t="n">
        <x:v>2</x:v>
      </x:c>
      <x:c r="E504" s="33" t="n">
        <x:f>IF(AND(ISNUMBER(C504),ISNUMBER(D504),D504&gt;0),C504/D504,"")</x:f>
        <x:v>0</x:v>
      </x:c>
      <x:c r="F504" s="35" t="n">
        <x:v>9.5</x:v>
      </x:c>
      <x:c r="G504" s="31" t="n">
        <x:v>2</x:v>
      </x:c>
    </x:row>
    <x:row r="505" ht="42" customHeight="1">
      <x:c r="A505" s="12" t="str">
        <x:v>мезотерапия волос сургут</x:v>
      </x:c>
      <x:c r="B505" s="12" t="str">
        <x:v>https://kozhaclinic.ru/inekcionnaya-kosmetologiya/omolozhenie-i-pitanie-kozhi/mezoterapiya-dlya-volos/</x:v>
      </x:c>
      <x:c r="C505" s="30" t="n">
        <x:v>0</x:v>
      </x:c>
      <x:c r="D505" s="30" t="n">
        <x:v>0</x:v>
      </x:c>
      <x:c r="E505" s="32" t="str">
        <x:f>IF(AND(ISNUMBER(C505),ISNUMBER(D505),D505&gt;0),C505/D505,"")</x:f>
      </x:c>
      <x:c r="F505" s="34"/>
      <x:c r="G505" s="30" t="n">
        <x:v>0</x:v>
      </x:c>
    </x:row>
    <x:row r="506" ht="42" customHeight="1">
      <x:c r="A506" s="14" t="str">
        <x:v>мигрировали губы</x:v>
      </x:c>
      <x:c r="B506" s="14" t="str">
        <x:v>https://kozhaclinic.ru/migratsiya-gelya-iz-gub/</x:v>
      </x:c>
      <x:c r="C506" s="31" t="n">
        <x:v>2</x:v>
      </x:c>
      <x:c r="D506" s="31" t="n">
        <x:v>6</x:v>
      </x:c>
      <x:c r="E506" s="33" t="n">
        <x:f>IF(AND(ISNUMBER(C506),ISNUMBER(D506),D506&gt;0),C506/D506,"")</x:f>
        <x:v>0.3333333333333333</x:v>
      </x:c>
      <x:c r="F506" s="35" t="n">
        <x:v>5.8</x:v>
      </x:c>
      <x:c r="G506" s="31" t="n">
        <x:v>6</x:v>
      </x:c>
    </x:row>
    <x:row r="507" ht="42" customHeight="1">
      <x:c r="A507" s="12" t="str">
        <x:v>мигрирует гель в губах</x:v>
      </x:c>
      <x:c r="B507" s="12" t="str">
        <x:v>https://kozhaclinic.ru/migratsiya-gelya-iz-gub/</x:v>
      </x:c>
      <x:c r="C507" s="30" t="n">
        <x:v>0</x:v>
      </x:c>
      <x:c r="D507" s="30" t="n">
        <x:v>5</x:v>
      </x:c>
      <x:c r="E507" s="32" t="n">
        <x:f>IF(AND(ISNUMBER(C507),ISNUMBER(D507),D507&gt;0),C507/D507,"")</x:f>
        <x:v>0</x:v>
      </x:c>
      <x:c r="F507" s="34" t="n">
        <x:v>7.6</x:v>
      </x:c>
      <x:c r="G507" s="30" t="n">
        <x:v>5</x:v>
      </x:c>
    </x:row>
    <x:row r="508" ht="42" customHeight="1">
      <x:c r="A508" s="14" t="str">
        <x:v>можно ли загорать при розацеа на лице</x:v>
      </x:c>
      <x:c r="B508" s="14" t="str">
        <x:v>https://kozhaclinic.ru/ubrat-rozatsea/</x:v>
      </x:c>
      <x:c r="C508" s="31" t="n">
        <x:v>0</x:v>
      </x:c>
      <x:c r="D508" s="31" t="n">
        <x:v>0</x:v>
      </x:c>
      <x:c r="E508" s="33" t="str">
        <x:f>IF(AND(ISNUMBER(C508),ISNUMBER(D508),D508&gt;0),C508/D508,"")</x:f>
      </x:c>
      <x:c r="F508" s="35"/>
      <x:c r="G508" s="31" t="n">
        <x:v>4</x:v>
      </x:c>
    </x:row>
    <x:row r="509" ht="42" customHeight="1">
      <x:c r="A509" s="12" t="str">
        <x:v>наджа сургут</x:v>
      </x:c>
      <x:c r="B509" s="12" t="str">
        <x:v>https://kozhaclinic.ru/udalenie-novoobrazovanij/udalenie-rodinok/</x:v>
      </x:c>
      <x:c r="C509" s="30" t="n">
        <x:v>0</x:v>
      </x:c>
      <x:c r="D509" s="30" t="n">
        <x:v>23</x:v>
      </x:c>
      <x:c r="E509" s="32" t="n">
        <x:f>IF(AND(ISNUMBER(C509),ISNUMBER(D509),D509&gt;0),C509/D509,"")</x:f>
        <x:v>0</x:v>
      </x:c>
      <x:c r="F509" s="34" t="n">
        <x:v>8.6</x:v>
      </x:c>
      <x:c r="G509" s="30" t="n">
        <x:v>1520</x:v>
      </x:c>
    </x:row>
    <x:row r="510" ht="42" customHeight="1">
      <x:c r="A510" s="14" t="str">
        <x:v>почему филлер в губах мигрирует</x:v>
      </x:c>
      <x:c r="B510" s="14" t="str">
        <x:v>https://kozhaclinic.ru/migratsiya-gelya-iz-gub/</x:v>
      </x:c>
      <x:c r="C510" s="31" t="n">
        <x:v>0</x:v>
      </x:c>
      <x:c r="D510" s="31" t="n">
        <x:v>8</x:v>
      </x:c>
      <x:c r="E510" s="33" t="n">
        <x:f>IF(AND(ISNUMBER(C510),ISNUMBER(D510),D510&gt;0),C510/D510,"")</x:f>
        <x:v>0</x:v>
      </x:c>
      <x:c r="F510" s="35" t="n">
        <x:v>9.3</x:v>
      </x:c>
      <x:c r="G510" s="31" t="n">
        <x:v>9</x:v>
      </x:c>
    </x:row>
    <x:row r="511" ht="42" customHeight="1">
      <x:c r="A511" s="12" t="str">
        <x:v>рф лифтинг лица сургут</x:v>
      </x:c>
      <x:c r="B511" s="12" t="str">
        <x:v>https://kozhaclinic.ru/apparatnaya-kosmetologiya/igolchatyy-rf-lifting-na-morpheus-8/</x:v>
      </x:c>
      <x:c r="C511" s="30" t="n">
        <x:v>0</x:v>
      </x:c>
      <x:c r="D511" s="30" t="n">
        <x:v>2</x:v>
      </x:c>
      <x:c r="E511" s="32" t="n">
        <x:f>IF(AND(ISNUMBER(C511),ISNUMBER(D511),D511&gt;0),C511/D511,"")</x:f>
        <x:v>0</x:v>
      </x:c>
      <x:c r="F511" s="34" t="n">
        <x:v>7</x:v>
      </x:c>
      <x:c r="G511" s="30" t="n">
        <x:v>2</x:v>
      </x:c>
    </x:row>
    <x:row r="512" ht="42" customHeight="1">
      <x:c r="A512" s="14" t="str">
        <x:v>трихолог в сургуте</x:v>
      </x:c>
      <x:c r="B512" s="14" t="str">
        <x:v>https://kozhaclinic.ru/osmotry-i-konsultatsii/konsultatsiya-vracha-trikhologa-s-naznacheniem-plana-protsedur/</x:v>
      </x:c>
      <x:c r="C512" s="31" t="n">
        <x:v>0</x:v>
      </x:c>
      <x:c r="D512" s="31" t="n">
        <x:v>7</x:v>
      </x:c>
      <x:c r="E512" s="33" t="n">
        <x:f>IF(AND(ISNUMBER(C512),ISNUMBER(D512),D512&gt;0),C512/D512,"")</x:f>
        <x:v>0</x:v>
      </x:c>
      <x:c r="F512" s="35" t="n">
        <x:v>11.7</x:v>
      </x:c>
      <x:c r="G512" s="31" t="n">
        <x:v>20</x:v>
      </x:c>
    </x:row>
    <x:row r="513" ht="42" customHeight="1">
      <x:c r="A513" s="12" t="str">
        <x:v>чистка лица при розацеа можно ли делать</x:v>
      </x:c>
      <x:c r="B513" s="12" t="str">
        <x:v>https://kozhaclinic.ru/ubrat-rozatsea/</x:v>
      </x:c>
      <x:c r="C513" s="30" t="n">
        <x:v>0</x:v>
      </x:c>
      <x:c r="D513" s="30" t="n">
        <x:v>2</x:v>
      </x:c>
      <x:c r="E513" s="32" t="n">
        <x:f>IF(AND(ISNUMBER(C513),ISNUMBER(D513),D513&gt;0),C513/D513,"")</x:f>
        <x:v>0</x:v>
      </x:c>
      <x:c r="F513" s="34" t="n">
        <x:v>8</x:v>
      </x:c>
      <x:c r="G513" s="30" t="n">
        <x:v>10</x:v>
      </x:c>
    </x:row>
    <x:row r="514" ht="42" customHeight="1">
      <x:c r="A514" s="14" t="str">
        <x:v>чистка лица сургут цены</x:v>
      </x:c>
      <x:c r="B514" s="14" t="str">
        <x:v>https://kozhaclinic.ru/ceny-prajs-list/</x:v>
      </x:c>
      <x:c r="C514" s="31" t="n">
        <x:v>0</x:v>
      </x:c>
      <x:c r="D514" s="31" t="n">
        <x:v>4</x:v>
      </x:c>
      <x:c r="E514" s="33" t="n">
        <x:f>IF(AND(ISNUMBER(C514),ISNUMBER(D514),D514&gt;0),C514/D514,"")</x:f>
        <x:v>0</x:v>
      </x:c>
      <x:c r="F514" s="35" t="n">
        <x:v>5.5</x:v>
      </x:c>
      <x:c r="G514" s="31" t="n">
        <x:v>4</x:v>
      </x:c>
    </x:row>
    <x:row r="515" ht="42" customHeight="1">
      <x:c r="A515" s="12" t="str">
        <x:v>ipl терапия lumecca</x:v>
      </x:c>
      <x:c r="B515" s="12" t="str">
        <x:v>https://kozhaclinic.ru/apparatnaya-kosmetologiya/fotoomolozhenie-inmode/</x:v>
      </x:c>
      <x:c r="C515" s="30" t="n">
        <x:v>0</x:v>
      </x:c>
      <x:c r="D515" s="30" t="n">
        <x:v>0</x:v>
      </x:c>
      <x:c r="E515" s="32" t="str">
        <x:f>IF(AND(ISNUMBER(C515),ISNUMBER(D515),D515&gt;0),C515/D515,"")</x:f>
      </x:c>
      <x:c r="F515" s="34"/>
      <x:c r="G515" s="30" t="n">
        <x:v>9</x:v>
      </x:c>
    </x:row>
    <x:row r="516" ht="42" customHeight="1">
      <x:c r="A516" s="14" t="str">
        <x:v>prp терапия в сургуте</x:v>
      </x:c>
      <x:c r="B516" s="14" t="str">
        <x:v>https://kozhaclinic.ru/inekcionnaya-kosmetologiya/omolozhenie-i-pitanie-kozhi/prp-terapiya-cortexil/</x:v>
      </x:c>
      <x:c r="C516" s="31" t="n">
        <x:v>0</x:v>
      </x:c>
      <x:c r="D516" s="31" t="n">
        <x:v>0</x:v>
      </x:c>
      <x:c r="E516" s="33" t="str">
        <x:f>IF(AND(ISNUMBER(C516),ISNUMBER(D516),D516&gt;0),C516/D516,"")</x:f>
      </x:c>
      <x:c r="F516" s="35"/>
      <x:c r="G516" s="31" t="n">
        <x:v>0</x:v>
      </x:c>
    </x:row>
    <x:row r="517" ht="42" customHeight="1">
      <x:c r="A517" s="12" t="str">
        <x:v>ботулинотерапия ладоней</x:v>
      </x:c>
      <x:c r="B517" s="12" t="str">
        <x:v>https://kozhaclinic.ru/inekcionnaya-kosmetologiya/lechenie-gipergidroza/gipergidroz-ladoney/</x:v>
      </x:c>
      <x:c r="C517" s="30" t="n">
        <x:v>0</x:v>
      </x:c>
      <x:c r="D517" s="30" t="n">
        <x:v>8</x:v>
      </x:c>
      <x:c r="E517" s="32" t="n">
        <x:f>IF(AND(ISNUMBER(C517),ISNUMBER(D517),D517&gt;0),C517/D517,"")</x:f>
        <x:v>0</x:v>
      </x:c>
      <x:c r="F517" s="34" t="n">
        <x:v>9.1</x:v>
      </x:c>
      <x:c r="G517" s="30" t="n">
        <x:v>10</x:v>
      </x:c>
    </x:row>
    <x:row r="518" ht="42" customHeight="1">
      <x:c r="A518" s="14" t="str">
        <x:v>витаминные капельницы сургут</x:v>
      </x:c>
      <x:c r="B518" s="14" t="str">
        <x:v>https://kozhaclinic.ru/iv-terapiya/immunostimulyatsiya/</x:v>
      </x:c>
      <x:c r="C518" s="31" t="n">
        <x:v>0</x:v>
      </x:c>
      <x:c r="D518" s="31" t="n">
        <x:v>5</x:v>
      </x:c>
      <x:c r="E518" s="33" t="n">
        <x:f>IF(AND(ISNUMBER(C518),ISNUMBER(D518),D518&gt;0),C518/D518,"")</x:f>
        <x:v>0</x:v>
      </x:c>
      <x:c r="F518" s="35" t="n">
        <x:v>10.6</x:v>
      </x:c>
      <x:c r="G518" s="31" t="n">
        <x:v>6</x:v>
      </x:c>
    </x:row>
    <x:row r="519" ht="42" customHeight="1">
      <x:c r="A519" s="12" t="str">
        <x:v>губы миграция филлера</x:v>
      </x:c>
      <x:c r="B519" s="12" t="str">
        <x:v>https://kozhaclinic.ru/migratsiya-gelya-iz-gub/</x:v>
      </x:c>
      <x:c r="C519" s="30" t="n">
        <x:v>0</x:v>
      </x:c>
      <x:c r="D519" s="30" t="n">
        <x:v>6</x:v>
      </x:c>
      <x:c r="E519" s="32" t="n">
        <x:f>IF(AND(ISNUMBER(C519),ISNUMBER(D519),D519&gt;0),C519/D519,"")</x:f>
        <x:v>0</x:v>
      </x:c>
      <x:c r="F519" s="34" t="n">
        <x:v>7.5</x:v>
      </x:c>
      <x:c r="G519" s="30" t="n">
        <x:v>6</x:v>
      </x:c>
    </x:row>
    <x:row r="520" ht="42" customHeight="1">
      <x:c r="A520" s="14" t="str">
        <x:v>как часто можно делать люмекку</x:v>
      </x:c>
      <x:c r="B520" s="14" t="str">
        <x:v>https://kozhaclinic.ru/apparatnaya-kosmetologiya/fotoomolozhenie-inmode/</x:v>
      </x:c>
      <x:c r="C520" s="31" t="n">
        <x:v>0</x:v>
      </x:c>
      <x:c r="D520" s="31" t="n">
        <x:v>3</x:v>
      </x:c>
      <x:c r="E520" s="33" t="n">
        <x:f>IF(AND(ISNUMBER(C520),ISNUMBER(D520),D520&gt;0),C520/D520,"")</x:f>
        <x:v>0</x:v>
      </x:c>
      <x:c r="F520" s="35" t="n">
        <x:v>9</x:v>
      </x:c>
      <x:c r="G520" s="31" t="n">
        <x:v>3</x:v>
      </x:c>
    </x:row>
    <x:row r="521" ht="42" customHeight="1">
      <x:c r="A521" s="12" t="str">
        <x:v>клиника косметологии</x:v>
      </x:c>
      <x:c r="B521" s="12" t="str">
        <x:v>https://kozhaclinic.ru/</x:v>
      </x:c>
      <x:c r="C521" s="30" t="n">
        <x:v>0</x:v>
      </x:c>
      <x:c r="D521" s="30" t="n">
        <x:v>0</x:v>
      </x:c>
      <x:c r="E521" s="32" t="str">
        <x:f>IF(AND(ISNUMBER(C521),ISNUMBER(D521),D521&gt;0),C521/D521,"")</x:f>
      </x:c>
      <x:c r="F521" s="34"/>
      <x:c r="G521" s="30" t="n">
        <x:v>3992</x:v>
      </x:c>
    </x:row>
    <x:row r="522" ht="42" customHeight="1">
      <x:c r="A522" s="14" t="str">
        <x:v>миграция нижней губы</x:v>
      </x:c>
      <x:c r="B522" s="14" t="str">
        <x:v>https://kozhaclinic.ru/migratsiya-gelya-iz-gub/</x:v>
      </x:c>
      <x:c r="C522" s="31" t="n">
        <x:v>0</x:v>
      </x:c>
      <x:c r="D522" s="31" t="n">
        <x:v>3</x:v>
      </x:c>
      <x:c r="E522" s="33" t="n">
        <x:f>IF(AND(ISNUMBER(C522),ISNUMBER(D522),D522&gt;0),C522/D522,"")</x:f>
        <x:v>0</x:v>
      </x:c>
      <x:c r="F522" s="35" t="n">
        <x:v>3.3</x:v>
      </x:c>
      <x:c r="G522" s="31" t="n">
        <x:v>3</x:v>
      </x:c>
    </x:row>
    <x:row r="523" ht="42" customHeight="1">
      <x:c r="A523" s="12" t="str">
        <x:v>микротоки для лица цена</x:v>
      </x:c>
      <x:c r="B523" s="12" t="str">
        <x:v>https://kozhaclinic.ru/apparatnaya-kosmetologiya/mikrotokovaya-terapiya/</x:v>
      </x:c>
      <x:c r="C523" s="30" t="n">
        <x:v>0</x:v>
      </x:c>
      <x:c r="D523" s="30" t="n">
        <x:v>0</x:v>
      </x:c>
      <x:c r="E523" s="32" t="str">
        <x:f>IF(AND(ISNUMBER(C523),ISNUMBER(D523),D523&gt;0),C523/D523,"")</x:f>
      </x:c>
      <x:c r="F523" s="34"/>
      <x:c r="G523" s="30" t="n">
        <x:v>466</x:v>
      </x:c>
    </x:row>
    <x:row r="524" ht="42" customHeight="1">
      <x:c r="A524" s="14" t="str">
        <x:v>почему филлер мигрирует в слизистую в губах</x:v>
      </x:c>
      <x:c r="B524" s="14" t="str">
        <x:v>https://kozhaclinic.ru/migratsiya-gelya-iz-gub/</x:v>
      </x:c>
      <x:c r="C524" s="31" t="n">
        <x:v>0</x:v>
      </x:c>
      <x:c r="D524" s="31" t="n">
        <x:v>1</x:v>
      </x:c>
      <x:c r="E524" s="33" t="n">
        <x:f>IF(AND(ISNUMBER(C524),ISNUMBER(D524),D524&gt;0),C524/D524,"")</x:f>
        <x:v>0</x:v>
      </x:c>
      <x:c r="F524" s="35" t="n">
        <x:v>10</x:v>
      </x:c>
      <x:c r="G524" s="31" t="n">
        <x:v>15</x:v>
      </x:c>
    </x:row>
    <x:row r="525" ht="42" customHeight="1">
      <x:c r="A525" s="12" t="str">
        <x:v>сколько стоит лечение гипергидроза ладоней</x:v>
      </x:c>
      <x:c r="B525" s="12" t="str">
        <x:v>https://kozhaclinic.ru/lechenie-povyshennogo-potootdeleniya/</x:v>
      </x:c>
      <x:c r="C525" s="30" t="n">
        <x:v>0</x:v>
      </x:c>
      <x:c r="D525" s="30" t="n">
        <x:v>0</x:v>
      </x:c>
      <x:c r="E525" s="32" t="str">
        <x:f>IF(AND(ISNUMBER(C525),ISNUMBER(D525),D525&gt;0),C525/D525,"")</x:f>
      </x:c>
      <x:c r="F525" s="34"/>
      <x:c r="G525" s="30" t="n">
        <x:v>19</x:v>
      </x:c>
    </x:row>
    <x:row r="526" ht="42" customHeight="1">
      <x:c r="A526" s="14" t="str">
        <x:v>трихолог</x:v>
      </x:c>
      <x:c r="B526" s="14" t="str">
        <x:v>https://kozhaclinic.ru/osmotry-i-konsultatsii/konsultatsiya-vracha-trikhologa-s-naznacheniem-plana-protsedur/</x:v>
      </x:c>
      <x:c r="C526" s="31" t="n">
        <x:v>0</x:v>
      </x:c>
      <x:c r="D526" s="31" t="n">
        <x:v>5</x:v>
      </x:c>
      <x:c r="E526" s="33" t="n">
        <x:f>IF(AND(ISNUMBER(C526),ISNUMBER(D526),D526&gt;0),C526/D526,"")</x:f>
        <x:v>0</x:v>
      </x:c>
      <x:c r="F526" s="35" t="n">
        <x:v>10.4</x:v>
      </x:c>
      <x:c r="G526" s="31" t="n">
        <x:v>14979</x:v>
      </x:c>
    </x:row>
    <x:row r="527" ht="42" customHeight="1">
      <x:c r="A527" s="12" t="str">
        <x:v>удаление кератом в сургуте</x:v>
      </x:c>
      <x:c r="B527" s="12" t="str">
        <x:v>https://kozhaclinic.ru/udalenie-novoobrazovanij/udalenie-keratom/</x:v>
      </x:c>
      <x:c r="C527" s="30" t="n">
        <x:v>0</x:v>
      </x:c>
      <x:c r="D527" s="30" t="n">
        <x:v>0</x:v>
      </x:c>
      <x:c r="E527" s="32" t="str">
        <x:f>IF(AND(ISNUMBER(C527),ISNUMBER(D527),D527&gt;0),C527/D527,"")</x:f>
      </x:c>
      <x:c r="F527" s="34"/>
      <x:c r="G527" s="30" t="n">
        <x:v>0</x:v>
      </x:c>
    </x:row>
    <x:row r="528" ht="42" customHeight="1">
      <x:c r="A528" s="14" t="str">
        <x:v>удалить папиллому сургут</x:v>
      </x:c>
      <x:c r="B528" s="14" t="str">
        <x:v>https://kozhaclinic.ru/udalenie-novoobrazovanij/udalenie-papilom/</x:v>
      </x:c>
      <x:c r="C528" s="31" t="n">
        <x:v>0</x:v>
      </x:c>
      <x:c r="D528" s="31" t="n">
        <x:v>6</x:v>
      </x:c>
      <x:c r="E528" s="33" t="n">
        <x:f>IF(AND(ISNUMBER(C528),ISNUMBER(D528),D528&gt;0),C528/D528,"")</x:f>
        <x:v>0</x:v>
      </x:c>
      <x:c r="F528" s="35" t="n">
        <x:v>4.1</x:v>
      </x:c>
      <x:c r="G528" s="31" t="n">
        <x:v>6</x:v>
      </x:c>
    </x:row>
    <x:row r="529" ht="42" customHeight="1">
      <x:c r="A529" s="12" t="str">
        <x:v>чистка лица от комедонов</x:v>
      </x:c>
      <x:c r="B529" s="12" t="str">
        <x:v>https://kozhaclinic.ru/uhodovye-procedury/chistki-litsa-i-spiny/lechebnaya-chistka-litsa/</x:v>
      </x:c>
      <x:c r="C529" s="30" t="n">
        <x:v>0</x:v>
      </x:c>
      <x:c r="D529" s="30" t="n">
        <x:v>0</x:v>
      </x:c>
      <x:c r="E529" s="32" t="str">
        <x:f>IF(AND(ISNUMBER(C529),ISNUMBER(D529),D529&gt;0),C529/D529,"")</x:f>
      </x:c>
      <x:c r="F529" s="34"/>
      <x:c r="G529" s="30" t="n">
        <x:v>3011</x:v>
      </x:c>
    </x:row>
    <x:row r="530" ht="42" customHeight="1">
      <x:c r="A530" s="14" t="str">
        <x:v>эпиляция лазером</x:v>
      </x:c>
      <x:c r="B530" s="14" t="str">
        <x:v>https://kozhaclinic.ru/</x:v>
      </x:c>
      <x:c r="C530" s="31" t="n">
        <x:v>0</x:v>
      </x:c>
      <x:c r="D530" s="31" t="n">
        <x:v>0</x:v>
      </x:c>
      <x:c r="E530" s="33" t="str">
        <x:f>IF(AND(ISNUMBER(C530),ISNUMBER(D530),D530&gt;0),C530/D530,"")</x:f>
      </x:c>
      <x:c r="F530" s="35"/>
      <x:c r="G530" s="31" t="n">
        <x:v>705</x:v>
      </x:c>
    </x:row>
    <x:row r="531" ht="42" customHeight="1">
      <x:c r="A531" s="12" t="str">
        <x:v>эстетическая медицина сургут</x:v>
      </x:c>
      <x:c r="B531" s="12" t="str">
        <x:v>https://kozhaclinic.ru/</x:v>
      </x:c>
      <x:c r="C531" s="30" t="n">
        <x:v>0</x:v>
      </x:c>
      <x:c r="D531" s="30" t="n">
        <x:v>0</x:v>
      </x:c>
      <x:c r="E531" s="32" t="str">
        <x:f>IF(AND(ISNUMBER(C531),ISNUMBER(D531),D531&gt;0),C531/D531,"")</x:f>
      </x:c>
      <x:c r="F531" s="34"/>
      <x:c r="G531" s="30" t="n">
        <x:v>1</x:v>
      </x:c>
    </x:row>
    <x:row r="532" ht="42" customHeight="1">
      <x:c r="A532" s="14" t="str">
        <x:v>аппаратная косметология diamed86</x:v>
      </x:c>
      <x:c r="B532" s="14" t="str">
        <x:v>https://kozhaclinic.ru/apparatnaya-kosmetologiya/</x:v>
      </x:c>
      <x:c r="C532" s="31" t="n">
        <x:v>0</x:v>
      </x:c>
      <x:c r="D532" s="31" t="n">
        <x:v>0</x:v>
      </x:c>
      <x:c r="E532" s="33" t="str">
        <x:f>IF(AND(ISNUMBER(C532),ISNUMBER(D532),D532&gt;0),C532/D532,"")</x:f>
      </x:c>
      <x:c r="F532" s="35"/>
      <x:c r="G532" s="31" t="n">
        <x:v>0</x:v>
      </x:c>
    </x:row>
    <x:row r="533" ht="42" customHeight="1">
      <x:c r="A533" s="12" t="str">
        <x:v>бланширование морщин</x:v>
      </x:c>
      <x:c r="B533" s="12" t="str">
        <x:v>https://kozhaclinic.ru/inekcionnaya-kosmetologiya/konturnaya-plastika/blanshirovanie/</x:v>
      </x:c>
      <x:c r="C533" s="30" t="n">
        <x:v>0</x:v>
      </x:c>
      <x:c r="D533" s="30" t="n">
        <x:v>3</x:v>
      </x:c>
      <x:c r="E533" s="32" t="n">
        <x:f>IF(AND(ISNUMBER(C533),ISNUMBER(D533),D533&gt;0),C533/D533,"")</x:f>
        <x:v>0</x:v>
      </x:c>
      <x:c r="F533" s="34" t="n">
        <x:v>9</x:v>
      </x:c>
      <x:c r="G533" s="30" t="n">
        <x:v>686</x:v>
      </x:c>
    </x:row>
    <x:row r="534" ht="42" customHeight="1">
      <x:c r="A534" s="14" t="str">
        <x:v>ботокс на декольте</x:v>
      </x:c>
      <x:c r="B534" s="14" t="str">
        <x:v>https://kozhaclinic.ru/inekcionnaya-kosmetologiya/botulinoterapiya/botoks-dlya-shei-i-zony-dekolte/</x:v>
      </x:c>
      <x:c r="C534" s="31" t="n">
        <x:v>1</x:v>
      </x:c>
      <x:c r="D534" s="31" t="n">
        <x:v>5</x:v>
      </x:c>
      <x:c r="E534" s="33" t="n">
        <x:f>IF(AND(ISNUMBER(C534),ISNUMBER(D534),D534&gt;0),C534/D534,"")</x:f>
        <x:v>0.2</x:v>
      </x:c>
      <x:c r="F534" s="35" t="n">
        <x:v>4.8</x:v>
      </x:c>
      <x:c r="G534" s="31" t="n">
        <x:v>5</x:v>
      </x:c>
    </x:row>
    <x:row r="535" ht="42" customHeight="1">
      <x:c r="A535" s="12" t="str">
        <x:v>дерматоскопия в сургуте</x:v>
      </x:c>
      <x:c r="B535" s="12" t="str">
        <x:v>https://kozhaclinic.ru/osmotry-i-konsultatsii/dermatoskopiya/</x:v>
      </x:c>
      <x:c r="C535" s="30" t="n">
        <x:v>0</x:v>
      </x:c>
      <x:c r="D535" s="30" t="n">
        <x:v>7</x:v>
      </x:c>
      <x:c r="E535" s="32" t="n">
        <x:f>IF(AND(ISNUMBER(C535),ISNUMBER(D535),D535&gt;0),C535/D535,"")</x:f>
        <x:v>0</x:v>
      </x:c>
      <x:c r="F535" s="34" t="n">
        <x:v>4.7</x:v>
      </x:c>
      <x:c r="G535" s="30" t="n">
        <x:v>7</x:v>
      </x:c>
    </x:row>
    <x:row r="536" ht="42" customHeight="1">
      <x:c r="A536" s="14" t="str">
        <x:v>косметологические клиники в сургуте</x:v>
      </x:c>
      <x:c r="B536" s="14" t="str">
        <x:v>https://kozhaclinic.ru/</x:v>
      </x:c>
      <x:c r="C536" s="31" t="n">
        <x:v>0</x:v>
      </x:c>
      <x:c r="D536" s="31" t="n">
        <x:v>4</x:v>
      </x:c>
      <x:c r="E536" s="33" t="n">
        <x:f>IF(AND(ISNUMBER(C536),ISNUMBER(D536),D536&gt;0),C536/D536,"")</x:f>
        <x:v>0</x:v>
      </x:c>
      <x:c r="F536" s="35" t="n">
        <x:v>9</x:v>
      </x:c>
      <x:c r="G536" s="31" t="n">
        <x:v>4</x:v>
      </x:c>
    </x:row>
    <x:row r="537" ht="42" customHeight="1">
      <x:c r="A537" s="12" t="str">
        <x:v>лазерная шлифовка шрамов сургут</x:v>
      </x:c>
      <x:c r="B537" s="12" t="str">
        <x:v>https://kozhaclinic.ru/ubrat-shram/</x:v>
      </x:c>
      <x:c r="C537" s="30" t="n">
        <x:v>0</x:v>
      </x:c>
      <x:c r="D537" s="30" t="n">
        <x:v>6</x:v>
      </x:c>
      <x:c r="E537" s="32" t="n">
        <x:f>IF(AND(ISNUMBER(C537),ISNUMBER(D537),D537&gt;0),C537/D537,"")</x:f>
        <x:v>0</x:v>
      </x:c>
      <x:c r="F537" s="34" t="n">
        <x:v>6.1</x:v>
      </x:c>
      <x:c r="G537" s="30" t="n">
        <x:v>6</x:v>
      </x:c>
    </x:row>
    <x:row r="538" ht="42" customHeight="1">
      <x:c r="A538" s="14" t="str">
        <x:v>люмека инмод</x:v>
      </x:c>
      <x:c r="B538" s="14" t="str">
        <x:v>https://kozhaclinic.ru/apparatnaya-kosmetologiya/fotoomolozhenie-inmode/</x:v>
      </x:c>
      <x:c r="C538" s="31" t="n">
        <x:v>0</x:v>
      </x:c>
      <x:c r="D538" s="31" t="n">
        <x:v>0</x:v>
      </x:c>
      <x:c r="E538" s="33" t="str">
        <x:f>IF(AND(ISNUMBER(C538),ISNUMBER(D538),D538&gt;0),C538/D538,"")</x:f>
      </x:c>
      <x:c r="F538" s="35"/>
      <x:c r="G538" s="31" t="n">
        <x:v>7</x:v>
      </x:c>
    </x:row>
    <x:row r="539" ht="42" customHeight="1">
      <x:c r="A539" s="12" t="str">
        <x:v>миграция филлера в слизистую губ</x:v>
      </x:c>
      <x:c r="B539" s="12" t="str">
        <x:v>https://kozhaclinic.ru/migratsiya-gelya-iz-gub/</x:v>
      </x:c>
      <x:c r="C539" s="30" t="n">
        <x:v>0</x:v>
      </x:c>
      <x:c r="D539" s="30" t="n">
        <x:v>2</x:v>
      </x:c>
      <x:c r="E539" s="32" t="n">
        <x:f>IF(AND(ISNUMBER(C539),ISNUMBER(D539),D539&gt;0),C539/D539,"")</x:f>
        <x:v>0</x:v>
      </x:c>
      <x:c r="F539" s="34" t="n">
        <x:v>11</x:v>
      </x:c>
      <x:c r="G539" s="30" t="n">
        <x:v>11</x:v>
      </x:c>
    </x:row>
    <x:row r="540" ht="42" customHeight="1">
      <x:c r="A540" s="14" t="str">
        <x:v>миграция филлера на нижней губе</x:v>
      </x:c>
      <x:c r="B540" s="14" t="str">
        <x:v>https://kozhaclinic.ru/migratsiya-gelya-iz-gub/</x:v>
      </x:c>
      <x:c r="C540" s="31" t="n">
        <x:v>0</x:v>
      </x:c>
      <x:c r="D540" s="31" t="n">
        <x:v>4</x:v>
      </x:c>
      <x:c r="E540" s="33" t="n">
        <x:f>IF(AND(ISNUMBER(C540),ISNUMBER(D540),D540&gt;0),C540/D540,"")</x:f>
        <x:v>0</x:v>
      </x:c>
      <x:c r="F540" s="35" t="n">
        <x:v>3</x:v>
      </x:c>
      <x:c r="G540" s="31" t="n">
        <x:v>4</x:v>
      </x:c>
    </x:row>
    <x:row r="541" ht="42" customHeight="1">
      <x:c r="A541" s="12" t="str">
        <x:v>микротоковая рефлексотерапия сургут</x:v>
      </x:c>
      <x:c r="B541" s="12" t="str">
        <x:v>https://kozhaclinic.ru/apparatnaya-kosmetologiya/mikrotokovaya-terapiya/</x:v>
      </x:c>
      <x:c r="C541" s="30" t="n">
        <x:v>0</x:v>
      </x:c>
      <x:c r="D541" s="30" t="n">
        <x:v>3</x:v>
      </x:c>
      <x:c r="E541" s="32" t="n">
        <x:f>IF(AND(ISNUMBER(C541),ISNUMBER(D541),D541&gt;0),C541/D541,"")</x:f>
        <x:v>0</x:v>
      </x:c>
      <x:c r="F541" s="34" t="n">
        <x:v>3.6</x:v>
      </x:c>
      <x:c r="G541" s="30" t="n">
        <x:v>3</x:v>
      </x:c>
    </x:row>
    <x:row r="542" ht="42" customHeight="1">
      <x:c r="A542" s="14" t="str">
        <x:v>от чего мигрирует филлер в губах</x:v>
      </x:c>
      <x:c r="B542" s="14" t="str">
        <x:v>https://kozhaclinic.ru/migratsiya-gelya-iz-gub/</x:v>
      </x:c>
      <x:c r="C542" s="31" t="n">
        <x:v>0</x:v>
      </x:c>
      <x:c r="D542" s="31" t="n">
        <x:v>6</x:v>
      </x:c>
      <x:c r="E542" s="33" t="n">
        <x:f>IF(AND(ISNUMBER(C542),ISNUMBER(D542),D542&gt;0),C542/D542,"")</x:f>
        <x:v>0</x:v>
      </x:c>
      <x:c r="F542" s="35" t="n">
        <x:v>8.6</x:v>
      </x:c>
      <x:c r="G542" s="31" t="n">
        <x:v>9</x:v>
      </x:c>
    </x:row>
    <x:row r="543" ht="42" customHeight="1">
      <x:c r="A543" s="12" t="str">
        <x:v>плазмолифтинг в сургуте</x:v>
      </x:c>
      <x:c r="B543" s="12" t="str">
        <x:v>https://kozhaclinic.ru/inekcionnaya-kosmetologiya/omolozhenie-i-pitanie-kozhi/plazmolifting-dlya-volos/</x:v>
      </x:c>
      <x:c r="C543" s="30" t="n">
        <x:v>0</x:v>
      </x:c>
      <x:c r="D543" s="30" t="n">
        <x:v>3</x:v>
      </x:c>
      <x:c r="E543" s="32" t="n">
        <x:f>IF(AND(ISNUMBER(C543),ISNUMBER(D543),D543&gt;0),C543/D543,"")</x:f>
        <x:v>0</x:v>
      </x:c>
      <x:c r="F543" s="34" t="n">
        <x:v>13.3</x:v>
      </x:c>
      <x:c r="G543" s="30" t="n">
        <x:v>3</x:v>
      </x:c>
    </x:row>
    <x:row r="544" ht="42" customHeight="1">
      <x:c r="A544" s="14" t="str">
        <x:v>полимолочная кислота сургут</x:v>
      </x:c>
      <x:c r="B544" s="14" t="str">
        <x:v>https://kozhaclinic.ru/inekcionnaya-kosmetologiya/omolozhenie-i-pitanie-kozhi/polimolochnaya-kislota/</x:v>
      </x:c>
      <x:c r="C544" s="31" t="n">
        <x:v>2</x:v>
      </x:c>
      <x:c r="D544" s="31" t="n">
        <x:v>6</x:v>
      </x:c>
      <x:c r="E544" s="33" t="n">
        <x:f>IF(AND(ISNUMBER(C544),ISNUMBER(D544),D544&gt;0),C544/D544,"")</x:f>
        <x:v>0.3333333333333333</x:v>
      </x:c>
      <x:c r="F544" s="35" t="n">
        <x:v>4.5</x:v>
      </x:c>
      <x:c r="G544" s="31" t="n">
        <x:v>4</x:v>
      </x:c>
    </x:row>
    <x:row r="545" ht="42" customHeight="1">
      <x:c r="A545" s="12" t="str">
        <x:v>причины миграции филлера в губах</x:v>
      </x:c>
      <x:c r="B545" s="12" t="str">
        <x:v>https://kozhaclinic.ru/migratsiya-gelya-iz-gub/</x:v>
      </x:c>
      <x:c r="C545" s="30" t="n">
        <x:v>0</x:v>
      </x:c>
      <x:c r="D545" s="30" t="n">
        <x:v>2</x:v>
      </x:c>
      <x:c r="E545" s="32" t="n">
        <x:f>IF(AND(ISNUMBER(C545),ISNUMBER(D545),D545&gt;0),C545/D545,"")</x:f>
        <x:v>0</x:v>
      </x:c>
      <x:c r="F545" s="34" t="n">
        <x:v>9</x:v>
      </x:c>
      <x:c r="G545" s="30" t="n">
        <x:v>5</x:v>
      </x:c>
    </x:row>
    <x:row r="546" ht="42" customHeight="1">
      <x:c r="A546" s="14" t="str">
        <x:v>удаление бородавок лазером альфа</x:v>
      </x:c>
      <x:c r="B546" s="14" t="str">
        <x:v>https://kozhaclinic.ru/</x:v>
      </x:c>
      <x:c r="C546" s="31" t="n">
        <x:v>0</x:v>
      </x:c>
      <x:c r="D546" s="31" t="n">
        <x:v>1</x:v>
      </x:c>
      <x:c r="E546" s="33" t="n">
        <x:f>IF(AND(ISNUMBER(C546),ISNUMBER(D546),D546&gt;0),C546/D546,"")</x:f>
        <x:v>0</x:v>
      </x:c>
      <x:c r="F546" s="35" t="n">
        <x:v>5</x:v>
      </x:c>
      <x:c r="G546" s="31" t="n">
        <x:v>1</x:v>
      </x:c>
    </x:row>
    <x:row r="547" ht="42" customHeight="1">
      <x:c r="A547" s="12" t="str">
        <x:v>удаление папилломы в сургуте</x:v>
      </x:c>
      <x:c r="B547" s="12" t="str">
        <x:v>https://kozhaclinic.ru/udalenie-novoobrazovanij/udalenie-papilom/</x:v>
      </x:c>
      <x:c r="C547" s="30" t="n">
        <x:v>0</x:v>
      </x:c>
      <x:c r="D547" s="30" t="n">
        <x:v>3</x:v>
      </x:c>
      <x:c r="E547" s="32" t="n">
        <x:f>IF(AND(ISNUMBER(C547),ISNUMBER(D547),D547&gt;0),C547/D547,"")</x:f>
        <x:v>0</x:v>
      </x:c>
      <x:c r="F547" s="34" t="n">
        <x:v>5</x:v>
      </x:c>
      <x:c r="G547" s="30" t="n">
        <x:v>3</x:v>
      </x:c>
    </x:row>
    <x:row r="548" ht="42" customHeight="1">
      <x:c r="A548" s="14" t="str">
        <x:v>чистка лица при розацеа</x:v>
      </x:c>
      <x:c r="B548" s="14" t="str">
        <x:v>https://kozhaclinic.ru/ubrat-rozatsea/</x:v>
      </x:c>
      <x:c r="C548" s="31" t="n">
        <x:v>0</x:v>
      </x:c>
      <x:c r="D548" s="31" t="n">
        <x:v>8</x:v>
      </x:c>
      <x:c r="E548" s="33" t="n">
        <x:f>IF(AND(ISNUMBER(C548),ISNUMBER(D548),D548&gt;0),C548/D548,"")</x:f>
        <x:v>0</x:v>
      </x:c>
      <x:c r="F548" s="35" t="n">
        <x:v>8.6</x:v>
      </x:c>
      <x:c r="G548" s="31" t="n">
        <x:v>9</x:v>
      </x:c>
    </x:row>
    <x:row r="549" ht="42" customHeight="1">
      <x:c r="A549" s="12" t="str">
        <x:v>что такое миграция в губах</x:v>
      </x:c>
      <x:c r="B549" s="12" t="str">
        <x:v>https://kozhaclinic.ru/migratsiya-gelya-iz-gub/</x:v>
      </x:c>
      <x:c r="C549" s="30" t="n">
        <x:v>0</x:v>
      </x:c>
      <x:c r="D549" s="30" t="n">
        <x:v>3</x:v>
      </x:c>
      <x:c r="E549" s="32" t="n">
        <x:f>IF(AND(ISNUMBER(C549),ISNUMBER(D549),D549&gt;0),C549/D549,"")</x:f>
        <x:v>0</x:v>
      </x:c>
      <x:c r="F549" s="34" t="n">
        <x:v>11</x:v>
      </x:c>
      <x:c r="G549" s="30" t="n">
        <x:v>3</x:v>
      </x:c>
    </x:row>
    <x:row r="550" ht="42" customHeight="1">
      <x:c r="A550" s="14" t="str">
        <x:v>шлифовка шрамов сургут</x:v>
      </x:c>
      <x:c r="B550" s="14" t="str">
        <x:v>https://kozhaclinic.ru/ubrat-shram/</x:v>
      </x:c>
      <x:c r="C550" s="31" t="n">
        <x:v>0</x:v>
      </x:c>
      <x:c r="D550" s="31" t="n">
        <x:v>3</x:v>
      </x:c>
      <x:c r="E550" s="33" t="n">
        <x:f>IF(AND(ISNUMBER(C550),ISNUMBER(D550),D550&gt;0),C550/D550,"")</x:f>
        <x:v>0</x:v>
      </x:c>
      <x:c r="F550" s="35" t="n">
        <x:v>7</x:v>
      </x:c>
      <x:c r="G550" s="31" t="n">
        <x:v>3</x:v>
      </x:c>
    </x:row>
    <x:row r="551" ht="42" customHeight="1">
      <x:c r="A551" s="12" t="str">
        <x:v>belotero</x:v>
      </x:c>
      <x:c r="B551" s="12" t="str">
        <x:v>https://kozhaclinic.ru/inekcionnaya-kosmetologiya/fillery-belotero/</x:v>
      </x:c>
      <x:c r="C551" s="30" t="n">
        <x:v>0</x:v>
      </x:c>
      <x:c r="D551" s="30" t="n">
        <x:v>1</x:v>
      </x:c>
      <x:c r="E551" s="32" t="n">
        <x:f>IF(AND(ISNUMBER(C551),ISNUMBER(D551),D551&gt;0),C551/D551,"")</x:f>
        <x:v>0</x:v>
      </x:c>
      <x:c r="F551" s="34" t="n">
        <x:v>10</x:v>
      </x:c>
      <x:c r="G551" s="30" t="n">
        <x:v>868</x:v>
      </x:c>
    </x:row>
    <x:row r="552" ht="42" customHeight="1">
      <x:c r="A552" s="14" t="str">
        <x:v>биоревитализация сургут цена</x:v>
      </x:c>
      <x:c r="B552" s="14" t="str">
        <x:v>https://kozhaclinic.ru/inekcionnaya-kosmetologiya/omolozhenie-i-pitanie-kozhi/biorevitalizatsiya/</x:v>
      </x:c>
      <x:c r="C552" s="31" t="n">
        <x:v>0</x:v>
      </x:c>
      <x:c r="D552" s="31" t="n">
        <x:v>0</x:v>
      </x:c>
      <x:c r="E552" s="33" t="str">
        <x:f>IF(AND(ISNUMBER(C552),ISNUMBER(D552),D552&gt;0),C552/D552,"")</x:f>
      </x:c>
      <x:c r="F552" s="35"/>
      <x:c r="G552" s="31" t="n">
        <x:v>0</x:v>
      </x:c>
    </x:row>
    <x:row r="553" ht="42" customHeight="1">
      <x:c r="A553" s="12" t="str">
        <x:v>диспорт для лица dessangeclub.ru</x:v>
      </x:c>
      <x:c r="B553" s="12" t="str">
        <x:v>https://kozhaclinic.ru/inekcionnaya-kosmetologiya/botulinoterapiya/disport/</x:v>
      </x:c>
      <x:c r="C553" s="30" t="n">
        <x:v>0</x:v>
      </x:c>
      <x:c r="D553" s="30" t="n">
        <x:v>0</x:v>
      </x:c>
      <x:c r="E553" s="32" t="str">
        <x:f>IF(AND(ISNUMBER(C553),ISNUMBER(D553),D553&gt;0),C553/D553,"")</x:f>
      </x:c>
      <x:c r="F553" s="34"/>
      <x:c r="G553" s="30" t="n">
        <x:v>0</x:v>
      </x:c>
    </x:row>
    <x:row r="554" ht="42" customHeight="1">
      <x:c r="A554" s="14" t="str">
        <x:v>заполнение носослезной борозды</x:v>
      </x:c>
      <x:c r="B554" s="14" t="str">
        <x:v>https://kozhaclinic.ru/inekcionnaya-kosmetologiya/konturnaya-plastika/korrektsiya-nososleznoy-borozdy/</x:v>
      </x:c>
      <x:c r="C554" s="31" t="n">
        <x:v>0</x:v>
      </x:c>
      <x:c r="D554" s="31" t="n">
        <x:v>0</x:v>
      </x:c>
      <x:c r="E554" s="33" t="str">
        <x:f>IF(AND(ISNUMBER(C554),ISNUMBER(D554),D554&gt;0),C554/D554,"")</x:f>
      </x:c>
      <x:c r="F554" s="35"/>
      <x:c r="G554" s="31" t="n">
        <x:v>529</x:v>
      </x:c>
    </x:row>
    <x:row r="555" ht="42" customHeight="1">
      <x:c r="A555" s="12" t="str">
        <x:v>игольчатый rf лифтинг лица</x:v>
      </x:c>
      <x:c r="B555" s="12" t="str">
        <x:v>https://kozhaclinic.ru/apparatnaya-kosmetologiya/igolchatyy-rf-lifting-na-morpheus-8/</x:v>
      </x:c>
      <x:c r="C555" s="30" t="n">
        <x:v>0</x:v>
      </x:c>
      <x:c r="D555" s="30" t="n">
        <x:v>2</x:v>
      </x:c>
      <x:c r="E555" s="32" t="n">
        <x:f>IF(AND(ISNUMBER(C555),ISNUMBER(D555),D555&gt;0),C555/D555,"")</x:f>
        <x:v>0</x:v>
      </x:c>
      <x:c r="F555" s="34" t="n">
        <x:v>4.5</x:v>
      </x:c>
      <x:c r="G555" s="30" t="n">
        <x:v>547</x:v>
      </x:c>
    </x:row>
    <x:row r="556" ht="42" customHeight="1">
      <x:c r="A556" s="14" t="str">
        <x:v>игольчатый рф морфеус 8 kosmo-dom</x:v>
      </x:c>
      <x:c r="B556" s="14" t="str">
        <x:v>https://kozhaclinic.ru/apparatnaya-kosmetologiya/igolchatyy-rf-lifting-na-morpheus-8/</x:v>
      </x:c>
      <x:c r="C556" s="31" t="n">
        <x:v>0</x:v>
      </x:c>
      <x:c r="D556" s="31" t="n">
        <x:v>0</x:v>
      </x:c>
      <x:c r="E556" s="33" t="str">
        <x:f>IF(AND(ISNUMBER(C556),ISNUMBER(D556),D556&gt;0),C556/D556,"")</x:f>
      </x:c>
      <x:c r="F556" s="35"/>
      <x:c r="G556" s="31" t="n">
        <x:v>0</x:v>
      </x:c>
    </x:row>
    <x:row r="557" ht="42" customHeight="1">
      <x:c r="A557" s="12" t="str">
        <x:v>из за чего происходит миграция филлера</x:v>
      </x:c>
      <x:c r="B557" s="12" t="str">
        <x:v>https://kozhaclinic.ru/migratsiya-gelya-iz-gub/</x:v>
      </x:c>
      <x:c r="C557" s="30" t="n">
        <x:v>0</x:v>
      </x:c>
      <x:c r="D557" s="30" t="n">
        <x:v>10</x:v>
      </x:c>
      <x:c r="E557" s="32" t="n">
        <x:f>IF(AND(ISNUMBER(C557),ISNUMBER(D557),D557&gt;0),C557/D557,"")</x:f>
        <x:v>0</x:v>
      </x:c>
      <x:c r="F557" s="34" t="n">
        <x:v>11.8</x:v>
      </x:c>
      <x:c r="G557" s="30" t="n">
        <x:v>19</x:v>
      </x:c>
    </x:row>
    <x:row r="558" ht="42" customHeight="1">
      <x:c r="A558" s="14" t="str">
        <x:v>иммиграция губ</x:v>
      </x:c>
      <x:c r="B558" s="14" t="str">
        <x:v>https://kozhaclinic.ru/migratsiya-gelya-iz-gub/</x:v>
      </x:c>
      <x:c r="C558" s="31" t="n">
        <x:v>0</x:v>
      </x:c>
      <x:c r="D558" s="31" t="n">
        <x:v>3</x:v>
      </x:c>
      <x:c r="E558" s="33" t="n">
        <x:f>IF(AND(ISNUMBER(C558),ISNUMBER(D558),D558&gt;0),C558/D558,"")</x:f>
        <x:v>0</x:v>
      </x:c>
      <x:c r="F558" s="35" t="n">
        <x:v>6.6</x:v>
      </x:c>
      <x:c r="G558" s="31" t="n">
        <x:v>7</x:v>
      </x:c>
    </x:row>
    <x:row r="559" ht="42" customHeight="1">
      <x:c r="A559" s="12" t="str">
        <x:v>как понять что гель мигрировал над верхней губой</x:v>
      </x:c>
      <x:c r="B559" s="12" t="str">
        <x:v>https://kozhaclinic.ru/migratsiya-gelya-iz-gub/</x:v>
      </x:c>
      <x:c r="C559" s="30" t="n">
        <x:v>0</x:v>
      </x:c>
      <x:c r="D559" s="30" t="n">
        <x:v>2</x:v>
      </x:c>
      <x:c r="E559" s="32" t="n">
        <x:f>IF(AND(ISNUMBER(C559),ISNUMBER(D559),D559&gt;0),C559/D559,"")</x:f>
        <x:v>0</x:v>
      </x:c>
      <x:c r="F559" s="34" t="n">
        <x:v>12</x:v>
      </x:c>
      <x:c r="G559" s="30" t="n">
        <x:v>15</x:v>
      </x:c>
    </x:row>
    <x:row r="560" ht="42" customHeight="1">
      <x:c r="A560" s="14" t="str">
        <x:v>клиника косметологии кожа сургут</x:v>
      </x:c>
      <x:c r="B560" s="14" t="str">
        <x:v>https://kozhaclinic.ru/</x:v>
      </x:c>
      <x:c r="C560" s="31" t="n">
        <x:v>2</x:v>
      </x:c>
      <x:c r="D560" s="31" t="n">
        <x:v>4</x:v>
      </x:c>
      <x:c r="E560" s="33" t="n">
        <x:f>IF(AND(ISNUMBER(C560),ISNUMBER(D560),D560&gt;0),C560/D560,"")</x:f>
        <x:v>0.5</x:v>
      </x:c>
      <x:c r="F560" s="35" t="n">
        <x:v>1.7</x:v>
      </x:c>
      <x:c r="G560" s="31" t="n">
        <x:v>3</x:v>
      </x:c>
    </x:row>
    <x:row r="561" ht="42" customHeight="1">
      <x:c r="A561" s="12" t="str">
        <x:v>клиникк кожа</x:v>
      </x:c>
      <x:c r="B561" s="12" t="str">
        <x:v>https://kozhaclinic.ru/</x:v>
      </x:c>
      <x:c r="C561" s="30" t="n">
        <x:v>0</x:v>
      </x:c>
      <x:c r="D561" s="30" t="n">
        <x:v>0</x:v>
      </x:c>
      <x:c r="E561" s="32" t="str">
        <x:f>IF(AND(ISNUMBER(C561),ISNUMBER(D561),D561&gt;0),C561/D561,"")</x:f>
      </x:c>
      <x:c r="F561" s="34"/>
      <x:c r="G561" s="30" t="n">
        <x:v>0</x:v>
      </x:c>
    </x:row>
    <x:row r="562" ht="42" customHeight="1">
      <x:c r="A562" s="14" t="str">
        <x:v>кожа косметология сургут</x:v>
      </x:c>
      <x:c r="B562" s="14" t="str">
        <x:v>https://kozhaclinic.ru/</x:v>
      </x:c>
      <x:c r="C562" s="31" t="n">
        <x:v>0</x:v>
      </x:c>
      <x:c r="D562" s="31" t="n">
        <x:v>0</x:v>
      </x:c>
      <x:c r="E562" s="33" t="str">
        <x:f>IF(AND(ISNUMBER(C562),ISNUMBER(D562),D562&gt;0),C562/D562,"")</x:f>
      </x:c>
      <x:c r="F562" s="35"/>
      <x:c r="G562" s="31" t="n">
        <x:v>0</x:v>
      </x:c>
    </x:row>
    <x:row r="563" ht="42" customHeight="1">
      <x:c r="A563" s="12" t="str">
        <x:v>лазерная косметология сургут</x:v>
      </x:c>
      <x:c r="B563" s="12" t="str">
        <x:v>https://kozhaclinic.ru/lazernaya-kosmetologiya/</x:v>
      </x:c>
      <x:c r="C563" s="30" t="n">
        <x:v>1</x:v>
      </x:c>
      <x:c r="D563" s="30" t="n">
        <x:v>3</x:v>
      </x:c>
      <x:c r="E563" s="32" t="n">
        <x:f>IF(AND(ISNUMBER(C563),ISNUMBER(D563),D563&gt;0),C563/D563,"")</x:f>
        <x:v>0.3333333333333333</x:v>
      </x:c>
      <x:c r="F563" s="34" t="n">
        <x:v>7</x:v>
      </x:c>
      <x:c r="G563" s="30" t="n">
        <x:v>2</x:v>
      </x:c>
    </x:row>
    <x:row r="564" ht="42" customHeight="1">
      <x:c r="A564" s="14" t="str">
        <x:v>лазерная эпиляция для мужчин сургут</x:v>
      </x:c>
      <x:c r="B564" s="14" t="str">
        <x:v>https://kozhaclinic.ru/lazernaya-kosmetologiya/lazernaya-epilyaciya/dlya-muzhchin/</x:v>
      </x:c>
      <x:c r="C564" s="31" t="n">
        <x:v>0</x:v>
      </x:c>
      <x:c r="D564" s="31" t="n">
        <x:v>3</x:v>
      </x:c>
      <x:c r="E564" s="33" t="n">
        <x:f>IF(AND(ISNUMBER(C564),ISNUMBER(D564),D564&gt;0),C564/D564,"")</x:f>
        <x:v>0</x:v>
      </x:c>
      <x:c r="F564" s="35" t="n">
        <x:v>4.6</x:v>
      </x:c>
      <x:c r="G564" s="31" t="n">
        <x:v>3</x:v>
      </x:c>
    </x:row>
    <x:row r="565" ht="42" customHeight="1">
      <x:c r="A565" s="12" t="str">
        <x:v>лечение купероза сургут</x:v>
      </x:c>
      <x:c r="B565" s="12" t="str">
        <x:v>https://kozhaclinic.ru/apparatnaya-kosmetologiya/ustranenie-sosudistykh-zvyezdochek-kuperoz/</x:v>
      </x:c>
      <x:c r="C565" s="30" t="n">
        <x:v>0</x:v>
      </x:c>
      <x:c r="D565" s="30" t="n">
        <x:v>0</x:v>
      </x:c>
      <x:c r="E565" s="32" t="str">
        <x:f>IF(AND(ISNUMBER(C565),ISNUMBER(D565),D565&gt;0),C565/D565,"")</x:f>
      </x:c>
      <x:c r="F565" s="34"/>
      <x:c r="G565" s="30" t="n">
        <x:v>0</x:v>
      </x:c>
    </x:row>
    <x:row r="566" ht="42" customHeight="1">
      <x:c r="A566" s="14" t="str">
        <x:v>медидерма пилинг джесснера</x:v>
      </x:c>
      <x:c r="B566" s="14" t="str">
        <x:v>https://kozhaclinic.ru/uhodovye-procedury/pilingi/piling-dzhessnera-j2-mediderma/</x:v>
      </x:c>
      <x:c r="C566" s="31" t="n">
        <x:v>0</x:v>
      </x:c>
      <x:c r="D566" s="31" t="n">
        <x:v>0</x:v>
      </x:c>
      <x:c r="E566" s="33" t="str">
        <x:f>IF(AND(ISNUMBER(C566),ISNUMBER(D566),D566&gt;0),C566/D566,"")</x:f>
      </x:c>
      <x:c r="F566" s="35"/>
      <x:c r="G566" s="31" t="n">
        <x:v>1</x:v>
      </x:c>
    </x:row>
    <x:row r="567" ht="42" customHeight="1">
      <x:c r="A567" s="12" t="str">
        <x:v>миграция геля в губах в слизистую как выглядит</x:v>
      </x:c>
      <x:c r="B567" s="12" t="str">
        <x:v>https://kozhaclinic.ru/migratsiya-gelya-iz-gub/</x:v>
      </x:c>
      <x:c r="C567" s="30" t="n">
        <x:v>0</x:v>
      </x:c>
      <x:c r="D567" s="30" t="n">
        <x:v>7</x:v>
      </x:c>
      <x:c r="E567" s="32" t="n">
        <x:f>IF(AND(ISNUMBER(C567),ISNUMBER(D567),D567&gt;0),C567/D567,"")</x:f>
        <x:v>0</x:v>
      </x:c>
      <x:c r="F567" s="34" t="n">
        <x:v>7.2</x:v>
      </x:c>
      <x:c r="G567" s="30" t="n">
        <x:v>7</x:v>
      </x:c>
    </x:row>
    <x:row r="568" ht="42" customHeight="1">
      <x:c r="A568" s="14" t="str">
        <x:v>может ли филлер мигрировать из губ</x:v>
      </x:c>
      <x:c r="B568" s="14" t="str">
        <x:v>https://kozhaclinic.ru/migratsiya-gelya-iz-gub/</x:v>
      </x:c>
      <x:c r="C568" s="31" t="n">
        <x:v>0</x:v>
      </x:c>
      <x:c r="D568" s="31" t="n">
        <x:v>5</x:v>
      </x:c>
      <x:c r="E568" s="33" t="n">
        <x:f>IF(AND(ISNUMBER(C568),ISNUMBER(D568),D568&gt;0),C568/D568,"")</x:f>
        <x:v>0</x:v>
      </x:c>
      <x:c r="F568" s="35" t="n">
        <x:v>5.6</x:v>
      </x:c>
      <x:c r="G568" s="31" t="n">
        <x:v>5</x:v>
      </x:c>
    </x:row>
    <x:row r="569" ht="42" customHeight="1">
      <x:c r="A569" s="12" t="str">
        <x:v>морфеус 8 сургут</x:v>
      </x:c>
      <x:c r="B569" s="12" t="str">
        <x:v>https://kozhaclinic.ru/apparatnaya-kosmetologiya/igolchatyy-rf-lifting-na-morpheus-8/</x:v>
      </x:c>
      <x:c r="C569" s="30" t="n">
        <x:v>2</x:v>
      </x:c>
      <x:c r="D569" s="30" t="n">
        <x:v>8</x:v>
      </x:c>
      <x:c r="E569" s="32" t="n">
        <x:f>IF(AND(ISNUMBER(C569),ISNUMBER(D569),D569&gt;0),C569/D569,"")</x:f>
        <x:v>0.25</x:v>
      </x:c>
      <x:c r="F569" s="34" t="n">
        <x:v>1.7</x:v>
      </x:c>
      <x:c r="G569" s="30" t="n">
        <x:v>8</x:v>
      </x:c>
    </x:row>
    <x:row r="570" ht="42" customHeight="1">
      <x:c r="A570" s="14" t="str">
        <x:v>подтяжка лица в сургуте</x:v>
      </x:c>
      <x:c r="B570" s="14" t="str">
        <x:v>https://kozhaclinic.ru/podtyazhka-kozhi-litsa/</x:v>
      </x:c>
      <x:c r="C570" s="31" t="n">
        <x:v>0</x:v>
      </x:c>
      <x:c r="D570" s="31" t="n">
        <x:v>2</x:v>
      </x:c>
      <x:c r="E570" s="33" t="n">
        <x:f>IF(AND(ISNUMBER(C570),ISNUMBER(D570),D570&gt;0),C570/D570,"")</x:f>
        <x:v>0</x:v>
      </x:c>
      <x:c r="F570" s="35" t="n">
        <x:v>7</x:v>
      </x:c>
      <x:c r="G570" s="31" t="n">
        <x:v>2</x:v>
      </x:c>
    </x:row>
    <x:row r="571" ht="42" customHeight="1">
      <x:c r="A571" s="12" t="str">
        <x:v>радиес сургут</x:v>
      </x:c>
      <x:c r="B571" s="12" t="str">
        <x:v>https://kozhaclinic.ru/inekcionnaya-kosmetologiya/omolozhenie-i-pitanie-kozhi/protsedura-fillerom-radiesse-radiess/</x:v>
      </x:c>
      <x:c r="C571" s="30" t="n">
        <x:v>0</x:v>
      </x:c>
      <x:c r="D571" s="30" t="n">
        <x:v>0</x:v>
      </x:c>
      <x:c r="E571" s="32" t="str">
        <x:f>IF(AND(ISNUMBER(C571),ISNUMBER(D571),D571&gt;0),C571/D571,"")</x:f>
      </x:c>
      <x:c r="F571" s="34"/>
      <x:c r="G571" s="30" t="n">
        <x:v>0</x:v>
      </x:c>
    </x:row>
    <x:row r="572" ht="42" customHeight="1">
      <x:c r="A572" s="14" t="str">
        <x:v>сертификат на массаж сургут</x:v>
      </x:c>
      <x:c r="B572" s="14" t="str">
        <x:v>https://kozhaclinic.ru/podarochnye-sertifikaty/</x:v>
      </x:c>
      <x:c r="C572" s="31" t="n">
        <x:v>0</x:v>
      </x:c>
      <x:c r="D572" s="31" t="n">
        <x:v>3</x:v>
      </x:c>
      <x:c r="E572" s="33" t="n">
        <x:f>IF(AND(ISNUMBER(C572),ISNUMBER(D572),D572&gt;0),C572/D572,"")</x:f>
        <x:v>0</x:v>
      </x:c>
      <x:c r="F572" s="35" t="n">
        <x:v>10.6</x:v>
      </x:c>
      <x:c r="G572" s="31" t="n">
        <x:v>11</x:v>
      </x:c>
    </x:row>
    <x:row r="573" ht="42" customHeight="1">
      <x:c r="A573" s="12" t="str">
        <x:v>сколько стоит увеличение губ в сургуте</x:v>
      </x:c>
      <x:c r="B573" s="12" t="str">
        <x:v>https://kozhaclinic.ru/inekcionnaya-kosmetologiya/konturnaya-plastika/uvelichenie-gub/</x:v>
      </x:c>
      <x:c r="C573" s="30" t="n">
        <x:v>0</x:v>
      </x:c>
      <x:c r="D573" s="30" t="n">
        <x:v>3</x:v>
      </x:c>
      <x:c r="E573" s="32" t="n">
        <x:f>IF(AND(ISNUMBER(C573),ISNUMBER(D573),D573&gt;0),C573/D573,"")</x:f>
        <x:v>0</x:v>
      </x:c>
      <x:c r="F573" s="34" t="n">
        <x:v>11.6</x:v>
      </x:c>
      <x:c r="G573" s="30" t="n">
        <x:v>3</x:v>
      </x:c>
    </x:row>
    <x:row r="574" ht="42" customHeight="1">
      <x:c r="A574" s="14" t="str">
        <x:v>сургут трихолог</x:v>
      </x:c>
      <x:c r="B574" s="14" t="str">
        <x:v>https://kozhaclinic.ru/osmotry-i-konsultatsii/konsultatsiya-vracha-trikhologa-s-naznacheniem-plana-protsedur/</x:v>
      </x:c>
      <x:c r="C574" s="31" t="n">
        <x:v>0</x:v>
      </x:c>
      <x:c r="D574" s="31" t="n">
        <x:v>3</x:v>
      </x:c>
      <x:c r="E574" s="33" t="n">
        <x:f>IF(AND(ISNUMBER(C574),ISNUMBER(D574),D574&gt;0),C574/D574,"")</x:f>
        <x:v>0</x:v>
      </x:c>
      <x:c r="F574" s="35" t="n">
        <x:v>10</x:v>
      </x:c>
      <x:c r="G574" s="31" t="n">
        <x:v>7</x:v>
      </x:c>
    </x:row>
    <x:row r="575" ht="42" customHeight="1">
      <x:c r="A575" s="12" t="str">
        <x:v>увлажнение губ в косметологии что такое</x:v>
      </x:c>
      <x:c r="B575" s="12" t="str">
        <x:v>https://kozhaclinic.ru/inekcionnaya-kosmetologiya/konturnaya-plastika/uvlazhnenie-gub/</x:v>
      </x:c>
      <x:c r="C575" s="30" t="n">
        <x:v>0</x:v>
      </x:c>
      <x:c r="D575" s="30" t="n">
        <x:v>0</x:v>
      </x:c>
      <x:c r="E575" s="32" t="str">
        <x:f>IF(AND(ISNUMBER(C575),ISNUMBER(D575),D575&gt;0),C575/D575,"")</x:f>
      </x:c>
      <x:c r="F575" s="34"/>
      <x:c r="G575" s="30" t="n">
        <x:v>8</x:v>
      </x:c>
    </x:row>
    <x:row r="576" ht="42" customHeight="1">
      <x:c r="A576" s="14" t="str">
        <x:v>удаление бородавки лазером сургут</x:v>
      </x:c>
      <x:c r="B576" s="14" t="str">
        <x:v>https://kozhaclinic.ru/udalenie-novoobrazovanij/udalenie-borodavok/</x:v>
      </x:c>
      <x:c r="C576" s="31" t="n">
        <x:v>0</x:v>
      </x:c>
      <x:c r="D576" s="31" t="n">
        <x:v>6</x:v>
      </x:c>
      <x:c r="E576" s="33" t="n">
        <x:f>IF(AND(ISNUMBER(C576),ISNUMBER(D576),D576&gt;0),C576/D576,"")</x:f>
        <x:v>0</x:v>
      </x:c>
      <x:c r="F576" s="35" t="n">
        <x:v>3.6</x:v>
      </x:c>
      <x:c r="G576" s="31" t="n">
        <x:v>6</x:v>
      </x:c>
    </x:row>
    <x:row r="577" ht="42" customHeight="1">
      <x:c r="A577" s="12" t="str">
        <x:v>удаление папиллом на веке альфа</x:v>
      </x:c>
      <x:c r="B577" s="12" t="str">
        <x:v>https://kozhaclinic.ru/udalenie-novoobrazovanij/udalenie-papilom/</x:v>
      </x:c>
      <x:c r="C577" s="30" t="n">
        <x:v>0</x:v>
      </x:c>
      <x:c r="D577" s="30" t="n">
        <x:v>1</x:v>
      </x:c>
      <x:c r="E577" s="32" t="n">
        <x:f>IF(AND(ISNUMBER(C577),ISNUMBER(D577),D577&gt;0),C577/D577,"")</x:f>
        <x:v>0</x:v>
      </x:c>
      <x:c r="F577" s="34" t="n">
        <x:v>11</x:v>
      </x:c>
      <x:c r="G577" s="30" t="n">
        <x:v>1</x:v>
      </x:c>
    </x:row>
    <x:row r="578" ht="42" customHeight="1">
      <x:c r="A578" s="14" t="str">
        <x:v>удаление родинок alfa</x:v>
      </x:c>
      <x:c r="B578" s="14" t="str">
        <x:v>https://kozhaclinic.ru/udalenie-novoobrazovanij/</x:v>
      </x:c>
      <x:c r="C578" s="31" t="n">
        <x:v>0</x:v>
      </x:c>
      <x:c r="D578" s="31" t="n">
        <x:v>1</x:v>
      </x:c>
      <x:c r="E578" s="33" t="n">
        <x:f>IF(AND(ISNUMBER(C578),ISNUMBER(D578),D578&gt;0),C578/D578,"")</x:f>
        <x:v>0</x:v>
      </x:c>
      <x:c r="F578" s="35" t="n">
        <x:v>11</x:v>
      </x:c>
      <x:c r="G578" s="31" t="n">
        <x:v>1</x:v>
      </x:c>
    </x:row>
    <x:row r="579" ht="42" customHeight="1">
      <x:c r="A579" s="12" t="str">
        <x:v>удалить бородавку в сургуте</x:v>
      </x:c>
      <x:c r="B579" s="12" t="str">
        <x:v>https://kozhaclinic.ru/udalenie-novoobrazovanij/udalenie-borodavok/</x:v>
      </x:c>
      <x:c r="C579" s="30" t="n">
        <x:v>0</x:v>
      </x:c>
      <x:c r="D579" s="30" t="n">
        <x:v>3</x:v>
      </x:c>
      <x:c r="E579" s="32" t="n">
        <x:f>IF(AND(ISNUMBER(C579),ISNUMBER(D579),D579&gt;0),C579/D579,"")</x:f>
        <x:v>0</x:v>
      </x:c>
      <x:c r="F579" s="34" t="n">
        <x:v>3.6</x:v>
      </x:c>
      <x:c r="G579" s="30" t="n">
        <x:v>3</x:v>
      </x:c>
    </x:row>
    <x:row r="580" ht="42" customHeight="1">
      <x:c r="A580" s="14" t="str">
        <x:v>ультразвуковая чистка лица сургут</x:v>
      </x:c>
      <x:c r="B580" s="14" t="str">
        <x:v>https://kozhaclinic.ru/uhodovye-procedury/chistki-litsa-i-spiny/ultrazvukovaya-chistka-litsa/</x:v>
      </x:c>
      <x:c r="C580" s="31" t="n">
        <x:v>0</x:v>
      </x:c>
      <x:c r="D580" s="31" t="n">
        <x:v>0</x:v>
      </x:c>
      <x:c r="E580" s="33" t="str">
        <x:f>IF(AND(ISNUMBER(C580),ISNUMBER(D580),D580&gt;0),C580/D580,"")</x:f>
      </x:c>
      <x:c r="F580" s="35"/>
      <x:c r="G580" s="31" t="n">
        <x:v>0</x:v>
      </x:c>
    </x:row>
    <x:row r="581" ht="42" customHeight="1">
      <x:c r="A581" s="12" t="str">
        <x:v>филлер ушел в слизистую губ</x:v>
      </x:c>
      <x:c r="B581" s="12" t="str">
        <x:v>https://kozhaclinic.ru/migratsiya-gelya-iz-gub/</x:v>
      </x:c>
      <x:c r="C581" s="30" t="n">
        <x:v>0</x:v>
      </x:c>
      <x:c r="D581" s="30" t="n">
        <x:v>6</x:v>
      </x:c>
      <x:c r="E581" s="32" t="n">
        <x:f>IF(AND(ISNUMBER(C581),ISNUMBER(D581),D581&gt;0),C581/D581,"")</x:f>
        <x:v>0</x:v>
      </x:c>
      <x:c r="F581" s="34" t="n">
        <x:v>8.8</x:v>
      </x:c>
      <x:c r="G581" s="30" t="n">
        <x:v>7</x:v>
      </x:c>
    </x:row>
    <x:row r="582" ht="42" customHeight="1">
      <x:c r="A582" s="14" t="str">
        <x:v>фотоомоложение люмекка как часто можно делать</x:v>
      </x:c>
      <x:c r="B582" s="14" t="str">
        <x:v>https://kozhaclinic.ru/apparatnaya-kosmetologiya/fotoomolozhenie-inmode/</x:v>
      </x:c>
      <x:c r="C582" s="31" t="n">
        <x:v>0</x:v>
      </x:c>
      <x:c r="D582" s="31" t="n">
        <x:v>4</x:v>
      </x:c>
      <x:c r="E582" s="33" t="n">
        <x:f>IF(AND(ISNUMBER(C582),ISNUMBER(D582),D582&gt;0),C582/D582,"")</x:f>
        <x:v>0</x:v>
      </x:c>
      <x:c r="F582" s="35" t="n">
        <x:v>6</x:v>
      </x:c>
      <x:c r="G582" s="31" t="n">
        <x:v>4</x:v>
      </x:c>
    </x:row>
    <x:row r="583" ht="42" customHeight="1">
      <x:c r="A583" s="12" t="str">
        <x:v>что делать если филлер мигрировал в губах после увеличения</x:v>
      </x:c>
      <x:c r="B583" s="12" t="str">
        <x:v>https://kozhaclinic.ru/migratsiya-gelya-iz-gub/</x:v>
      </x:c>
      <x:c r="C583" s="30" t="n">
        <x:v>0</x:v>
      </x:c>
      <x:c r="D583" s="30" t="n">
        <x:v>5</x:v>
      </x:c>
      <x:c r="E583" s="32" t="n">
        <x:f>IF(AND(ISNUMBER(C583),ISNUMBER(D583),D583&gt;0),C583/D583,"")</x:f>
        <x:v>0</x:v>
      </x:c>
      <x:c r="F583" s="34" t="n">
        <x:v>8.8</x:v>
      </x:c>
      <x:c r="G583" s="30" t="n">
        <x:v>6</x:v>
      </x:c>
    </x:row>
    <x:row r="584" ht="42" customHeight="1">
      <x:c r="A584" s="14" t="str">
        <x:v>lumecca сургут</x:v>
      </x:c>
      <x:c r="B584" s="14" t="str">
        <x:v>https://kozhaclinic.ru/apparatnaya-kosmetologiya/fotoomolozhenie-inmode/</x:v>
      </x:c>
      <x:c r="C584" s="31" t="n">
        <x:v>2</x:v>
      </x:c>
      <x:c r="D584" s="31" t="n">
        <x:v>3</x:v>
      </x:c>
      <x:c r="E584" s="33" t="n">
        <x:f>IF(AND(ISNUMBER(C584),ISNUMBER(D584),D584&gt;0),C584/D584,"")</x:f>
        <x:v>0.6666666666666666</x:v>
      </x:c>
      <x:c r="F584" s="35" t="n">
        <x:v>1.6</x:v>
      </x:c>
      <x:c r="G584" s="31" t="n">
        <x:v>3</x:v>
      </x:c>
    </x:row>
    <x:row r="585" ht="42" customHeight="1">
      <x:c r="A585" s="12" t="str">
        <x:v>губы с миграцией</x:v>
      </x:c>
      <x:c r="B585" s="12" t="str">
        <x:v>https://kozhaclinic.ru/migratsiya-gelya-iz-gub/</x:v>
      </x:c>
      <x:c r="C585" s="30" t="n">
        <x:v>0</x:v>
      </x:c>
      <x:c r="D585" s="30" t="n">
        <x:v>9</x:v>
      </x:c>
      <x:c r="E585" s="32" t="n">
        <x:f>IF(AND(ISNUMBER(C585),ISNUMBER(D585),D585&gt;0),C585/D585,"")</x:f>
        <x:v>0</x:v>
      </x:c>
      <x:c r="F585" s="34" t="n">
        <x:v>9.5</x:v>
      </x:c>
      <x:c r="G585" s="30" t="n">
        <x:v>10</x:v>
      </x:c>
    </x:row>
    <x:row r="586" ht="42" customHeight="1">
      <x:c r="A586" s="14" t="str">
        <x:v>иммиграция геля</x:v>
      </x:c>
      <x:c r="B586" s="14" t="str">
        <x:v>https://kozhaclinic.ru/migratsiya-gelya-iz-gub/</x:v>
      </x:c>
      <x:c r="C586" s="31" t="n">
        <x:v>0</x:v>
      </x:c>
      <x:c r="D586" s="31" t="n">
        <x:v>1</x:v>
      </x:c>
      <x:c r="E586" s="33" t="n">
        <x:f>IF(AND(ISNUMBER(C586),ISNUMBER(D586),D586&gt;0),C586/D586,"")</x:f>
        <x:v>0</x:v>
      </x:c>
      <x:c r="F586" s="35" t="n">
        <x:v>11</x:v>
      </x:c>
      <x:c r="G586" s="31" t="n">
        <x:v>6</x:v>
      </x:c>
    </x:row>
    <x:row r="587" ht="42" customHeight="1">
      <x:c r="A587" s="12" t="str">
        <x:v>косметологии в сургуте</x:v>
      </x:c>
      <x:c r="B587" s="12" t="str">
        <x:v>https://kozhaclinic.ru/</x:v>
      </x:c>
      <x:c r="C587" s="30" t="n">
        <x:v>0</x:v>
      </x:c>
      <x:c r="D587" s="30" t="n">
        <x:v>3</x:v>
      </x:c>
      <x:c r="E587" s="32" t="n">
        <x:f>IF(AND(ISNUMBER(C587),ISNUMBER(D587),D587&gt;0),C587/D587,"")</x:f>
        <x:v>0</x:v>
      </x:c>
      <x:c r="F587" s="34" t="n">
        <x:v>8.6</x:v>
      </x:c>
      <x:c r="G587" s="30" t="n">
        <x:v>3</x:v>
      </x:c>
    </x:row>
    <x:row r="588" ht="42" customHeight="1">
      <x:c r="A588" s="14" t="str">
        <x:v>косметологические услуги</x:v>
      </x:c>
      <x:c r="B588" s="14" t="str">
        <x:v>https://kozhaclinic.ru/</x:v>
      </x:c>
      <x:c r="C588" s="31" t="n">
        <x:v>0</x:v>
      </x:c>
      <x:c r="D588" s="31" t="n">
        <x:v>9</x:v>
      </x:c>
      <x:c r="E588" s="33" t="n">
        <x:f>IF(AND(ISNUMBER(C588),ISNUMBER(D588),D588&gt;0),C588/D588,"")</x:f>
        <x:v>0</x:v>
      </x:c>
      <x:c r="F588" s="35" t="n">
        <x:v>7.3</x:v>
      </x:c>
      <x:c r="G588" s="31" t="n">
        <x:v>2395</x:v>
      </x:c>
    </x:row>
    <x:row r="589" ht="42" customHeight="1">
      <x:c r="A589" s="12" t="str">
        <x:v>лазерное удаление бородавок alfa</x:v>
      </x:c>
      <x:c r="B589" s="12" t="str">
        <x:v>https://kozhaclinic.ru/udalenie-novoobrazovanij/</x:v>
      </x:c>
      <x:c r="C589" s="30" t="n">
        <x:v>0</x:v>
      </x:c>
      <x:c r="D589" s="30" t="n">
        <x:v>1</x:v>
      </x:c>
      <x:c r="E589" s="32" t="n">
        <x:f>IF(AND(ISNUMBER(C589),ISNUMBER(D589),D589&gt;0),C589/D589,"")</x:f>
        <x:v>0</x:v>
      </x:c>
      <x:c r="F589" s="34" t="n">
        <x:v>10</x:v>
      </x:c>
      <x:c r="G589" s="30" t="n">
        <x:v>2</x:v>
      </x:c>
    </x:row>
    <x:row r="590" ht="42" customHeight="1">
      <x:c r="A590" s="14" t="str">
        <x:v>лазерное удаление родинок alfa</x:v>
      </x:c>
      <x:c r="B590" s="14" t="str">
        <x:v>https://kozhaclinic.ru/udalenie-novoobrazovanij/</x:v>
      </x:c>
      <x:c r="C590" s="31" t="n">
        <x:v>0</x:v>
      </x:c>
      <x:c r="D590" s="31" t="n">
        <x:v>0</x:v>
      </x:c>
      <x:c r="E590" s="33" t="str">
        <x:f>IF(AND(ISNUMBER(C590),ISNUMBER(D590),D590&gt;0),C590/D590,"")</x:f>
      </x:c>
      <x:c r="F590" s="35"/>
      <x:c r="G590" s="31" t="n">
        <x:v>2</x:v>
      </x:c>
    </x:row>
    <x:row r="591" ht="42" customHeight="1">
      <x:c r="A591" s="12" t="str">
        <x:v>лечебная чистка лица</x:v>
      </x:c>
      <x:c r="B591" s="12" t="str">
        <x:v>https://kozhaclinic.ru/uhodovye-procedury/chistki-litsa-i-spiny/lechebnaya-chistka-litsa/</x:v>
      </x:c>
      <x:c r="C591" s="30" t="n">
        <x:v>0</x:v>
      </x:c>
      <x:c r="D591" s="30" t="n">
        <x:v>5</x:v>
      </x:c>
      <x:c r="E591" s="32" t="n">
        <x:f>IF(AND(ISNUMBER(C591),ISNUMBER(D591),D591&gt;0),C591/D591,"")</x:f>
        <x:v>0</x:v>
      </x:c>
      <x:c r="F591" s="34" t="n">
        <x:v>6.8</x:v>
      </x:c>
      <x:c r="G591" s="30" t="n">
        <x:v>13</x:v>
      </x:c>
    </x:row>
    <x:row r="592" ht="42" customHeight="1">
      <x:c r="A592" s="14" t="str">
        <x:v>люмека как часто можно делать</x:v>
      </x:c>
      <x:c r="B592" s="14" t="str">
        <x:v>https://kozhaclinic.ru/apparatnaya-kosmetologiya/fotoomolozhenie-inmode/</x:v>
      </x:c>
      <x:c r="C592" s="31" t="n">
        <x:v>0</x:v>
      </x:c>
      <x:c r="D592" s="31" t="n">
        <x:v>0</x:v>
      </x:c>
      <x:c r="E592" s="33" t="str">
        <x:f>IF(AND(ISNUMBER(C592),ISNUMBER(D592),D592&gt;0),C592/D592,"")</x:f>
      </x:c>
      <x:c r="F592" s="35"/>
      <x:c r="G592" s="31" t="n">
        <x:v>1</x:v>
      </x:c>
    </x:row>
    <x:row r="593" ht="42" customHeight="1">
      <x:c r="A593" s="12" t="str">
        <x:v>массаж лица пластифицирующий что это</x:v>
      </x:c>
      <x:c r="B593" s="12" t="str">
        <x:v>https://kozhaclinic.ru/uhodovye-procedury/massazhi/plastifitsiruyushchiy/</x:v>
      </x:c>
      <x:c r="C593" s="30" t="n">
        <x:v>0</x:v>
      </x:c>
      <x:c r="D593" s="30" t="n">
        <x:v>0</x:v>
      </x:c>
      <x:c r="E593" s="32" t="str">
        <x:f>IF(AND(ISNUMBER(C593),ISNUMBER(D593),D593&gt;0),C593/D593,"")</x:f>
      </x:c>
      <x:c r="F593" s="34"/>
      <x:c r="G593" s="30" t="n">
        <x:v>0</x:v>
      </x:c>
    </x:row>
    <x:row r="594" ht="42" customHeight="1">
      <x:c r="A594" s="14" t="str">
        <x:v>миграция геля в губах в слизистую как</x:v>
      </x:c>
      <x:c r="B594" s="14" t="str">
        <x:v>https://kozhaclinic.ru/migratsiya-gelya-iz-gub/</x:v>
      </x:c>
      <x:c r="C594" s="31" t="n">
        <x:v>0</x:v>
      </x:c>
      <x:c r="D594" s="31" t="n">
        <x:v>5</x:v>
      </x:c>
      <x:c r="E594" s="33" t="n">
        <x:f>IF(AND(ISNUMBER(C594),ISNUMBER(D594),D594&gt;0),C594/D594,"")</x:f>
        <x:v>0</x:v>
      </x:c>
      <x:c r="F594" s="35" t="n">
        <x:v>4.8</x:v>
      </x:c>
      <x:c r="G594" s="31" t="n">
        <x:v>5</x:v>
      </x:c>
    </x:row>
    <x:row r="595" ht="42" customHeight="1">
      <x:c r="A595" s="12" t="str">
        <x:v>миграция филлера на слизистую</x:v>
      </x:c>
      <x:c r="B595" s="12" t="str">
        <x:v>https://kozhaclinic.ru/migratsiya-gelya-iz-gub/</x:v>
      </x:c>
      <x:c r="C595" s="30" t="n">
        <x:v>0</x:v>
      </x:c>
      <x:c r="D595" s="30" t="n">
        <x:v>9</x:v>
      </x:c>
      <x:c r="E595" s="32" t="n">
        <x:f>IF(AND(ISNUMBER(C595),ISNUMBER(D595),D595&gt;0),C595/D595,"")</x:f>
        <x:v>0</x:v>
      </x:c>
      <x:c r="F595" s="34" t="n">
        <x:v>10</x:v>
      </x:c>
      <x:c r="G595" s="30" t="n">
        <x:v>11</x:v>
      </x:c>
    </x:row>
    <x:row r="596" ht="42" customHeight="1">
      <x:c r="A596" s="14" t="str">
        <x:v>нитевой лифтинг сургут</x:v>
      </x:c>
      <x:c r="B596" s="14" t="str">
        <x:v>https://kozhaclinic.ru/podtyazhka-kozhi-litsa/</x:v>
      </x:c>
      <x:c r="C596" s="31" t="n">
        <x:v>0</x:v>
      </x:c>
      <x:c r="D596" s="31" t="n">
        <x:v>6</x:v>
      </x:c>
      <x:c r="E596" s="33" t="n">
        <x:f>IF(AND(ISNUMBER(C596),ISNUMBER(D596),D596&gt;0),C596/D596,"")</x:f>
        <x:v>0</x:v>
      </x:c>
      <x:c r="F596" s="35" t="n">
        <x:v>5.8</x:v>
      </x:c>
      <x:c r="G596" s="31" t="n">
        <x:v>6</x:v>
      </x:c>
    </x:row>
    <x:row r="597" ht="42" customHeight="1">
      <x:c r="A597" s="12" t="str">
        <x:v>отбеливание подмышек сургут</x:v>
      </x:c>
      <x:c r="B597" s="12" t="str">
        <x:v>https://kozhaclinic.ru/izbavlenie-ot-pigmentatsii/</x:v>
      </x:c>
      <x:c r="C597" s="30" t="n">
        <x:v>0</x:v>
      </x:c>
      <x:c r="D597" s="30" t="n">
        <x:v>2</x:v>
      </x:c>
      <x:c r="E597" s="32" t="n">
        <x:f>IF(AND(ISNUMBER(C597),ISNUMBER(D597),D597&gt;0),C597/D597,"")</x:f>
        <x:v>0</x:v>
      </x:c>
      <x:c r="F597" s="34" t="n">
        <x:v>6.5</x:v>
      </x:c>
      <x:c r="G597" s="30" t="n">
        <x:v>2</x:v>
      </x:c>
    </x:row>
    <x:row r="598" ht="42" customHeight="1">
      <x:c r="A598" s="14" t="str">
        <x:v>студия косметологии кожа</x:v>
      </x:c>
      <x:c r="B598" s="14" t="str">
        <x:v>https://kozhaclinic.ru/akcii/</x:v>
      </x:c>
      <x:c r="C598" s="31" t="n">
        <x:v>0</x:v>
      </x:c>
      <x:c r="D598" s="31" t="n">
        <x:v>5</x:v>
      </x:c>
      <x:c r="E598" s="33" t="n">
        <x:f>IF(AND(ISNUMBER(C598),ISNUMBER(D598),D598&gt;0),C598/D598,"")</x:f>
        <x:v>0</x:v>
      </x:c>
      <x:c r="F598" s="35" t="n">
        <x:v>7</x:v>
      </x:c>
      <x:c r="G598" s="31" t="n">
        <x:v>6</x:v>
      </x:c>
    </x:row>
    <x:row r="599" ht="42" customHeight="1">
      <x:c r="A599" s="12" t="str">
        <x:v>таскаева дарья геннадьевна сургут дерматолог</x:v>
      </x:c>
      <x:c r="B599" s="12" t="str">
        <x:v>https://kozhaclinic.ru/o-nas/specialisty/taskaeva-darya-gennadevna/</x:v>
      </x:c>
      <x:c r="C599" s="30" t="n">
        <x:v>0</x:v>
      </x:c>
      <x:c r="D599" s="30" t="n">
        <x:v>0</x:v>
      </x:c>
      <x:c r="E599" s="32" t="str">
        <x:f>IF(AND(ISNUMBER(C599),ISNUMBER(D599),D599&gt;0),C599/D599,"")</x:f>
      </x:c>
      <x:c r="F599" s="34"/>
      <x:c r="G599" s="30" t="n">
        <x:v>0</x:v>
      </x:c>
    </x:row>
    <x:row r="600" ht="42" customHeight="1">
      <x:c r="A600" s="14" t="str">
        <x:v>удалить папилломы сургут</x:v>
      </x:c>
      <x:c r="B600" s="14" t="str">
        <x:v>https://kozhaclinic.ru/udalenie-novoobrazovanij/udalenie-papilom/</x:v>
      </x:c>
      <x:c r="C600" s="31" t="n">
        <x:v>0</x:v>
      </x:c>
      <x:c r="D600" s="31" t="n">
        <x:v>0</x:v>
      </x:c>
      <x:c r="E600" s="33" t="str">
        <x:f>IF(AND(ISNUMBER(C600),ISNUMBER(D600),D600&gt;0),C600/D600,"")</x:f>
      </x:c>
      <x:c r="F600" s="35"/>
      <x:c r="G600" s="31" t="n">
        <x:v>0</x:v>
      </x:c>
    </x:row>
    <x:row r="601" ht="42" customHeight="1">
      <x:c r="A601" s="12" t="str">
        <x:v>чистка спины сургут</x:v>
      </x:c>
      <x:c r="B601" s="12" t="str">
        <x:v>https://kozhaclinic.ru/uhodovye-procedury/chistki-litsa-i-spiny/chistka-spiny/</x:v>
      </x:c>
      <x:c r="C601" s="30" t="n">
        <x:v>0</x:v>
      </x:c>
      <x:c r="D601" s="30" t="n">
        <x:v>0</x:v>
      </x:c>
      <x:c r="E601" s="32" t="str">
        <x:f>IF(AND(ISNUMBER(C601),ISNUMBER(D601),D601&gt;0),C601/D601,"")</x:f>
      </x:c>
      <x:c r="F601" s="34"/>
      <x:c r="G601" s="30" t="n">
        <x:v>0</x:v>
      </x:c>
    </x:row>
    <x:row r="602" ht="42" customHeight="1">
      <x:c r="A602" s="14" t="str">
        <x:v>morpheus 8 цена</x:v>
      </x:c>
      <x:c r="B602" s="14" t="str">
        <x:v>https://kozhaclinic.ru/apparatnaya-kosmetologiya/igolchatyy-rf-lifting-na-morpheus-8/</x:v>
      </x:c>
      <x:c r="C602" s="31" t="n">
        <x:v>0</x:v>
      </x:c>
      <x:c r="D602" s="31" t="n">
        <x:v>0</x:v>
      </x:c>
      <x:c r="E602" s="33" t="str">
        <x:f>IF(AND(ISNUMBER(C602),ISNUMBER(D602),D602&gt;0),C602/D602,"")</x:f>
      </x:c>
      <x:c r="F602" s="35"/>
      <x:c r="G602" s="31" t="n">
        <x:v>611</x:v>
      </x:c>
    </x:row>
    <x:row r="603" ht="42" customHeight="1">
      <x:c r="A603" s="12" t="str">
        <x:v>rf лифтинг в сургуте</x:v>
      </x:c>
      <x:c r="B603" s="12" t="str">
        <x:v>https://kozhaclinic.ru/apparatnaya-kosmetologiya/igolchatyy-rf-lifting-na-morpheus-8/</x:v>
      </x:c>
      <x:c r="C603" s="30" t="n">
        <x:v>0</x:v>
      </x:c>
      <x:c r="D603" s="30" t="n">
        <x:v>2</x:v>
      </x:c>
      <x:c r="E603" s="32" t="n">
        <x:f>IF(AND(ISNUMBER(C603),ISNUMBER(D603),D603&gt;0),C603/D603,"")</x:f>
        <x:v>0</x:v>
      </x:c>
      <x:c r="F603" s="34" t="n">
        <x:v>11.5</x:v>
      </x:c>
      <x:c r="G603" s="30" t="n">
        <x:v>2</x:v>
      </x:c>
    </x:row>
    <x:row r="604" ht="42" customHeight="1">
      <x:c r="A604" s="14" t="str">
        <x:v>биоревитализация вокруг глаз</x:v>
      </x:c>
      <x:c r="B604" s="14" t="str">
        <x:v>https://kozhaclinic.ru/inekcionnaya-kosmetologiya/omolozhenie-i-pitanie-kozhi/biorevitalizatsiya-zony-vokrug-glaz/</x:v>
      </x:c>
      <x:c r="C604" s="31" t="n">
        <x:v>0</x:v>
      </x:c>
      <x:c r="D604" s="31" t="n">
        <x:v>0</x:v>
      </x:c>
      <x:c r="E604" s="33" t="str">
        <x:f>IF(AND(ISNUMBER(C604),ISNUMBER(D604),D604&gt;0),C604/D604,"")</x:f>
      </x:c>
      <x:c r="F604" s="35"/>
      <x:c r="G604" s="31" t="n">
        <x:v>518</x:v>
      </x:c>
    </x:row>
    <x:row r="605" ht="42" customHeight="1">
      <x:c r="A605" s="12" t="str">
        <x:v>ботулинотерапия цена diamed86</x:v>
      </x:c>
      <x:c r="B605" s="12" t="str">
        <x:v>https://kozhaclinic.ru/inekcionnaya-kosmetologiya/botulinoterapiya/</x:v>
      </x:c>
      <x:c r="C605" s="30" t="n">
        <x:v>0</x:v>
      </x:c>
      <x:c r="D605" s="30" t="n">
        <x:v>0</x:v>
      </x:c>
      <x:c r="E605" s="32" t="str">
        <x:f>IF(AND(ISNUMBER(C605),ISNUMBER(D605),D605&gt;0),C605/D605,"")</x:f>
      </x:c>
      <x:c r="F605" s="34"/>
      <x:c r="G605" s="30" t="n">
        <x:v>0</x:v>
      </x:c>
    </x:row>
    <x:row r="606" ht="42" customHeight="1">
      <x:c r="A606" s="14" t="str">
        <x:v>гель выходит из губ</x:v>
      </x:c>
      <x:c r="B606" s="14" t="str">
        <x:v>https://kozhaclinic.ru/migratsiya-gelya-iz-gub/</x:v>
      </x:c>
      <x:c r="C606" s="31" t="n">
        <x:v>2</x:v>
      </x:c>
      <x:c r="D606" s="31" t="n">
        <x:v>8</x:v>
      </x:c>
      <x:c r="E606" s="33" t="n">
        <x:f>IF(AND(ISNUMBER(C606),ISNUMBER(D606),D606&gt;0),C606/D606,"")</x:f>
        <x:v>0.25</x:v>
      </x:c>
      <x:c r="F606" s="35" t="n">
        <x:v>5.6</x:v>
      </x:c>
      <x:c r="G606" s="31" t="n">
        <x:v>9</x:v>
      </x:c>
    </x:row>
    <x:row r="607" ht="42" customHeight="1">
      <x:c r="A607" s="12" t="str">
        <x:v>гель мигрировал</x:v>
      </x:c>
      <x:c r="B607" s="12" t="str">
        <x:v>https://kozhaclinic.ru/migratsiya-gelya-iz-gub/</x:v>
      </x:c>
      <x:c r="C607" s="30" t="n">
        <x:v>0</x:v>
      </x:c>
      <x:c r="D607" s="30" t="n">
        <x:v>1</x:v>
      </x:c>
      <x:c r="E607" s="32" t="n">
        <x:f>IF(AND(ISNUMBER(C607),ISNUMBER(D607),D607&gt;0),C607/D607,"")</x:f>
        <x:v>0</x:v>
      </x:c>
      <x:c r="F607" s="34" t="n">
        <x:v>7</x:v>
      </x:c>
      <x:c r="G607" s="30" t="n">
        <x:v>6</x:v>
      </x:c>
    </x:row>
    <x:row r="608" ht="42" customHeight="1">
      <x:c r="A608" s="14" t="str">
        <x:v>инъекционная косметология сургут</x:v>
      </x:c>
      <x:c r="B608" s="14" t="str">
        <x:v>https://kozhaclinic.ru/inekcionnaya-kosmetologiya/</x:v>
      </x:c>
      <x:c r="C608" s="31" t="n">
        <x:v>0</x:v>
      </x:c>
      <x:c r="D608" s="31" t="n">
        <x:v>1</x:v>
      </x:c>
      <x:c r="E608" s="33" t="n">
        <x:f>IF(AND(ISNUMBER(C608),ISNUMBER(D608),D608&gt;0),C608/D608,"")</x:f>
        <x:v>0</x:v>
      </x:c>
      <x:c r="F608" s="35" t="n">
        <x:v>5</x:v>
      </x:c>
      <x:c r="G608" s="31" t="n">
        <x:v>1</x:v>
      </x:c>
    </x:row>
    <x:row r="609" ht="42" customHeight="1">
      <x:c r="A609" s="12" t="str">
        <x:v>контурная пластика филлерами</x:v>
      </x:c>
      <x:c r="B609" s="12" t="str">
        <x:v>https://kozhaclinic.ru/inekcionnaya-kosmetologiya/konturnaya-plastika/</x:v>
      </x:c>
      <x:c r="C609" s="30" t="n">
        <x:v>0</x:v>
      </x:c>
      <x:c r="D609" s="30" t="n">
        <x:v>2</x:v>
      </x:c>
      <x:c r="E609" s="32" t="n">
        <x:f>IF(AND(ISNUMBER(C609),ISNUMBER(D609),D609&gt;0),C609/D609,"")</x:f>
        <x:v>0</x:v>
      </x:c>
      <x:c r="F609" s="34" t="n">
        <x:v>12</x:v>
      </x:c>
      <x:c r="G609" s="30" t="n">
        <x:v>558</x:v>
      </x:c>
    </x:row>
    <x:row r="610" ht="42" customHeight="1">
      <x:c r="A610" s="14" t="str">
        <x:v>косметологические клиники сургута</x:v>
      </x:c>
      <x:c r="B610" s="14" t="str">
        <x:v>https://kozhaclinic.ru/</x:v>
      </x:c>
      <x:c r="C610" s="31" t="n">
        <x:v>0</x:v>
      </x:c>
      <x:c r="D610" s="31" t="n">
        <x:v>1</x:v>
      </x:c>
      <x:c r="E610" s="33" t="n">
        <x:f>IF(AND(ISNUMBER(C610),ISNUMBER(D610),D610&gt;0),C610/D610,"")</x:f>
        <x:v>0</x:v>
      </x:c>
      <x:c r="F610" s="35" t="n">
        <x:v>10</x:v>
      </x:c>
      <x:c r="G610" s="31" t="n">
        <x:v>1</x:v>
      </x:c>
    </x:row>
    <x:row r="611" ht="42" customHeight="1">
      <x:c r="A611" s="12" t="str">
        <x:v>косметология кожа</x:v>
      </x:c>
      <x:c r="B611" s="12" t="str">
        <x:v>https://kozhaclinic.ru/uslugi/</x:v>
      </x:c>
      <x:c r="C611" s="30" t="n">
        <x:v>0</x:v>
      </x:c>
      <x:c r="D611" s="30" t="n">
        <x:v>0</x:v>
      </x:c>
      <x:c r="E611" s="32" t="str">
        <x:f>IF(AND(ISNUMBER(C611),ISNUMBER(D611),D611&gt;0),C611/D611,"")</x:f>
      </x:c>
      <x:c r="F611" s="34"/>
      <x:c r="G611" s="30" t="n">
        <x:v>3</x:v>
      </x:c>
    </x:row>
    <x:row r="612" ht="42" customHeight="1">
      <x:c r="A612" s="14" t="str">
        <x:v>лазерная эпиляция для мужчин в сургуте</x:v>
      </x:c>
      <x:c r="B612" s="14" t="str">
        <x:v>https://kozhaclinic.ru/lazernaya-kosmetologiya/dlya-muzhchin/</x:v>
      </x:c>
      <x:c r="C612" s="31" t="n">
        <x:v>0</x:v>
      </x:c>
      <x:c r="D612" s="31" t="n">
        <x:v>0</x:v>
      </x:c>
      <x:c r="E612" s="33" t="str">
        <x:f>IF(AND(ISNUMBER(C612),ISNUMBER(D612),D612&gt;0),C612/D612,"")</x:f>
      </x:c>
      <x:c r="F612" s="35"/>
      <x:c r="G612" s="31" t="n">
        <x:v>0</x:v>
      </x:c>
    </x:row>
    <x:row r="613" ht="42" customHeight="1">
      <x:c r="A613" s="12" t="str">
        <x:v>лечение гипергидроза в сургуте</x:v>
      </x:c>
      <x:c r="B613" s="12" t="str">
        <x:v>https://kozhaclinic.ru/inekcionnaya-kosmetologiya/lechenie-gipergidroza/</x:v>
      </x:c>
      <x:c r="C613" s="30" t="n">
        <x:v>0</x:v>
      </x:c>
      <x:c r="D613" s="30" t="n">
        <x:v>0</x:v>
      </x:c>
      <x:c r="E613" s="32" t="str">
        <x:f>IF(AND(ISNUMBER(C613),ISNUMBER(D613),D613&gt;0),C613/D613,"")</x:f>
      </x:c>
      <x:c r="F613" s="34"/>
      <x:c r="G613" s="30" t="n">
        <x:v>0</x:v>
      </x:c>
    </x:row>
    <x:row r="614" ht="42" customHeight="1">
      <x:c r="A614" s="14" t="str">
        <x:v>мезотерапия в сургуте</x:v>
      </x:c>
      <x:c r="B614" s="14" t="str">
        <x:v>https://kozhaclinic.ru/inekcionnaya-kosmetologiya/omolozhenie-i-pitanie-kozhi/mezoterapiya/</x:v>
      </x:c>
      <x:c r="C614" s="31" t="n">
        <x:v>0</x:v>
      </x:c>
      <x:c r="D614" s="31" t="n">
        <x:v>0</x:v>
      </x:c>
      <x:c r="E614" s="33" t="str">
        <x:f>IF(AND(ISNUMBER(C614),ISNUMBER(D614),D614&gt;0),C614/D614,"")</x:f>
      </x:c>
      <x:c r="F614" s="35"/>
      <x:c r="G614" s="31" t="n">
        <x:v>0</x:v>
      </x:c>
    </x:row>
    <x:row r="615" ht="42" customHeight="1">
      <x:c r="A615" s="12" t="str">
        <x:v>миграция гиалуроновой кислоты</x:v>
      </x:c>
      <x:c r="B615" s="12" t="str">
        <x:v>https://kozhaclinic.ru/migratsiya-gelya-iz-gub/</x:v>
      </x:c>
      <x:c r="C615" s="30" t="n">
        <x:v>2</x:v>
      </x:c>
      <x:c r="D615" s="30" t="n">
        <x:v>8</x:v>
      </x:c>
      <x:c r="E615" s="32" t="n">
        <x:f>IF(AND(ISNUMBER(C615),ISNUMBER(D615),D615&gt;0),C615/D615,"")</x:f>
        <x:v>0.25</x:v>
      </x:c>
      <x:c r="F615" s="34" t="n">
        <x:v>7.2</x:v>
      </x:c>
      <x:c r="G615" s="30" t="n">
        <x:v>9</x:v>
      </x:c>
    </x:row>
    <x:row r="616" ht="42" customHeight="1">
      <x:c r="A616" s="14" t="str">
        <x:v>мигрирующий филлер в губах</x:v>
      </x:c>
      <x:c r="B616" s="14" t="str">
        <x:v>https://kozhaclinic.ru/migratsiya-gelya-iz-gub/</x:v>
      </x:c>
      <x:c r="C616" s="31" t="n">
        <x:v>0</x:v>
      </x:c>
      <x:c r="D616" s="31" t="n">
        <x:v>6</x:v>
      </x:c>
      <x:c r="E616" s="33" t="n">
        <x:f>IF(AND(ISNUMBER(C616),ISNUMBER(D616),D616&gt;0),C616/D616,"")</x:f>
        <x:v>0</x:v>
      </x:c>
      <x:c r="F616" s="35" t="n">
        <x:v>7.6</x:v>
      </x:c>
      <x:c r="G616" s="31" t="n">
        <x:v>8</x:v>
      </x:c>
    </x:row>
    <x:row r="617" ht="42" customHeight="1">
      <x:c r="A617" s="12" t="str">
        <x:v>релатокс после процедуры что делать нельзя</x:v>
      </x:c>
      <x:c r="B617" s="12" t="str">
        <x:v>https://kozhaclinic.ru/inekcionnaya-kosmetologiya/botulinoterapiya/relatox/</x:v>
      </x:c>
      <x:c r="C617" s="30" t="n">
        <x:v>0</x:v>
      </x:c>
      <x:c r="D617" s="30" t="n">
        <x:v>1</x:v>
      </x:c>
      <x:c r="E617" s="32" t="n">
        <x:f>IF(AND(ISNUMBER(C617),ISNUMBER(D617),D617&gt;0),C617/D617,"")</x:f>
        <x:v>0</x:v>
      </x:c>
      <x:c r="F617" s="34" t="n">
        <x:v>10</x:v>
      </x:c>
      <x:c r="G617" s="30" t="n">
        <x:v>10</x:v>
      </x:c>
    </x:row>
    <x:row r="618" ht="42" customHeight="1">
      <x:c r="A618" s="14" t="str">
        <x:v>сургут кожа</x:v>
      </x:c>
      <x:c r="B618" s="14" t="str">
        <x:v>https://kozhaclinic.ru/</x:v>
      </x:c>
      <x:c r="C618" s="31" t="n">
        <x:v>1</x:v>
      </x:c>
      <x:c r="D618" s="31" t="n">
        <x:v>2</x:v>
      </x:c>
      <x:c r="E618" s="33" t="n">
        <x:f>IF(AND(ISNUMBER(C618),ISNUMBER(D618),D618&gt;0),C618/D618,"")</x:f>
        <x:v>0.5</x:v>
      </x:c>
      <x:c r="F618" s="35" t="n">
        <x:v>1</x:v>
      </x:c>
      <x:c r="G618" s="31" t="n">
        <x:v>2</x:v>
      </x:c>
    </x:row>
    <x:row r="619" ht="42" customHeight="1">
      <x:c r="A619" s="12" t="str">
        <x:v>удаление родинок на лице сургут</x:v>
      </x:c>
      <x:c r="B619" s="12" t="str">
        <x:v>https://kozhaclinic.ru/udalenie-novoobrazovanij/udalenie-rodinok/</x:v>
      </x:c>
      <x:c r="C619" s="30" t="n">
        <x:v>0</x:v>
      </x:c>
      <x:c r="D619" s="30" t="n">
        <x:v>0</x:v>
      </x:c>
      <x:c r="E619" s="32" t="str">
        <x:f>IF(AND(ISNUMBER(C619),ISNUMBER(D619),D619&gt;0),C619/D619,"")</x:f>
      </x:c>
      <x:c r="F619" s="34"/>
      <x:c r="G619" s="30" t="n">
        <x:v>0</x:v>
      </x:c>
    </x:row>
    <x:row r="620" ht="42" customHeight="1">
      <x:c r="A620" s="14" t="str">
        <x:v>фототерапия для лица сургут</x:v>
      </x:c>
      <x:c r="B620" s="14" t="str">
        <x:v>https://kozhaclinic.ru/apparatnaya-kosmetologiya/fotoomolozhenie-inmode/</x:v>
      </x:c>
      <x:c r="C620" s="31" t="n">
        <x:v>0</x:v>
      </x:c>
      <x:c r="D620" s="31" t="n">
        <x:v>0</x:v>
      </x:c>
      <x:c r="E620" s="33" t="str">
        <x:f>IF(AND(ISNUMBER(C620),ISNUMBER(D620),D620&gt;0),C620/D620,"")</x:f>
      </x:c>
      <x:c r="F620" s="35"/>
      <x:c r="G620" s="31" t="n">
        <x:v>0</x:v>
      </x:c>
    </x:row>
    <x:row r="621" ht="42" customHeight="1">
      <x:c r="A621" s="12" t="str">
        <x:v>чистка лица и спины</x:v>
      </x:c>
      <x:c r="B621" s="12" t="str">
        <x:v>https://kozhaclinic.ru/uhodovye-procedury/chistki-litsa-i-spiny/</x:v>
      </x:c>
      <x:c r="C621" s="30" t="n">
        <x:v>0</x:v>
      </x:c>
      <x:c r="D621" s="30" t="n">
        <x:v>11</x:v>
      </x:c>
      <x:c r="E621" s="32" t="n">
        <x:f>IF(AND(ISNUMBER(C621),ISNUMBER(D621),D621&gt;0),C621/D621,"")</x:f>
        <x:v>0</x:v>
      </x:c>
      <x:c r="F621" s="34" t="n">
        <x:v>7.3</x:v>
      </x:c>
      <x:c r="G621" s="30" t="n">
        <x:v>52</x:v>
      </x:c>
    </x:row>
    <x:row r="622" ht="42" customHeight="1">
      <x:c r="A622" s="14" t="str">
        <x:v>ipl сургут</x:v>
      </x:c>
      <x:c r="B622" s="14" t="str">
        <x:v>https://kozhaclinic.ru/apparatnaya-kosmetologiya/fotoomolozhenie-inmode/</x:v>
      </x:c>
      <x:c r="C622" s="31" t="n">
        <x:v>0</x:v>
      </x:c>
      <x:c r="D622" s="31" t="n">
        <x:v>2</x:v>
      </x:c>
      <x:c r="E622" s="33" t="n">
        <x:f>IF(AND(ISNUMBER(C622),ISNUMBER(D622),D622&gt;0),C622/D622,"")</x:f>
        <x:v>0</x:v>
      </x:c>
      <x:c r="F622" s="35" t="n">
        <x:v>2</x:v>
      </x:c>
      <x:c r="G622" s="31" t="n">
        <x:v>2</x:v>
      </x:c>
    </x:row>
    <x:row r="623" ht="42" customHeight="1">
      <x:c r="A623" s="12" t="str">
        <x:v>rf лифтинг лица игольчатый</x:v>
      </x:c>
      <x:c r="B623" s="12" t="str">
        <x:v>https://kozhaclinic.ru/apparatnaya-kosmetologiya/igolchatyy-rf-lifting-na-morpheus-8/</x:v>
      </x:c>
      <x:c r="C623" s="30" t="n">
        <x:v>0</x:v>
      </x:c>
      <x:c r="D623" s="30" t="n">
        <x:v>0</x:v>
      </x:c>
      <x:c r="E623" s="32" t="str">
        <x:f>IF(AND(ISNUMBER(C623),ISNUMBER(D623),D623&gt;0),C623/D623,"")</x:f>
      </x:c>
      <x:c r="F623" s="34"/>
      <x:c r="G623" s="30" t="n">
        <x:v>32</x:v>
      </x:c>
    </x:row>
    <x:row r="624" ht="42" customHeight="1">
      <x:c r="A624" s="14" t="str">
        <x:v>ботокс - косметологи</x:v>
      </x:c>
      <x:c r="B624" s="14" t="str">
        <x:v>https://kozhaclinic.ru/inekcionnaya-kosmetologiya/botulinoterapiya/</x:v>
      </x:c>
      <x:c r="C624" s="31" t="n">
        <x:v>0</x:v>
      </x:c>
      <x:c r="D624" s="31" t="n">
        <x:v>0</x:v>
      </x:c>
      <x:c r="E624" s="33" t="str">
        <x:f>IF(AND(ISNUMBER(C624),ISNUMBER(D624),D624&gt;0),C624/D624,"")</x:f>
      </x:c>
      <x:c r="F624" s="35"/>
      <x:c r="G624" s="31" t="n">
        <x:v>1</x:v>
      </x:c>
    </x:row>
    <x:row r="625" ht="42" customHeight="1">
      <x:c r="A625" s="12" t="str">
        <x:v>ботулинотерапия лба null</x:v>
      </x:c>
      <x:c r="B625" s="12" t="str">
        <x:v>https://kozhaclinic.ru/inekcionnaya-kosmetologiya/botulinoterapiya/</x:v>
      </x:c>
      <x:c r="C625" s="30" t="n">
        <x:v>0</x:v>
      </x:c>
      <x:c r="D625" s="30" t="n">
        <x:v>0</x:v>
      </x:c>
      <x:c r="E625" s="32" t="str">
        <x:f>IF(AND(ISNUMBER(C625),ISNUMBER(D625),D625&gt;0),C625/D625,"")</x:f>
      </x:c>
      <x:c r="F625" s="34"/>
      <x:c r="G625" s="30" t="n">
        <x:v>0</x:v>
      </x:c>
    </x:row>
    <x:row r="626" ht="42" customHeight="1">
      <x:c r="A626" s="14" t="str">
        <x:v>врач трихолог в сургуте</x:v>
      </x:c>
      <x:c r="B626" s="14" t="str">
        <x:v>https://kozhaclinic.ru/osmotry-i-konsultatsii/konsultatsiya-vracha-trikhologa-s-naznacheniem-plana-protsedur/</x:v>
      </x:c>
      <x:c r="C626" s="31" t="n">
        <x:v>0</x:v>
      </x:c>
      <x:c r="D626" s="31" t="n">
        <x:v>5</x:v>
      </x:c>
      <x:c r="E626" s="33" t="n">
        <x:f>IF(AND(ISNUMBER(C626),ISNUMBER(D626),D626&gt;0),C626/D626,"")</x:f>
        <x:v>0</x:v>
      </x:c>
      <x:c r="F626" s="35" t="n">
        <x:v>10.4</x:v>
      </x:c>
      <x:c r="G626" s="31" t="n">
        <x:v>9</x:v>
      </x:c>
    </x:row>
    <x:row r="627" ht="42" customHeight="1">
      <x:c r="A627" s="12" t="str">
        <x:v>второй подбородок цена</x:v>
      </x:c>
      <x:c r="B627" s="12" t="str">
        <x:v>https://kozhaclinic.ru/uluchshenie-ovala-litsa/</x:v>
      </x:c>
      <x:c r="C627" s="30" t="n">
        <x:v>0</x:v>
      </x:c>
      <x:c r="D627" s="30" t="n">
        <x:v>0</x:v>
      </x:c>
      <x:c r="E627" s="32" t="str">
        <x:f>IF(AND(ISNUMBER(C627),ISNUMBER(D627),D627&gt;0),C627/D627,"")</x:f>
      </x:c>
      <x:c r="F627" s="34"/>
      <x:c r="G627" s="30" t="n">
        <x:v>2</x:v>
      </x:c>
    </x:row>
    <x:row r="628" ht="42" customHeight="1">
      <x:c r="A628" s="14" t="str">
        <x:v>гель мигрировал в слизистую</x:v>
      </x:c>
      <x:c r="B628" s="14" t="str">
        <x:v>https://kozhaclinic.ru/migratsiya-gelya-iz-gub/</x:v>
      </x:c>
      <x:c r="C628" s="31" t="n">
        <x:v>0</x:v>
      </x:c>
      <x:c r="D628" s="31" t="n">
        <x:v>2</x:v>
      </x:c>
      <x:c r="E628" s="33" t="n">
        <x:f>IF(AND(ISNUMBER(C628),ISNUMBER(D628),D628&gt;0),C628/D628,"")</x:f>
        <x:v>0</x:v>
      </x:c>
      <x:c r="F628" s="35" t="n">
        <x:v>8.5</x:v>
      </x:c>
      <x:c r="G628" s="31" t="n">
        <x:v>12</x:v>
      </x:c>
    </x:row>
    <x:row r="629" ht="42" customHeight="1">
      <x:c r="A629" s="12" t="str">
        <x:v>если филлер сместился что делать</x:v>
      </x:c>
      <x:c r="B629" s="12" t="str">
        <x:v>https://kozhaclinic.ru/migratsiya-gelya-iz-gub/</x:v>
      </x:c>
      <x:c r="C629" s="30" t="n">
        <x:v>0</x:v>
      </x:c>
      <x:c r="D629" s="30" t="n">
        <x:v>2</x:v>
      </x:c>
      <x:c r="E629" s="32" t="n">
        <x:f>IF(AND(ISNUMBER(C629),ISNUMBER(D629),D629&gt;0),C629/D629,"")</x:f>
        <x:v>0</x:v>
      </x:c>
      <x:c r="F629" s="34" t="n">
        <x:v>10.5</x:v>
      </x:c>
      <x:c r="G629" s="30" t="n">
        <x:v>13</x:v>
      </x:c>
    </x:row>
    <x:row r="630" ht="42" customHeight="1">
      <x:c r="A630" s="14" t="str">
        <x:v>как понять что гель мигрировал в губах</x:v>
      </x:c>
      <x:c r="B630" s="14" t="str">
        <x:v>https://kozhaclinic.ru/migratsiya-gelya-iz-gub/</x:v>
      </x:c>
      <x:c r="C630" s="31" t="n">
        <x:v>0</x:v>
      </x:c>
      <x:c r="D630" s="31" t="n">
        <x:v>6</x:v>
      </x:c>
      <x:c r="E630" s="33" t="n">
        <x:f>IF(AND(ISNUMBER(C630),ISNUMBER(D630),D630&gt;0),C630/D630,"")</x:f>
        <x:v>0</x:v>
      </x:c>
      <x:c r="F630" s="35" t="n">
        <x:v>8.1</x:v>
      </x:c>
      <x:c r="G630" s="31" t="n">
        <x:v>7</x:v>
      </x:c>
    </x:row>
    <x:row r="631" ht="42" customHeight="1">
      <x:c r="A631" s="12" t="str">
        <x:v>как понять что филлер мигрировал в слизистую</x:v>
      </x:c>
      <x:c r="B631" s="12" t="str">
        <x:v>https://kozhaclinic.ru/migratsiya-gelya-iz-gub/</x:v>
      </x:c>
      <x:c r="C631" s="30" t="n">
        <x:v>0</x:v>
      </x:c>
      <x:c r="D631" s="30" t="n">
        <x:v>8</x:v>
      </x:c>
      <x:c r="E631" s="32" t="n">
        <x:f>IF(AND(ISNUMBER(C631),ISNUMBER(D631),D631&gt;0),C631/D631,"")</x:f>
        <x:v>0</x:v>
      </x:c>
      <x:c r="F631" s="34" t="n">
        <x:v>10.7</x:v>
      </x:c>
      <x:c r="G631" s="30" t="n">
        <x:v>18</x:v>
      </x:c>
    </x:row>
    <x:row r="632" ht="42" customHeight="1">
      <x:c r="A632" s="14" t="str">
        <x:v>как часто можно делать люмеку</x:v>
      </x:c>
      <x:c r="B632" s="14" t="str">
        <x:v>https://kozhaclinic.ru/apparatnaya-kosmetologiya/fotoomolozhenie-inmode/</x:v>
      </x:c>
      <x:c r="C632" s="31" t="n">
        <x:v>0</x:v>
      </x:c>
      <x:c r="D632" s="31" t="n">
        <x:v>3</x:v>
      </x:c>
      <x:c r="E632" s="33" t="n">
        <x:f>IF(AND(ISNUMBER(C632),ISNUMBER(D632),D632&gt;0),C632/D632,"")</x:f>
        <x:v>0</x:v>
      </x:c>
      <x:c r="F632" s="35" t="n">
        <x:v>7</x:v>
      </x:c>
      <x:c r="G632" s="31" t="n">
        <x:v>6</x:v>
      </x:c>
    </x:row>
    <x:row r="633" ht="42" customHeight="1">
      <x:c r="A633" s="12" t="str">
        <x:v>как часто можно делать массаж лица body-ksy.ru/</x:v>
      </x:c>
      <x:c r="B633" s="12" t="str">
        <x:v>https://kozhaclinic.ru/uhodovye-procedury/massazhi/</x:v>
      </x:c>
      <x:c r="C633" s="30" t="n">
        <x:v>0</x:v>
      </x:c>
      <x:c r="D633" s="30" t="n">
        <x:v>0</x:v>
      </x:c>
      <x:c r="E633" s="32" t="str">
        <x:f>IF(AND(ISNUMBER(C633),ISNUMBER(D633),D633&gt;0),C633/D633,"")</x:f>
      </x:c>
      <x:c r="F633" s="34"/>
      <x:c r="G633" s="30" t="n">
        <x:v>0</x:v>
      </x:c>
    </x:row>
    <x:row r="634" ht="42" customHeight="1">
      <x:c r="A634" s="14" t="str">
        <x:v>лазерная косметология в клинике подружки</x:v>
      </x:c>
      <x:c r="B634" s="14" t="str">
        <x:v>https://kozhaclinic.ru/lazernaya-kosmetologiya/lazernaya-epilyaciya/litsa-dlya-muzhchin/</x:v>
      </x:c>
      <x:c r="C634" s="31" t="n">
        <x:v>0</x:v>
      </x:c>
      <x:c r="D634" s="31" t="n">
        <x:v>0</x:v>
      </x:c>
      <x:c r="E634" s="33" t="str">
        <x:f>IF(AND(ISNUMBER(C634),ISNUMBER(D634),D634&gt;0),C634/D634,"")</x:f>
      </x:c>
      <x:c r="F634" s="35"/>
      <x:c r="G634" s="31" t="n">
        <x:v>2536</x:v>
      </x:c>
    </x:row>
    <x:row r="635" ht="42" customHeight="1">
      <x:c r="A635" s="12" t="str">
        <x:v>лазерная эпиляция сургут мужская</x:v>
      </x:c>
      <x:c r="B635" s="12" t="str">
        <x:v>https://kozhaclinic.ru/lazernaya-kosmetologiya/dlya-muzhchin/</x:v>
      </x:c>
      <x:c r="C635" s="30" t="n">
        <x:v>0</x:v>
      </x:c>
      <x:c r="D635" s="30" t="n">
        <x:v>0</x:v>
      </x:c>
      <x:c r="E635" s="32" t="str">
        <x:f>IF(AND(ISNUMBER(C635),ISNUMBER(D635),D635&gt;0),C635/D635,"")</x:f>
      </x:c>
      <x:c r="F635" s="34"/>
      <x:c r="G635" s="30" t="n">
        <x:v>0</x:v>
      </x:c>
    </x:row>
    <x:row r="636" ht="42" customHeight="1">
      <x:c r="A636" s="14" t="str">
        <x:v>мезотерапия для волос сургут</x:v>
      </x:c>
      <x:c r="B636" s="14" t="str">
        <x:v>https://kozhaclinic.ru/inekcionnaya-kosmetologiya/omolozhenie-i-pitanie-kozhi/mezoterapiya-dlya-volos/</x:v>
      </x:c>
      <x:c r="C636" s="31" t="n">
        <x:v>0</x:v>
      </x:c>
      <x:c r="D636" s="31" t="n">
        <x:v>3</x:v>
      </x:c>
      <x:c r="E636" s="33" t="n">
        <x:f>IF(AND(ISNUMBER(C636),ISNUMBER(D636),D636&gt;0),C636/D636,"")</x:f>
        <x:v>0</x:v>
      </x:c>
      <x:c r="F636" s="35" t="n">
        <x:v>3.3</x:v>
      </x:c>
      <x:c r="G636" s="31" t="n">
        <x:v>3</x:v>
      </x:c>
    </x:row>
    <x:row r="637" ht="42" customHeight="1">
      <x:c r="A637" s="12" t="str">
        <x:v>миграция геля на губах</x:v>
      </x:c>
      <x:c r="B637" s="12" t="str">
        <x:v>https://kozhaclinic.ru/migratsiya-gelya-iz-gub/</x:v>
      </x:c>
      <x:c r="C637" s="30" t="n">
        <x:v>0</x:v>
      </x:c>
      <x:c r="D637" s="30" t="n">
        <x:v>2</x:v>
      </x:c>
      <x:c r="E637" s="32" t="n">
        <x:f>IF(AND(ISNUMBER(C637),ISNUMBER(D637),D637&gt;0),C637/D637,"")</x:f>
        <x:v>0</x:v>
      </x:c>
      <x:c r="F637" s="34" t="n">
        <x:v>11.5</x:v>
      </x:c>
      <x:c r="G637" s="30" t="n">
        <x:v>3</x:v>
      </x:c>
    </x:row>
    <x:row r="638" ht="42" customHeight="1">
      <x:c r="A638" s="14" t="str">
        <x:v>мигрирование геля в губах</x:v>
      </x:c>
      <x:c r="B638" s="14" t="str">
        <x:v>https://kozhaclinic.ru/migratsiya-gelya-iz-gub/</x:v>
      </x:c>
      <x:c r="C638" s="31" t="n">
        <x:v>0</x:v>
      </x:c>
      <x:c r="D638" s="31" t="n">
        <x:v>3</x:v>
      </x:c>
      <x:c r="E638" s="33" t="n">
        <x:f>IF(AND(ISNUMBER(C638),ISNUMBER(D638),D638&gt;0),C638/D638,"")</x:f>
        <x:v>0</x:v>
      </x:c>
      <x:c r="F638" s="35" t="n">
        <x:v>6</x:v>
      </x:c>
      <x:c r="G638" s="31" t="n">
        <x:v>3</x:v>
      </x:c>
    </x:row>
    <x:row r="639" ht="42" customHeight="1">
      <x:c r="A639" s="12" t="str">
        <x:v>мигрирует филлер в губах</x:v>
      </x:c>
      <x:c r="B639" s="12" t="str">
        <x:v>https://kozhaclinic.ru/migratsiya-gelya-iz-gub/</x:v>
      </x:c>
      <x:c r="C639" s="30" t="n">
        <x:v>0</x:v>
      </x:c>
      <x:c r="D639" s="30" t="n">
        <x:v>3</x:v>
      </x:c>
      <x:c r="E639" s="32" t="n">
        <x:f>IF(AND(ISNUMBER(C639),ISNUMBER(D639),D639&gt;0),C639/D639,"")</x:f>
        <x:v>0</x:v>
      </x:c>
      <x:c r="F639" s="34" t="n">
        <x:v>9.6</x:v>
      </x:c>
      <x:c r="G639" s="30" t="n">
        <x:v>4</x:v>
      </x:c>
    </x:row>
    <x:row r="640" ht="42" customHeight="1">
      <x:c r="A640" s="14" t="str">
        <x:v>можно ли делать чистку при розацеа</x:v>
      </x:c>
      <x:c r="B640" s="14" t="str">
        <x:v>https://kozhaclinic.ru/ubrat-rozatsea/</x:v>
      </x:c>
      <x:c r="C640" s="31" t="n">
        <x:v>0</x:v>
      </x:c>
      <x:c r="D640" s="31" t="n">
        <x:v>5</x:v>
      </x:c>
      <x:c r="E640" s="33" t="n">
        <x:f>IF(AND(ISNUMBER(C640),ISNUMBER(D640),D640&gt;0),C640/D640,"")</x:f>
        <x:v>0</x:v>
      </x:c>
      <x:c r="F640" s="35" t="n">
        <x:v>8.4</x:v>
      </x:c>
      <x:c r="G640" s="31" t="n">
        <x:v>9</x:v>
      </x:c>
    </x:row>
    <x:row r="641" ht="42" customHeight="1">
      <x:c r="A641" s="12" t="str">
        <x:v>процедура увлажнения губ</x:v>
      </x:c>
      <x:c r="B641" s="12" t="str">
        <x:v>https://kozhaclinic.ru/inekcionnaya-kosmetologiya/konturnaya-plastika/uvlazhnenie-gub/</x:v>
      </x:c>
      <x:c r="C641" s="30" t="n">
        <x:v>0</x:v>
      </x:c>
      <x:c r="D641" s="30" t="n">
        <x:v>0</x:v>
      </x:c>
      <x:c r="E641" s="32" t="str">
        <x:f>IF(AND(ISNUMBER(C641),ISNUMBER(D641),D641&gt;0),C641/D641,"")</x:f>
      </x:c>
      <x:c r="F641" s="34"/>
      <x:c r="G641" s="30" t="n">
        <x:v>55</x:v>
      </x:c>
    </x:row>
    <x:row r="642" ht="42" customHeight="1">
      <x:c r="A642" s="14" t="str">
        <x:v>рф лифтинг морфеус 8 сургут</x:v>
      </x:c>
      <x:c r="B642" s="14" t="str">
        <x:v>https://kozhaclinic.ru/apparatnaya-kosmetologiya/igolchatyy-rf-lifting-na-morpheus-8/</x:v>
      </x:c>
      <x:c r="C642" s="31" t="n">
        <x:v>0</x:v>
      </x:c>
      <x:c r="D642" s="31" t="n">
        <x:v>0</x:v>
      </x:c>
      <x:c r="E642" s="33" t="str">
        <x:f>IF(AND(ISNUMBER(C642),ISNUMBER(D642),D642&gt;0),C642/D642,"")</x:f>
      </x:c>
      <x:c r="F642" s="35"/>
      <x:c r="G642" s="31" t="n">
        <x:v>0</x:v>
      </x:c>
    </x:row>
    <x:row r="643" ht="42" customHeight="1">
      <x:c r="A643" s="12" t="str">
        <x:v>сургут косметологии</x:v>
      </x:c>
      <x:c r="B643" s="12" t="str">
        <x:v>https://kozhaclinic.ru/</x:v>
      </x:c>
      <x:c r="C643" s="30" t="n">
        <x:v>0</x:v>
      </x:c>
      <x:c r="D643" s="30" t="n">
        <x:v>7</x:v>
      </x:c>
      <x:c r="E643" s="32" t="n">
        <x:f>IF(AND(ISNUMBER(C643),ISNUMBER(D643),D643&gt;0),C643/D643,"")</x:f>
        <x:v>0</x:v>
      </x:c>
      <x:c r="F643" s="34" t="n">
        <x:v>3.4</x:v>
      </x:c>
      <x:c r="G643" s="30" t="n">
        <x:v>7</x:v>
      </x:c>
    </x:row>
    <x:row r="644" ht="42" customHeight="1">
      <x:c r="A644" s="14" t="str">
        <x:v>сургут удаление шипиц</x:v>
      </x:c>
      <x:c r="B644" s="14" t="str">
        <x:v>https://kozhaclinic.ru/udalenie-novoobrazovanij/udalenie-borodavok/</x:v>
      </x:c>
      <x:c r="C644" s="31" t="n">
        <x:v>0</x:v>
      </x:c>
      <x:c r="D644" s="31" t="n">
        <x:v>2</x:v>
      </x:c>
      <x:c r="E644" s="33" t="n">
        <x:f>IF(AND(ISNUMBER(C644),ISNUMBER(D644),D644&gt;0),C644/D644,"")</x:f>
        <x:v>0</x:v>
      </x:c>
      <x:c r="F644" s="35" t="n">
        <x:v>6</x:v>
      </x:c>
      <x:c r="G644" s="31" t="n">
        <x:v>2</x:v>
      </x:c>
    </x:row>
    <x:row r="645" ht="42" customHeight="1">
      <x:c r="A645" s="12" t="str">
        <x:v>увлажнение губ филлером без увеличения</x:v>
      </x:c>
      <x:c r="B645" s="12" t="str">
        <x:v>https://kozhaclinic.ru/inekcionnaya-kosmetologiya/konturnaya-plastika/uvlazhnenie-gub/</x:v>
      </x:c>
      <x:c r="C645" s="30" t="n">
        <x:v>0</x:v>
      </x:c>
      <x:c r="D645" s="30" t="n">
        <x:v>0</x:v>
      </x:c>
      <x:c r="E645" s="32" t="str">
        <x:f>IF(AND(ISNUMBER(C645),ISNUMBER(D645),D645&gt;0),C645/D645,"")</x:f>
      </x:c>
      <x:c r="F645" s="34"/>
      <x:c r="G645" s="30" t="n">
        <x:v>7</x:v>
      </x:c>
    </x:row>
    <x:row r="646" ht="42" customHeight="1">
      <x:c r="A646" s="14" t="str">
        <x:v>удаление кондилом сургут</x:v>
      </x:c>
      <x:c r="B646" s="14" t="str">
        <x:v>https://kozhaclinic.ru/udalenie-novoobrazovanij/udalenie-papilom/</x:v>
      </x:c>
      <x:c r="C646" s="31" t="n">
        <x:v>0</x:v>
      </x:c>
      <x:c r="D646" s="31" t="n">
        <x:v>3</x:v>
      </x:c>
      <x:c r="E646" s="33" t="n">
        <x:f>IF(AND(ISNUMBER(C646),ISNUMBER(D646),D646&gt;0),C646/D646,"")</x:f>
        <x:v>0</x:v>
      </x:c>
      <x:c r="F646" s="35" t="n">
        <x:v>6.3</x:v>
      </x:c>
      <x:c r="G646" s="31" t="n">
        <x:v>3</x:v>
      </x:c>
    </x:row>
    <x:row r="647" ht="42" customHeight="1">
      <x:c r="A647" s="12" t="str">
        <x:v>филлер мигрировал</x:v>
      </x:c>
      <x:c r="B647" s="12" t="str">
        <x:v>https://kozhaclinic.ru/migratsiya-gelya-iz-gub/</x:v>
      </x:c>
      <x:c r="C647" s="30" t="n">
        <x:v>0</x:v>
      </x:c>
      <x:c r="D647" s="30" t="n">
        <x:v>1</x:v>
      </x:c>
      <x:c r="E647" s="32" t="n">
        <x:f>IF(AND(ISNUMBER(C647),ISNUMBER(D647),D647&gt;0),C647/D647,"")</x:f>
        <x:v>0</x:v>
      </x:c>
      <x:c r="F647" s="34" t="n">
        <x:v>12</x:v>
      </x:c>
      <x:c r="G647" s="30" t="n">
        <x:v>18</x:v>
      </x:c>
    </x:row>
    <x:row r="648" ht="42" customHeight="1">
      <x:c r="A648" s="14" t="str">
        <x:v>heleo pro led отзывы</x:v>
      </x:c>
      <x:c r="B648" s="14" t="str">
        <x:v>https://kozhaclinic.ru/apparatnaya-kosmetologiya/heleo-pro-led/</x:v>
      </x:c>
      <x:c r="C648" s="31" t="n">
        <x:v>0</x:v>
      </x:c>
      <x:c r="D648" s="31" t="n">
        <x:v>11</x:v>
      </x:c>
      <x:c r="E648" s="33" t="n">
        <x:f>IF(AND(ISNUMBER(C648),ISNUMBER(D648),D648&gt;0),C648/D648,"")</x:f>
        <x:v>0</x:v>
      </x:c>
      <x:c r="F648" s="35" t="n">
        <x:v>8.7</x:v>
      </x:c>
      <x:c r="G648" s="31" t="n">
        <x:v>153</x:v>
      </x:c>
    </x:row>
    <x:row r="649" ht="42" customHeight="1">
      <x:c r="A649" s="12" t="str">
        <x:v>rf лифтинг игольчатый морфеус 8 цена</x:v>
      </x:c>
      <x:c r="B649" s="12" t="str">
        <x:v>https://kozhaclinic.ru/apparatnaya-kosmetologiya/igolchatyy-rf-lifting-na-morpheus-8/</x:v>
      </x:c>
      <x:c r="C649" s="30" t="n">
        <x:v>0</x:v>
      </x:c>
      <x:c r="D649" s="30" t="n">
        <x:v>0</x:v>
      </x:c>
      <x:c r="E649" s="32" t="str">
        <x:f>IF(AND(ISNUMBER(C649),ISNUMBER(D649),D649&gt;0),C649/D649,"")</x:f>
      </x:c>
      <x:c r="F649" s="34"/>
      <x:c r="G649" s="30" t="n">
        <x:v>0</x:v>
      </x:c>
    </x:row>
    <x:row r="650" ht="42" customHeight="1">
      <x:c r="A650" s="14" t="str">
        <x:v>аманова юлия</x:v>
      </x:c>
      <x:c r="B650" s="14" t="str">
        <x:v>https://kozhaclinic.ru/o-nas/specialisty/amanova-yuliya-vadimovna/</x:v>
      </x:c>
      <x:c r="C650" s="31" t="n">
        <x:v>0</x:v>
      </x:c>
      <x:c r="D650" s="31" t="n">
        <x:v>1</x:v>
      </x:c>
      <x:c r="E650" s="33" t="n">
        <x:f>IF(AND(ISNUMBER(C650),ISNUMBER(D650),D650&gt;0),C650/D650,"")</x:f>
        <x:v>0</x:v>
      </x:c>
      <x:c r="F650" s="35" t="n">
        <x:v>2</x:v>
      </x:c>
      <x:c r="G650" s="31" t="n">
        <x:v>1</x:v>
      </x:c>
    </x:row>
    <x:row r="651" ht="42" customHeight="1">
      <x:c r="A651" s="12" t="str">
        <x:v>аманова юлия вадимовна</x:v>
      </x:c>
      <x:c r="B651" s="12" t="str">
        <x:v>https://kozhaclinic.ru/o-nas/specialisty/amanova-yuliya-vadimovna/</x:v>
      </x:c>
      <x:c r="C651" s="30" t="n">
        <x:v>0</x:v>
      </x:c>
      <x:c r="D651" s="30" t="n">
        <x:v>3</x:v>
      </x:c>
      <x:c r="E651" s="32" t="n">
        <x:f>IF(AND(ISNUMBER(C651),ISNUMBER(D651),D651&gt;0),C651/D651,"")</x:f>
        <x:v>0</x:v>
      </x:c>
      <x:c r="F651" s="34" t="n">
        <x:v>2.6</x:v>
      </x:c>
      <x:c r="G651" s="30" t="n">
        <x:v>3</x:v>
      </x:c>
    </x:row>
    <x:row r="652" ht="42" customHeight="1">
      <x:c r="A652" s="14" t="str">
        <x:v>биоревитализация лица сургут цена</x:v>
      </x:c>
      <x:c r="B652" s="14" t="str">
        <x:v>https://kozhaclinic.ru/inekcionnaya-kosmetologiya/omolozhenie-i-pitanie-kozhi/biorevitalizatsiya/</x:v>
      </x:c>
      <x:c r="C652" s="31" t="n">
        <x:v>0</x:v>
      </x:c>
      <x:c r="D652" s="31" t="n">
        <x:v>0</x:v>
      </x:c>
      <x:c r="E652" s="33" t="str">
        <x:f>IF(AND(ISNUMBER(C652),ISNUMBER(D652),D652&gt;0),C652/D652,"")</x:f>
      </x:c>
      <x:c r="F652" s="35"/>
      <x:c r="G652" s="31" t="n">
        <x:v>0</x:v>
      </x:c>
    </x:row>
    <x:row r="653" ht="42" customHeight="1">
      <x:c r="A653" s="12" t="str">
        <x:v>ботулинотерапия декольте экспресс</x:v>
      </x:c>
      <x:c r="B653" s="12" t="str">
        <x:v>https://kozhaclinic.ru/inekcionnaya-kosmetologiya/botulinoterapiya/botoks-dlya-shei-i-zony-dekolte/</x:v>
      </x:c>
      <x:c r="C653" s="30" t="n">
        <x:v>0</x:v>
      </x:c>
      <x:c r="D653" s="30" t="n">
        <x:v>0</x:v>
      </x:c>
      <x:c r="E653" s="32" t="str">
        <x:f>IF(AND(ISNUMBER(C653),ISNUMBER(D653),D653&gt;0),C653/D653,"")</x:f>
      </x:c>
      <x:c r="F653" s="34"/>
      <x:c r="G653" s="30" t="n">
        <x:v>0</x:v>
      </x:c>
    </x:row>
    <x:row r="654" ht="42" customHeight="1">
      <x:c r="A654" s="14" t="str">
        <x:v>бугры миграции на губах</x:v>
      </x:c>
      <x:c r="B654" s="14" t="str">
        <x:v>https://kozhaclinic.ru/migratsiya-gelya-iz-gub/</x:v>
      </x:c>
      <x:c r="C654" s="31" t="n">
        <x:v>0</x:v>
      </x:c>
      <x:c r="D654" s="31" t="n">
        <x:v>1</x:v>
      </x:c>
      <x:c r="E654" s="33" t="n">
        <x:f>IF(AND(ISNUMBER(C654),ISNUMBER(D654),D654&gt;0),C654/D654,"")</x:f>
        <x:v>0</x:v>
      </x:c>
      <x:c r="F654" s="35" t="n">
        <x:v>3</x:v>
      </x:c>
      <x:c r="G654" s="31" t="n">
        <x:v>1</x:v>
      </x:c>
    </x:row>
    <x:row r="655" ht="42" customHeight="1">
      <x:c r="A655" s="12" t="str">
        <x:v>гель в слизистой губ</x:v>
      </x:c>
      <x:c r="B655" s="12" t="str">
        <x:v>https://kozhaclinic.ru/migratsiya-gelya-iz-gub/</x:v>
      </x:c>
      <x:c r="C655" s="30" t="n">
        <x:v>0</x:v>
      </x:c>
      <x:c r="D655" s="30" t="n">
        <x:v>1</x:v>
      </x:c>
      <x:c r="E655" s="32" t="n">
        <x:f>IF(AND(ISNUMBER(C655),ISNUMBER(D655),D655&gt;0),C655/D655,"")</x:f>
        <x:v>0</x:v>
      </x:c>
      <x:c r="F655" s="34" t="n">
        <x:v>11</x:v>
      </x:c>
      <x:c r="G655" s="30" t="n">
        <x:v>4</x:v>
      </x:c>
    </x:row>
    <x:row r="656" ht="42" customHeight="1">
      <x:c r="A656" s="14" t="str">
        <x:v>заполнение носослезной борозды сургут</x:v>
      </x:c>
      <x:c r="B656" s="14" t="str">
        <x:v>https://kozhaclinic.ru/inekcionnaya-kosmetologiya/konturnaya-plastika/korrektsiya-nososleznoy-borozdy/</x:v>
      </x:c>
      <x:c r="C656" s="31" t="n">
        <x:v>0</x:v>
      </x:c>
      <x:c r="D656" s="31" t="n">
        <x:v>1</x:v>
      </x:c>
      <x:c r="E656" s="33" t="n">
        <x:f>IF(AND(ISNUMBER(C656),ISNUMBER(D656),D656&gt;0),C656/D656,"")</x:f>
        <x:v>0</x:v>
      </x:c>
      <x:c r="F656" s="35" t="n">
        <x:v>9</x:v>
      </x:c>
      <x:c r="G656" s="31" t="n">
        <x:v>1</x:v>
      </x:c>
    </x:row>
    <x:row r="657" ht="42" customHeight="1">
      <x:c r="A657" s="12" t="str">
        <x:v>игольчатый rf лифтинг morpheus 8 цена</x:v>
      </x:c>
      <x:c r="B657" s="12" t="str">
        <x:v>https://kozhaclinic.ru/apparatnaya-kosmetologiya/igolchatyy-rf-lifting-na-morpheus-8/</x:v>
      </x:c>
      <x:c r="C657" s="30" t="n">
        <x:v>0</x:v>
      </x:c>
      <x:c r="D657" s="30" t="n">
        <x:v>0</x:v>
      </x:c>
      <x:c r="E657" s="32" t="str">
        <x:f>IF(AND(ISNUMBER(C657),ISNUMBER(D657),D657&gt;0),C657/D657,"")</x:f>
      </x:c>
      <x:c r="F657" s="34"/>
      <x:c r="G657" s="30" t="n">
        <x:v>2</x:v>
      </x:c>
    </x:row>
    <x:row r="658" ht="42" customHeight="1">
      <x:c r="A658" s="14" t="str">
        <x:v>как выглядит миграция филлера в слизистую</x:v>
      </x:c>
      <x:c r="B658" s="14" t="str">
        <x:v>https://kozhaclinic.ru/migratsiya-gelya-iz-gub/</x:v>
      </x:c>
      <x:c r="C658" s="31" t="n">
        <x:v>0</x:v>
      </x:c>
      <x:c r="D658" s="31" t="n">
        <x:v>8</x:v>
      </x:c>
      <x:c r="E658" s="33" t="n">
        <x:f>IF(AND(ISNUMBER(C658),ISNUMBER(D658),D658&gt;0),C658/D658,"")</x:f>
        <x:v>0</x:v>
      </x:c>
      <x:c r="F658" s="35" t="n">
        <x:v>9.6</x:v>
      </x:c>
      <x:c r="G658" s="31" t="n">
        <x:v>9</x:v>
      </x:c>
    </x:row>
    <x:row r="659" ht="42" customHeight="1">
      <x:c r="A659" s="12" t="str">
        <x:v>как происходит увлажнение губ</x:v>
      </x:c>
      <x:c r="B659" s="12" t="str">
        <x:v>https://kozhaclinic.ru/inekcionnaya-kosmetologiya/konturnaya-plastika/uvlazhnenie-gub/</x:v>
      </x:c>
      <x:c r="C659" s="30" t="n">
        <x:v>0</x:v>
      </x:c>
      <x:c r="D659" s="30" t="n">
        <x:v>0</x:v>
      </x:c>
      <x:c r="E659" s="32" t="str">
        <x:f>IF(AND(ISNUMBER(C659),ISNUMBER(D659),D659&gt;0),C659/D659,"")</x:f>
      </x:c>
      <x:c r="F659" s="34"/>
      <x:c r="G659" s="30" t="n">
        <x:v>3</x:v>
      </x:c>
    </x:row>
    <x:row r="660" ht="42" customHeight="1">
      <x:c r="A660" s="14" t="str">
        <x:v>картирование родинок сургут</x:v>
      </x:c>
      <x:c r="B660" s="14" t="str">
        <x:v>https://kozhaclinic.ru/udalenie-novoobrazovanij/udalenie-rodinok/</x:v>
      </x:c>
      <x:c r="C660" s="31" t="n">
        <x:v>0</x:v>
      </x:c>
      <x:c r="D660" s="31" t="n">
        <x:v>3</x:v>
      </x:c>
      <x:c r="E660" s="33" t="n">
        <x:f>IF(AND(ISNUMBER(C660),ISNUMBER(D660),D660&gt;0),C660/D660,"")</x:f>
        <x:v>0</x:v>
      </x:c>
      <x:c r="F660" s="35" t="n">
        <x:v>3.6</x:v>
      </x:c>
      <x:c r="G660" s="31" t="n">
        <x:v>3</x:v>
      </x:c>
    </x:row>
    <x:row r="661" ht="42" customHeight="1">
      <x:c r="A661" s="12" t="str">
        <x:v>кож сургута</x:v>
      </x:c>
      <x:c r="B661" s="12" t="str">
        <x:v>https://kozhaclinic.ru/</x:v>
      </x:c>
      <x:c r="C661" s="30" t="n">
        <x:v>0</x:v>
      </x:c>
      <x:c r="D661" s="30" t="n">
        <x:v>3</x:v>
      </x:c>
      <x:c r="E661" s="32" t="n">
        <x:f>IF(AND(ISNUMBER(C661),ISNUMBER(D661),D661&gt;0),C661/D661,"")</x:f>
        <x:v>0</x:v>
      </x:c>
      <x:c r="F661" s="34" t="n">
        <x:v>1.6</x:v>
      </x:c>
      <x:c r="G661" s="30" t="n">
        <x:v>3</x:v>
      </x:c>
    </x:row>
    <x:row r="662" ht="42" customHeight="1">
      <x:c r="A662" s="14" t="str">
        <x:v>контурная пластика подбородка</x:v>
      </x:c>
      <x:c r="B662" s="14" t="str">
        <x:v>https://kozhaclinic.ru/inekcionnaya-kosmetologiya/konturnaya-plastika/obemnoe-modelirovanie-skuly-podborodok-/</x:v>
      </x:c>
      <x:c r="C662" s="31" t="n">
        <x:v>0</x:v>
      </x:c>
      <x:c r="D662" s="31" t="n">
        <x:v>0</x:v>
      </x:c>
      <x:c r="E662" s="33" t="str">
        <x:f>IF(AND(ISNUMBER(C662),ISNUMBER(D662),D662&gt;0),C662/D662,"")</x:f>
      </x:c>
      <x:c r="F662" s="35"/>
      <x:c r="G662" s="31" t="n">
        <x:v>574</x:v>
      </x:c>
    </x:row>
    <x:row r="663" ht="42" customHeight="1">
      <x:c r="A663" s="12" t="str">
        <x:v>лазерная шлифовка лица сургут</x:v>
      </x:c>
      <x:c r="B663" s="12" t="str">
        <x:v>https://kozhaclinic.ru/</x:v>
      </x:c>
      <x:c r="C663" s="30" t="n">
        <x:v>0</x:v>
      </x:c>
      <x:c r="D663" s="30" t="n">
        <x:v>3</x:v>
      </x:c>
      <x:c r="E663" s="32" t="n">
        <x:f>IF(AND(ISNUMBER(C663),ISNUMBER(D663),D663&gt;0),C663/D663,"")</x:f>
        <x:v>0</x:v>
      </x:c>
      <x:c r="F663" s="34" t="n">
        <x:v>13.3</x:v>
      </x:c>
      <x:c r="G663" s="30" t="n">
        <x:v>17</x:v>
      </x:c>
    </x:row>
    <x:row r="664" ht="42" customHeight="1">
      <x:c r="A664" s="14" t="str">
        <x:v>лицо под ключ сургут</x:v>
      </x:c>
      <x:c r="B664" s="14" t="str">
        <x:v>https://kozhaclinic.ru/</x:v>
      </x:c>
      <x:c r="C664" s="31" t="n">
        <x:v>0</x:v>
      </x:c>
      <x:c r="D664" s="31" t="n">
        <x:v>0</x:v>
      </x:c>
      <x:c r="E664" s="33" t="str">
        <x:f>IF(AND(ISNUMBER(C664),ISNUMBER(D664),D664&gt;0),C664/D664,"")</x:f>
      </x:c>
      <x:c r="F664" s="35"/>
      <x:c r="G664" s="31" t="n">
        <x:v>0</x:v>
      </x:c>
    </x:row>
    <x:row r="665" ht="42" customHeight="1">
      <x:c r="A665" s="12" t="str">
        <x:v>межбровная морщина ботокс цена nadinity</x:v>
      </x:c>
      <x:c r="B665" s="12" t="str">
        <x:v>https://kozhaclinic.ru/inekcionnaya-kosmetologiya/botulinoterapiya/botulinoterapiya-v-lob-i-mezhbrove/</x:v>
      </x:c>
      <x:c r="C665" s="30" t="n">
        <x:v>0</x:v>
      </x:c>
      <x:c r="D665" s="30" t="n">
        <x:v>0</x:v>
      </x:c>
      <x:c r="E665" s="32" t="str">
        <x:f>IF(AND(ISNUMBER(C665),ISNUMBER(D665),D665&gt;0),C665/D665,"")</x:f>
      </x:c>
      <x:c r="F665" s="34"/>
      <x:c r="G665" s="30" t="n">
        <x:v>1</x:v>
      </x:c>
    </x:row>
    <x:row r="666" ht="42" customHeight="1">
      <x:c r="A666" s="14" t="str">
        <x:v>миграция филлера в губах в слизистую фото</x:v>
      </x:c>
      <x:c r="B666" s="14" t="str">
        <x:v>https://kozhaclinic.ru/migratsiya-gelya-iz-gub/</x:v>
      </x:c>
      <x:c r="C666" s="31" t="n">
        <x:v>0</x:v>
      </x:c>
      <x:c r="D666" s="31" t="n">
        <x:v>5</x:v>
      </x:c>
      <x:c r="E666" s="33" t="n">
        <x:f>IF(AND(ISNUMBER(C666),ISNUMBER(D666),D666&gt;0),C666/D666,"")</x:f>
        <x:v>0</x:v>
      </x:c>
      <x:c r="F666" s="35" t="n">
        <x:v>9.4</x:v>
      </x:c>
      <x:c r="G666" s="31" t="n">
        <x:v>12</x:v>
      </x:c>
    </x:row>
    <x:row r="667" ht="42" customHeight="1">
      <x:c r="A667" s="12" t="str">
        <x:v>морфеус сургут</x:v>
      </x:c>
      <x:c r="B667" s="12" t="str">
        <x:v>https://kozhaclinic.ru/apparatnaya-kosmetologiya/igolchatyy-rf-lifting-na-morpheus-8/</x:v>
      </x:c>
      <x:c r="C667" s="30" t="n">
        <x:v>0</x:v>
      </x:c>
      <x:c r="D667" s="30" t="n">
        <x:v>1</x:v>
      </x:c>
      <x:c r="E667" s="32" t="n">
        <x:f>IF(AND(ISNUMBER(C667),ISNUMBER(D667),D667&gt;0),C667/D667,"")</x:f>
        <x:v>0</x:v>
      </x:c>
      <x:c r="F667" s="34" t="n">
        <x:v>3</x:v>
      </x:c>
      <x:c r="G667" s="30" t="n">
        <x:v>1</x:v>
      </x:c>
    </x:row>
    <x:row r="668" ht="42" customHeight="1">
      <x:c r="A668" s="14" t="str">
        <x:v>салон косметологии сургут</x:v>
      </x:c>
      <x:c r="B668" s="14" t="str">
        <x:v>https://kozhaclinic.ru/</x:v>
      </x:c>
      <x:c r="C668" s="31" t="n">
        <x:v>0</x:v>
      </x:c>
      <x:c r="D668" s="31" t="n">
        <x:v>0</x:v>
      </x:c>
      <x:c r="E668" s="33" t="str">
        <x:f>IF(AND(ISNUMBER(C668),ISNUMBER(D668),D668&gt;0),C668/D668,"")</x:f>
      </x:c>
      <x:c r="F668" s="35"/>
      <x:c r="G668" s="31" t="n">
        <x:v>0</x:v>
      </x:c>
    </x:row>
    <x:row r="669" ht="42" customHeight="1">
      <x:c r="A669" s="12" t="str">
        <x:v>спб косметолог в клинике подружки</x:v>
      </x:c>
      <x:c r="B669" s="12" t="str">
        <x:v>https://kozhaclinic.ru/lazernaya-kosmetologiya/lazernaya-epilyaciya/litsa-dlya-muzhchin/</x:v>
      </x:c>
      <x:c r="C669" s="30" t="n">
        <x:v>0</x:v>
      </x:c>
      <x:c r="D669" s="30" t="n">
        <x:v>0</x:v>
      </x:c>
      <x:c r="E669" s="32" t="str">
        <x:f>IF(AND(ISNUMBER(C669),ISNUMBER(D669),D669&gt;0),C669/D669,"")</x:f>
      </x:c>
      <x:c r="F669" s="34"/>
      <x:c r="G669" s="30" t="n">
        <x:v>1237</x:v>
      </x:c>
    </x:row>
    <x:row r="670" ht="42" customHeight="1">
      <x:c r="A670" s="14" t="str">
        <x:v>трихологи сургут</x:v>
      </x:c>
      <x:c r="B670" s="14" t="str">
        <x:v>https://kozhaclinic.ru/osmotry-i-konsultatsii/konsultatsiya-vracha-trikhologa-s-naznacheniem-plana-protsedur/</x:v>
      </x:c>
      <x:c r="C670" s="31" t="n">
        <x:v>0</x:v>
      </x:c>
      <x:c r="D670" s="31" t="n">
        <x:v>8</x:v>
      </x:c>
      <x:c r="E670" s="33" t="n">
        <x:f>IF(AND(ISNUMBER(C670),ISNUMBER(D670),D670&gt;0),C670/D670,"")</x:f>
        <x:v>0</x:v>
      </x:c>
      <x:c r="F670" s="35" t="n">
        <x:v>11.3</x:v>
      </x:c>
      <x:c r="G670" s="31" t="n">
        <x:v>23</x:v>
      </x:c>
    </x:row>
    <x:row r="671" ht="42" customHeight="1">
      <x:c r="A671" s="12" t="str">
        <x:v>увеличение губы сургут</x:v>
      </x:c>
      <x:c r="B671" s="12" t="str">
        <x:v>https://kozhaclinic.ru/inekcionnaya-kosmetologiya/konturnaya-plastika/uvelichenie-gub/</x:v>
      </x:c>
      <x:c r="C671" s="30" t="n">
        <x:v>0</x:v>
      </x:c>
      <x:c r="D671" s="30" t="n">
        <x:v>2</x:v>
      </x:c>
      <x:c r="E671" s="32" t="n">
        <x:f>IF(AND(ISNUMBER(C671),ISNUMBER(D671),D671&gt;0),C671/D671,"")</x:f>
        <x:v>0</x:v>
      </x:c>
      <x:c r="F671" s="34" t="n">
        <x:v>4.5</x:v>
      </x:c>
      <x:c r="G671" s="30" t="n">
        <x:v>2</x:v>
      </x:c>
    </x:row>
    <x:row r="672" ht="42" customHeight="1">
      <x:c r="A672" s="14" t="str">
        <x:v>удаление бородавки лазером</x:v>
      </x:c>
      <x:c r="B672" s="14" t="str">
        <x:v>https://kozhaclinic.ru/udalenie-novoobrazovanij/udalenie-borodavok/</x:v>
      </x:c>
      <x:c r="C672" s="31" t="n">
        <x:v>0</x:v>
      </x:c>
      <x:c r="D672" s="31" t="n">
        <x:v>3</x:v>
      </x:c>
      <x:c r="E672" s="33" t="n">
        <x:f>IF(AND(ISNUMBER(C672),ISNUMBER(D672),D672&gt;0),C672/D672,"")</x:f>
        <x:v>0</x:v>
      </x:c>
      <x:c r="F672" s="35" t="n">
        <x:v>4.3</x:v>
      </x:c>
      <x:c r="G672" s="31" t="n">
        <x:v>322</x:v>
      </x:c>
    </x:row>
    <x:row r="673" ht="42" customHeight="1">
      <x:c r="A673" s="12" t="str">
        <x:v>удаление бородавок alfa</x:v>
      </x:c>
      <x:c r="B673" s="12" t="str">
        <x:v>https://kozhaclinic.ru/</x:v>
      </x:c>
      <x:c r="C673" s="30" t="n">
        <x:v>0</x:v>
      </x:c>
      <x:c r="D673" s="30" t="n">
        <x:v>2</x:v>
      </x:c>
      <x:c r="E673" s="32" t="n">
        <x:f>IF(AND(ISNUMBER(C673),ISNUMBER(D673),D673&gt;0),C673/D673,"")</x:f>
        <x:v>0</x:v>
      </x:c>
      <x:c r="F673" s="34" t="n">
        <x:v>9</x:v>
      </x:c>
      <x:c r="G673" s="30" t="n">
        <x:v>2</x:v>
      </x:c>
    </x:row>
    <x:row r="674" ht="42" customHeight="1">
      <x:c r="A674" s="14" t="str">
        <x:v>удаление бородавок сургут у детей</x:v>
      </x:c>
      <x:c r="B674" s="14" t="str">
        <x:v>https://kozhaclinic.ru/udalenie-novoobrazovanij/udalenie-borodavok/</x:v>
      </x:c>
      <x:c r="C674" s="31" t="n">
        <x:v>0</x:v>
      </x:c>
      <x:c r="D674" s="31" t="n">
        <x:v>3</x:v>
      </x:c>
      <x:c r="E674" s="33" t="n">
        <x:f>IF(AND(ISNUMBER(C674),ISNUMBER(D674),D674&gt;0),C674/D674,"")</x:f>
        <x:v>0</x:v>
      </x:c>
      <x:c r="F674" s="35" t="n">
        <x:v>10.6</x:v>
      </x:c>
      <x:c r="G674" s="31" t="n">
        <x:v>3</x:v>
      </x:c>
    </x:row>
    <x:row r="675" ht="42" customHeight="1">
      <x:c r="A675" s="12" t="str">
        <x:v>удаление невуса альфа</x:v>
      </x:c>
      <x:c r="B675" s="12" t="str">
        <x:v>https://kozhaclinic.ru/udalenie-novoobrazovanij/</x:v>
      </x:c>
      <x:c r="C675" s="30" t="n">
        <x:v>0</x:v>
      </x:c>
      <x:c r="D675" s="30" t="n">
        <x:v>0</x:v>
      </x:c>
      <x:c r="E675" s="32" t="str">
        <x:f>IF(AND(ISNUMBER(C675),ISNUMBER(D675),D675&gt;0),C675/D675,"")</x:f>
      </x:c>
      <x:c r="F675" s="34"/>
      <x:c r="G675" s="30" t="n">
        <x:v>2</x:v>
      </x:c>
    </x:row>
    <x:row r="676" ht="42" customHeight="1">
      <x:c r="A676" s="14" t="str">
        <x:v>удаление растяжек сургут</x:v>
      </x:c>
      <x:c r="B676" s="14" t="str">
        <x:v>https://kozhaclinic.ru/korrektsiya-rastyazhek/</x:v>
      </x:c>
      <x:c r="C676" s="31" t="n">
        <x:v>0</x:v>
      </x:c>
      <x:c r="D676" s="31" t="n">
        <x:v>8</x:v>
      </x:c>
      <x:c r="E676" s="33" t="n">
        <x:f>IF(AND(ISNUMBER(C676),ISNUMBER(D676),D676&gt;0),C676/D676,"")</x:f>
        <x:v>0</x:v>
      </x:c>
      <x:c r="F676" s="35" t="n">
        <x:v>7.8</x:v>
      </x:c>
      <x:c r="G676" s="31" t="n">
        <x:v>8</x:v>
      </x:c>
    </x:row>
    <x:row r="677" ht="42" customHeight="1">
      <x:c r="A677" s="12" t="str">
        <x:v>удаление родинок лазером alfa</x:v>
      </x:c>
      <x:c r="B677" s="12" t="str">
        <x:v>https://kozhaclinic.ru/udalenie-novoobrazovanij/</x:v>
      </x:c>
      <x:c r="C677" s="30" t="n">
        <x:v>0</x:v>
      </x:c>
      <x:c r="D677" s="30" t="n">
        <x:v>0</x:v>
      </x:c>
      <x:c r="E677" s="32" t="str">
        <x:f>IF(AND(ISNUMBER(C677),ISNUMBER(D677),D677&gt;0),C677/D677,"")</x:f>
      </x:c>
      <x:c r="F677" s="34"/>
      <x:c r="G677" s="30" t="n">
        <x:v>0</x:v>
      </x:c>
    </x:row>
    <x:row r="678" ht="42" customHeight="1">
      <x:c r="A678" s="14" t="str">
        <x:v>удаление сосудов на лице сургут</x:v>
      </x:c>
      <x:c r="B678" s="14" t="str">
        <x:v>https://kozhaclinic.ru/apparatnaya-kosmetologiya/ustranenie-sosudistykh-zvyezdochek-kuperoz/</x:v>
      </x:c>
      <x:c r="C678" s="31" t="n">
        <x:v>0</x:v>
      </x:c>
      <x:c r="D678" s="31" t="n">
        <x:v>0</x:v>
      </x:c>
      <x:c r="E678" s="33" t="str">
        <x:f>IF(AND(ISNUMBER(C678),ISNUMBER(D678),D678&gt;0),C678/D678,"")</x:f>
      </x:c>
      <x:c r="F678" s="35"/>
      <x:c r="G678" s="31" t="n">
        <x:v>0</x:v>
      </x:c>
    </x:row>
    <x:row r="679" ht="42" customHeight="1">
      <x:c r="A679" s="12" t="str">
        <x:v>удалить родинку на лице груда.ru</x:v>
      </x:c>
      <x:c r="B679" s="12" t="str">
        <x:v>https://kozhaclinic.ru/udalenie-novoobrazovanij/udalenie-rodinok/</x:v>
      </x:c>
      <x:c r="C679" s="30" t="n">
        <x:v>0</x:v>
      </x:c>
      <x:c r="D679" s="30" t="n">
        <x:v>0</x:v>
      </x:c>
      <x:c r="E679" s="32" t="str">
        <x:f>IF(AND(ISNUMBER(C679),ISNUMBER(D679),D679&gt;0),C679/D679,"")</x:f>
      </x:c>
      <x:c r="F679" s="34"/>
      <x:c r="G679" s="30" t="n">
        <x:v>0</x:v>
      </x:c>
    </x:row>
    <x:row r="680" ht="42" customHeight="1">
      <x:c r="A680" s="14" t="str">
        <x:v>уходовая процедура сияние кожи</x:v>
      </x:c>
      <x:c r="B680" s="14" t="str">
        <x:v>https://kozhaclinic.ru/gladkost-i-siyanie-kozhi/</x:v>
      </x:c>
      <x:c r="C680" s="31" t="n">
        <x:v>0</x:v>
      </x:c>
      <x:c r="D680" s="31" t="n">
        <x:v>1</x:v>
      </x:c>
      <x:c r="E680" s="33" t="n">
        <x:f>IF(AND(ISNUMBER(C680),ISNUMBER(D680),D680&gt;0),C680/D680,"")</x:f>
        <x:v>0</x:v>
      </x:c>
      <x:c r="F680" s="35" t="n">
        <x:v>5</x:v>
      </x:c>
      <x:c r="G680" s="31" t="n">
        <x:v>1</x:v>
      </x:c>
    </x:row>
    <x:row r="681" ht="42" customHeight="1">
      <x:c r="A681" s="12" t="str">
        <x:v>что значит увлажнить губы в косметологии</x:v>
      </x:c>
      <x:c r="B681" s="12" t="str">
        <x:v>https://kozhaclinic.ru/inekcionnaya-kosmetologiya/konturnaya-plastika/uvlazhnenie-gub/</x:v>
      </x:c>
      <x:c r="C681" s="30" t="n">
        <x:v>0</x:v>
      </x:c>
      <x:c r="D681" s="30" t="n">
        <x:v>2</x:v>
      </x:c>
      <x:c r="E681" s="32" t="n">
        <x:f>IF(AND(ISNUMBER(C681),ISNUMBER(D681),D681&gt;0),C681/D681,"")</x:f>
        <x:v>0</x:v>
      </x:c>
      <x:c r="F681" s="34" t="n">
        <x:v>6</x:v>
      </x:c>
      <x:c r="G681" s="30" t="n">
        <x:v>5</x:v>
      </x:c>
    </x:row>
    <x:row r="682" ht="42" customHeight="1">
      <x:c r="A682" s="14" t="str">
        <x:v>эпиляция сургут лазерная</x:v>
      </x:c>
      <x:c r="B682" s="14" t="str">
        <x:v>https://kozhaclinic.ru/lazernaya-kosmetologiya/lazernaya-epilyaciya/dlya-zhenshchin/</x:v>
      </x:c>
      <x:c r="C682" s="31" t="n">
        <x:v>0</x:v>
      </x:c>
      <x:c r="D682" s="31" t="n">
        <x:v>7</x:v>
      </x:c>
      <x:c r="E682" s="33" t="n">
        <x:f>IF(AND(ISNUMBER(C682),ISNUMBER(D682),D682&gt;0),C682/D682,"")</x:f>
        <x:v>0</x:v>
      </x:c>
      <x:c r="F682" s="35" t="n">
        <x:v>10.2</x:v>
      </x:c>
      <x:c r="G682" s="31" t="n">
        <x:v>8</x:v>
      </x:c>
    </x:row>
    <x:row r="683" ht="42" customHeight="1">
      <x:c r="A683" s="12" t="str">
        <x:v>radiesse</x:v>
      </x:c>
      <x:c r="B683" s="12" t="str">
        <x:v>https://kozhaclinic.ru/inekcionnaya-kosmetologiya/omolozhenie-i-pitanie-kozhi/protsedura-fillerom-radiesse-radiess/</x:v>
      </x:c>
      <x:c r="C683" s="30" t="n">
        <x:v>0</x:v>
      </x:c>
      <x:c r="D683" s="30" t="n">
        <x:v>0</x:v>
      </x:c>
      <x:c r="E683" s="32" t="str">
        <x:f>IF(AND(ISNUMBER(C683),ISNUMBER(D683),D683&gt;0),C683/D683,"")</x:f>
      </x:c>
      <x:c r="F683" s="34"/>
      <x:c r="G683" s="30" t="n">
        <x:v>1318</x:v>
      </x:c>
    </x:row>
    <x:row r="684" ht="42" customHeight="1">
      <x:c r="A684" s="14" t="str">
        <x:v>ботокс для лица сургут</x:v>
      </x:c>
      <x:c r="B684" s="14" t="str">
        <x:v>https://kozhaclinic.ru/inekcionnaya-kosmetologiya/botulinoterapiya/</x:v>
      </x:c>
      <x:c r="C684" s="31" t="n">
        <x:v>0</x:v>
      </x:c>
      <x:c r="D684" s="31" t="n">
        <x:v>0</x:v>
      </x:c>
      <x:c r="E684" s="33" t="str">
        <x:f>IF(AND(ISNUMBER(C684),ISNUMBER(D684),D684&gt;0),C684/D684,"")</x:f>
      </x:c>
      <x:c r="F684" s="35"/>
      <x:c r="G684" s="31" t="n">
        <x:v>0</x:v>
      </x:c>
    </x:row>
    <x:row r="685" ht="42" customHeight="1">
      <x:c r="A685" s="12" t="str">
        <x:v>ботулинотерапия лоб и межбровье</x:v>
      </x:c>
      <x:c r="B685" s="12" t="str">
        <x:v>https://kozhaclinic.ru/inekcionnaya-kosmetologiya/botulinoterapiya/botulinoterapiya-v-lob-i-mezhbrove/</x:v>
      </x:c>
      <x:c r="C685" s="30" t="n">
        <x:v>0</x:v>
      </x:c>
      <x:c r="D685" s="30" t="n">
        <x:v>0</x:v>
      </x:c>
      <x:c r="E685" s="32" t="str">
        <x:f>IF(AND(ISNUMBER(C685),ISNUMBER(D685),D685&gt;0),C685/D685,"")</x:f>
      </x:c>
      <x:c r="F685" s="34"/>
      <x:c r="G685" s="30" t="n">
        <x:v>34</x:v>
      </x:c>
    </x:row>
    <x:row r="686" ht="42" customHeight="1">
      <x:c r="A686" s="14" t="str">
        <x:v>гель в губах мигрировал в слизистую</x:v>
      </x:c>
      <x:c r="B686" s="14" t="str">
        <x:v>https://kozhaclinic.ru/migratsiya-gelya-iz-gub/</x:v>
      </x:c>
      <x:c r="C686" s="31" t="n">
        <x:v>0</x:v>
      </x:c>
      <x:c r="D686" s="31" t="n">
        <x:v>1</x:v>
      </x:c>
      <x:c r="E686" s="33" t="n">
        <x:f>IF(AND(ISNUMBER(C686),ISNUMBER(D686),D686&gt;0),C686/D686,"")</x:f>
        <x:v>0</x:v>
      </x:c>
      <x:c r="F686" s="35" t="n">
        <x:v>13</x:v>
      </x:c>
      <x:c r="G686" s="31" t="n">
        <x:v>1</x:v>
      </x:c>
    </x:row>
    <x:row r="687" ht="42" customHeight="1">
      <x:c r="A687" s="12" t="str">
        <x:v>губы мигрировали</x:v>
      </x:c>
      <x:c r="B687" s="12" t="str">
        <x:v>https://kozhaclinic.ru/migratsiya-gelya-iz-gub/</x:v>
      </x:c>
      <x:c r="C687" s="30" t="n">
        <x:v>0</x:v>
      </x:c>
      <x:c r="D687" s="30" t="n">
        <x:v>3</x:v>
      </x:c>
      <x:c r="E687" s="32" t="n">
        <x:f>IF(AND(ISNUMBER(C687),ISNUMBER(D687),D687&gt;0),C687/D687,"")</x:f>
        <x:v>0</x:v>
      </x:c>
      <x:c r="F687" s="34" t="n">
        <x:v>5.3</x:v>
      </x:c>
      <x:c r="G687" s="30" t="n">
        <x:v>4</x:v>
      </x:c>
    </x:row>
    <x:row r="688" ht="42" customHeight="1">
      <x:c r="A688" s="14" t="str">
        <x:v>игольчатый rf morpheus 8</x:v>
      </x:c>
      <x:c r="B688" s="14" t="str">
        <x:v>https://kozhaclinic.ru/apparatnaya-kosmetologiya/igolchatyy-rf-lifting-na-morpheus-8/</x:v>
      </x:c>
      <x:c r="C688" s="31" t="n">
        <x:v>0</x:v>
      </x:c>
      <x:c r="D688" s="31" t="n">
        <x:v>0</x:v>
      </x:c>
      <x:c r="E688" s="33" t="str">
        <x:f>IF(AND(ISNUMBER(C688),ISNUMBER(D688),D688&gt;0),C688/D688,"")</x:f>
      </x:c>
      <x:c r="F688" s="35"/>
      <x:c r="G688" s="31" t="n">
        <x:v>12</x:v>
      </x:c>
    </x:row>
    <x:row r="689" ht="42" customHeight="1">
      <x:c r="A689" s="12" t="str">
        <x:v>игольчатый рф-лифтинг</x:v>
      </x:c>
      <x:c r="B689" s="12" t="str">
        <x:v>https://kozhaclinic.ru/apparatnaya-kosmetologiya/igolchatyy-rf-lifting-na-morpheus-8/</x:v>
      </x:c>
      <x:c r="C689" s="30" t="n">
        <x:v>0</x:v>
      </x:c>
      <x:c r="D689" s="30" t="n">
        <x:v>4</x:v>
      </x:c>
      <x:c r="E689" s="32" t="n">
        <x:f>IF(AND(ISNUMBER(C689),ISNUMBER(D689),D689&gt;0),C689/D689,"")</x:f>
        <x:v>0</x:v>
      </x:c>
      <x:c r="F689" s="34" t="n">
        <x:v>6.7</x:v>
      </x:c>
      <x:c r="G689" s="30" t="n">
        <x:v>422</x:v>
      </x:c>
    </x:row>
    <x:row r="690" ht="42" customHeight="1">
      <x:c r="A690" s="14" t="str">
        <x:v>как выглядит мигрирующий филлер в губах</x:v>
      </x:c>
      <x:c r="B690" s="14" t="str">
        <x:v>https://kozhaclinic.ru/migratsiya-gelya-iz-gub/</x:v>
      </x:c>
      <x:c r="C690" s="31" t="n">
        <x:v>0</x:v>
      </x:c>
      <x:c r="D690" s="31" t="n">
        <x:v>0</x:v>
      </x:c>
      <x:c r="E690" s="33" t="str">
        <x:f>IF(AND(ISNUMBER(C690),ISNUMBER(D690),D690&gt;0),C690/D690,"")</x:f>
      </x:c>
      <x:c r="F690" s="35"/>
      <x:c r="G690" s="31" t="n">
        <x:v>14</x:v>
      </x:c>
    </x:row>
    <x:row r="691" ht="42" customHeight="1">
      <x:c r="A691" s="12" t="str">
        <x:v>как понять что гель мигрировал из губ</x:v>
      </x:c>
      <x:c r="B691" s="12" t="str">
        <x:v>https://kozhaclinic.ru/migratsiya-gelya-iz-gub/</x:v>
      </x:c>
      <x:c r="C691" s="30" t="n">
        <x:v>0</x:v>
      </x:c>
      <x:c r="D691" s="30" t="n">
        <x:v>7</x:v>
      </x:c>
      <x:c r="E691" s="32" t="n">
        <x:f>IF(AND(ISNUMBER(C691),ISNUMBER(D691),D691&gt;0),C691/D691,"")</x:f>
        <x:v>0</x:v>
      </x:c>
      <x:c r="F691" s="34" t="n">
        <x:v>7.5</x:v>
      </x:c>
      <x:c r="G691" s="30" t="n">
        <x:v>7</x:v>
      </x:c>
    </x:row>
    <x:row r="692" ht="42" customHeight="1">
      <x:c r="A692" s="14" t="str">
        <x:v>клиники красоты сургут</x:v>
      </x:c>
      <x:c r="B692" s="14" t="str">
        <x:v>https://kozhaclinic.ru/</x:v>
      </x:c>
      <x:c r="C692" s="31" t="n">
        <x:v>0</x:v>
      </x:c>
      <x:c r="D692" s="31" t="n">
        <x:v>1</x:v>
      </x:c>
      <x:c r="E692" s="33" t="n">
        <x:f>IF(AND(ISNUMBER(C692),ISNUMBER(D692),D692&gt;0),C692/D692,"")</x:f>
        <x:v>0</x:v>
      </x:c>
      <x:c r="F692" s="35" t="n">
        <x:v>7</x:v>
      </x:c>
      <x:c r="G692" s="31" t="n">
        <x:v>1</x:v>
      </x:c>
    </x:row>
    <x:row r="693" ht="42" customHeight="1">
      <x:c r="A693" s="12" t="str">
        <x:v>кожа клиник сургут</x:v>
      </x:c>
      <x:c r="B693" s="12" t="str">
        <x:v>https://kozhaclinic.ru/</x:v>
      </x:c>
      <x:c r="C693" s="30" t="n">
        <x:v>1</x:v>
      </x:c>
      <x:c r="D693" s="30" t="n">
        <x:v>2</x:v>
      </x:c>
      <x:c r="E693" s="32" t="n">
        <x:f>IF(AND(ISNUMBER(C693),ISNUMBER(D693),D693&gt;0),C693/D693,"")</x:f>
        <x:v>0.5</x:v>
      </x:c>
      <x:c r="F693" s="34" t="n">
        <x:v>2</x:v>
      </x:c>
      <x:c r="G693" s="30" t="n">
        <x:v>1</x:v>
      </x:c>
    </x:row>
    <x:row r="694" ht="42" customHeight="1">
      <x:c r="A694" s="14" t="str">
        <x:v>комбинированная чистка лица</x:v>
      </x:c>
      <x:c r="B694" s="14" t="str">
        <x:v>https://kozhaclinic.ru/uhodovye-procedury/chistki-litsa-i-spiny/kombinirovannaya-chistka/</x:v>
      </x:c>
      <x:c r="C694" s="31" t="n">
        <x:v>0</x:v>
      </x:c>
      <x:c r="D694" s="31" t="n">
        <x:v>2</x:v>
      </x:c>
      <x:c r="E694" s="33" t="n">
        <x:f>IF(AND(ISNUMBER(C694),ISNUMBER(D694),D694&gt;0),C694/D694,"")</x:f>
        <x:v>0</x:v>
      </x:c>
      <x:c r="F694" s="35" t="n">
        <x:v>9</x:v>
      </x:c>
      <x:c r="G694" s="31" t="n">
        <x:v>3894</x:v>
      </x:c>
    </x:row>
    <x:row r="695" ht="42" customHeight="1">
      <x:c r="A695" s="12" t="str">
        <x:v>косметология на ленина сургут</x:v>
      </x:c>
      <x:c r="B695" s="12" t="str">
        <x:v>https://kozhaclinic.ru/</x:v>
      </x:c>
      <x:c r="C695" s="30" t="n">
        <x:v>0</x:v>
      </x:c>
      <x:c r="D695" s="30" t="n">
        <x:v>0</x:v>
      </x:c>
      <x:c r="E695" s="32" t="str">
        <x:f>IF(AND(ISNUMBER(C695),ISNUMBER(D695),D695&gt;0),C695/D695,"")</x:f>
      </x:c>
      <x:c r="F695" s="34"/>
      <x:c r="G695" s="30" t="n">
        <x:v>0</x:v>
      </x:c>
    </x:row>
    <x:row r="696" ht="42" customHeight="1">
      <x:c r="A696" s="14" t="str">
        <x:v>косметология сургут на ленина</x:v>
      </x:c>
      <x:c r="B696" s="14" t="str">
        <x:v>https://kozhaclinic.ru/</x:v>
      </x:c>
      <x:c r="C696" s="31" t="n">
        <x:v>0</x:v>
      </x:c>
      <x:c r="D696" s="31" t="n">
        <x:v>0</x:v>
      </x:c>
      <x:c r="E696" s="33" t="str">
        <x:f>IF(AND(ISNUMBER(C696),ISNUMBER(D696),D696&gt;0),C696/D696,"")</x:f>
      </x:c>
      <x:c r="F696" s="35"/>
      <x:c r="G696" s="31" t="n">
        <x:v>0</x:v>
      </x:c>
    </x:row>
    <x:row r="697" ht="42" customHeight="1">
      <x:c r="A697" s="12" t="str">
        <x:v>липолитик сургут</x:v>
      </x:c>
      <x:c r="B697" s="12" t="str">
        <x:v>https://kozhaclinic.ru/inekcionnaya-kosmetologiya/lipolitiki/</x:v>
      </x:c>
      <x:c r="C697" s="30" t="n">
        <x:v>0</x:v>
      </x:c>
      <x:c r="D697" s="30" t="n">
        <x:v>4</x:v>
      </x:c>
      <x:c r="E697" s="32" t="n">
        <x:f>IF(AND(ISNUMBER(C697),ISNUMBER(D697),D697&gt;0),C697/D697,"")</x:f>
        <x:v>0</x:v>
      </x:c>
      <x:c r="F697" s="34" t="n">
        <x:v>8</x:v>
      </x:c>
      <x:c r="G697" s="30" t="n">
        <x:v>6</x:v>
      </x:c>
    </x:row>
    <x:row r="698" ht="42" customHeight="1">
      <x:c r="A698" s="14" t="str">
        <x:v>миграция филлеров в губах</x:v>
      </x:c>
      <x:c r="B698" s="14" t="str">
        <x:v>https://kozhaclinic.ru/migratsiya-gelya-iz-gub/</x:v>
      </x:c>
      <x:c r="C698" s="31" t="n">
        <x:v>0</x:v>
      </x:c>
      <x:c r="D698" s="31" t="n">
        <x:v>3</x:v>
      </x:c>
      <x:c r="E698" s="33" t="n">
        <x:f>IF(AND(ISNUMBER(C698),ISNUMBER(D698),D698&gt;0),C698/D698,"")</x:f>
        <x:v>0</x:v>
      </x:c>
      <x:c r="F698" s="35" t="n">
        <x:v>6</x:v>
      </x:c>
      <x:c r="G698" s="31" t="n">
        <x:v>4</x:v>
      </x:c>
    </x:row>
    <x:row r="699" ht="42" customHeight="1">
      <x:c r="A699" s="12" t="str">
        <x:v>мигрирует ли гиалуроновая кислота на губах</x:v>
      </x:c>
      <x:c r="B699" s="12" t="str">
        <x:v>https://kozhaclinic.ru/migratsiya-gelya-iz-gub/</x:v>
      </x:c>
      <x:c r="C699" s="30" t="n">
        <x:v>0</x:v>
      </x:c>
      <x:c r="D699" s="30" t="n">
        <x:v>4</x:v>
      </x:c>
      <x:c r="E699" s="32" t="n">
        <x:f>IF(AND(ISNUMBER(C699),ISNUMBER(D699),D699&gt;0),C699/D699,"")</x:f>
        <x:v>0</x:v>
      </x:c>
      <x:c r="F699" s="34" t="n">
        <x:v>7</x:v>
      </x:c>
      <x:c r="G699" s="30" t="n">
        <x:v>7</x:v>
      </x:c>
    </x:row>
    <x:row r="700" ht="42" customHeight="1">
      <x:c r="A700" s="14" t="str">
        <x:v>может ли гель вытекать из губ</x:v>
      </x:c>
      <x:c r="B700" s="14" t="str">
        <x:v>https://kozhaclinic.ru/migratsiya-gelya-iz-gub/</x:v>
      </x:c>
      <x:c r="C700" s="31" t="n">
        <x:v>0</x:v>
      </x:c>
      <x:c r="D700" s="31" t="n">
        <x:v>9</x:v>
      </x:c>
      <x:c r="E700" s="33" t="n">
        <x:f>IF(AND(ISNUMBER(C700),ISNUMBER(D700),D700&gt;0),C700/D700,"")</x:f>
        <x:v>0</x:v>
      </x:c>
      <x:c r="F700" s="35" t="n">
        <x:v>8.3</x:v>
      </x:c>
      <x:c r="G700" s="31" t="n">
        <x:v>9</x:v>
      </x:c>
    </x:row>
    <x:row r="701" ht="42" customHeight="1">
      <x:c r="A701" s="12" t="str">
        <x:v>плазмотерапия волос сургут</x:v>
      </x:c>
      <x:c r="B701" s="12" t="str">
        <x:v>https://kozhaclinic.ru/inekcionnaya-kosmetologiya/omolozhenie-i-pitanie-kozhi/plazmolifting-dlya-volos/</x:v>
      </x:c>
      <x:c r="C701" s="30" t="n">
        <x:v>0</x:v>
      </x:c>
      <x:c r="D701" s="30" t="n">
        <x:v>0</x:v>
      </x:c>
      <x:c r="E701" s="32" t="str">
        <x:f>IF(AND(ISNUMBER(C701),ISNUMBER(D701),D701&gt;0),C701/D701,"")</x:f>
      </x:c>
      <x:c r="F701" s="34"/>
      <x:c r="G701" s="30" t="n">
        <x:v>0</x:v>
      </x:c>
    </x:row>
    <x:row r="702" ht="42" customHeight="1">
      <x:c r="A702" s="14" t="str">
        <x:v>прижечь бородавку сургут</x:v>
      </x:c>
      <x:c r="B702" s="14" t="str">
        <x:v>https://kozhaclinic.ru/udalenie-novoobrazovanij/udalenie-borodavok/</x:v>
      </x:c>
      <x:c r="C702" s="31" t="n">
        <x:v>0</x:v>
      </x:c>
      <x:c r="D702" s="31" t="n">
        <x:v>0</x:v>
      </x:c>
      <x:c r="E702" s="33" t="str">
        <x:f>IF(AND(ISNUMBER(C702),ISNUMBER(D702),D702&gt;0),C702/D702,"")</x:f>
      </x:c>
      <x:c r="F702" s="35"/>
      <x:c r="G702" s="31" t="n">
        <x:v>0</x:v>
      </x:c>
    </x:row>
    <x:row r="703" ht="42" customHeight="1">
      <x:c r="A703" s="12" t="str">
        <x:v>рф игольчатый сургут</x:v>
      </x:c>
      <x:c r="B703" s="12" t="str">
        <x:v>https://kozhaclinic.ru/apparatnaya-kosmetologiya/igolchatyy-rf-lifting-na-morpheus-8/</x:v>
      </x:c>
      <x:c r="C703" s="30" t="n">
        <x:v>0</x:v>
      </x:c>
      <x:c r="D703" s="30" t="n">
        <x:v>2</x:v>
      </x:c>
      <x:c r="E703" s="32" t="n">
        <x:f>IF(AND(ISNUMBER(C703),ISNUMBER(D703),D703&gt;0),C703/D703,"")</x:f>
        <x:v>0</x:v>
      </x:c>
      <x:c r="F703" s="34" t="n">
        <x:v>4.5</x:v>
      </x:c>
      <x:c r="G703" s="30" t="n">
        <x:v>2</x:v>
      </x:c>
    </x:row>
    <x:row r="704" ht="42" customHeight="1">
      <x:c r="A704" s="14" t="str">
        <x:v>сколько стоит удалить родинку на лице</x:v>
      </x:c>
      <x:c r="B704" s="14" t="str">
        <x:v>https://kozhaclinic.ru/udalenie-novoobrazovanij/udalenie-rodinok/</x:v>
      </x:c>
      <x:c r="C704" s="31" t="n">
        <x:v>0</x:v>
      </x:c>
      <x:c r="D704" s="31" t="n">
        <x:v>3</x:v>
      </x:c>
      <x:c r="E704" s="33" t="n">
        <x:f>IF(AND(ISNUMBER(C704),ISNUMBER(D704),D704&gt;0),C704/D704,"")</x:f>
        <x:v>0</x:v>
      </x:c>
      <x:c r="F704" s="35" t="n">
        <x:v>6.3</x:v>
      </x:c>
      <x:c r="G704" s="31" t="n">
        <x:v>823</x:v>
      </x:c>
    </x:row>
    <x:row r="705" ht="42" customHeight="1">
      <x:c r="A705" s="12" t="str">
        <x:v>убрать папилломы в сургуте</x:v>
      </x:c>
      <x:c r="B705" s="12" t="str">
        <x:v>https://kozhaclinic.ru/udalenie-novoobrazovanij/udalenie-papilom/</x:v>
      </x:c>
      <x:c r="C705" s="30" t="n">
        <x:v>0</x:v>
      </x:c>
      <x:c r="D705" s="30" t="n">
        <x:v>1</x:v>
      </x:c>
      <x:c r="E705" s="32" t="n">
        <x:f>IF(AND(ISNUMBER(C705),ISNUMBER(D705),D705&gt;0),C705/D705,"")</x:f>
        <x:v>0</x:v>
      </x:c>
      <x:c r="F705" s="34" t="n">
        <x:v>3</x:v>
      </x:c>
      <x:c r="G705" s="30" t="n">
        <x:v>1</x:v>
      </x:c>
    </x:row>
    <x:row r="706" ht="42" customHeight="1">
      <x:c r="A706" s="14" t="str">
        <x:v>увеличение губ миграция</x:v>
      </x:c>
      <x:c r="B706" s="14" t="str">
        <x:v>https://kozhaclinic.ru/migratsiya-gelya-iz-gub/</x:v>
      </x:c>
      <x:c r="C706" s="31" t="n">
        <x:v>0</x:v>
      </x:c>
      <x:c r="D706" s="31" t="n">
        <x:v>4</x:v>
      </x:c>
      <x:c r="E706" s="33" t="n">
        <x:f>IF(AND(ISNUMBER(C706),ISNUMBER(D706),D706&gt;0),C706/D706,"")</x:f>
        <x:v>0</x:v>
      </x:c>
      <x:c r="F706" s="35" t="n">
        <x:v>10.2</x:v>
      </x:c>
      <x:c r="G706" s="31" t="n">
        <x:v>5</x:v>
      </x:c>
    </x:row>
    <x:row r="707" ht="42" customHeight="1">
      <x:c r="A707" s="12" t="str">
        <x:v>удалить бородавки в сургуте</x:v>
      </x:c>
      <x:c r="B707" s="12" t="str">
        <x:v>https://kozhaclinic.ru/udalenie-novoobrazovanij/udalenie-borodavok/</x:v>
      </x:c>
      <x:c r="C707" s="30" t="n">
        <x:v>0</x:v>
      </x:c>
      <x:c r="D707" s="30" t="n">
        <x:v>1</x:v>
      </x:c>
      <x:c r="E707" s="32" t="n">
        <x:f>IF(AND(ISNUMBER(C707),ISNUMBER(D707),D707&gt;0),C707/D707,"")</x:f>
        <x:v>0</x:v>
      </x:c>
      <x:c r="F707" s="34" t="n">
        <x:v>4</x:v>
      </x:c>
      <x:c r="G707" s="30" t="n">
        <x:v>1</x:v>
      </x:c>
    </x:row>
    <x:row r="708" ht="42" customHeight="1">
      <x:c r="A708" s="14" t="str">
        <x:v>филлеры в брыли до и после</x:v>
      </x:c>
      <x:c r="B708" s="14" t="str">
        <x:v>https://kozhaclinic.ru/ubrat-bryli/</x:v>
      </x:c>
      <x:c r="C708" s="31" t="n">
        <x:v>0</x:v>
      </x:c>
      <x:c r="D708" s="31" t="n">
        <x:v>9</x:v>
      </x:c>
      <x:c r="E708" s="33" t="n">
        <x:f>IF(AND(ISNUMBER(C708),ISNUMBER(D708),D708&gt;0),C708/D708,"")</x:f>
        <x:v>0</x:v>
      </x:c>
      <x:c r="F708" s="35" t="n">
        <x:v>7.8</x:v>
      </x:c>
      <x:c r="G708" s="31" t="n">
        <x:v>12</x:v>
      </x:c>
    </x:row>
    <x:row r="709" ht="42" customHeight="1">
      <x:c r="A709" s="12" t="str">
        <x:v>фототерапия в сургуте</x:v>
      </x:c>
      <x:c r="B709" s="12" t="str">
        <x:v>https://kozhaclinic.ru/apparatnaya-kosmetologiya/fotoomolozhenie-inmode/</x:v>
      </x:c>
      <x:c r="C709" s="30" t="n">
        <x:v>0</x:v>
      </x:c>
      <x:c r="D709" s="30" t="n">
        <x:v>6</x:v>
      </x:c>
      <x:c r="E709" s="32" t="n">
        <x:f>IF(AND(ISNUMBER(C709),ISNUMBER(D709),D709&gt;0),C709/D709,"")</x:f>
        <x:v>0</x:v>
      </x:c>
      <x:c r="F709" s="34" t="n">
        <x:v>6.5</x:v>
      </x:c>
      <x:c r="G709" s="30" t="n">
        <x:v>6</x:v>
      </x:c>
    </x:row>
    <x:row r="710" ht="42" customHeight="1">
      <x:c r="A710" s="14" t="str">
        <x:v>что значит миграция филлера в губах</x:v>
      </x:c>
      <x:c r="B710" s="14" t="str">
        <x:v>https://kozhaclinic.ru/migratsiya-gelya-iz-gub/</x:v>
      </x:c>
      <x:c r="C710" s="31" t="n">
        <x:v>0</x:v>
      </x:c>
      <x:c r="D710" s="31" t="n">
        <x:v>1</x:v>
      </x:c>
      <x:c r="E710" s="33" t="n">
        <x:f>IF(AND(ISNUMBER(C710),ISNUMBER(D710),D710&gt;0),C710/D710,"")</x:f>
        <x:v>0</x:v>
      </x:c>
      <x:c r="F710" s="35" t="n">
        <x:v>7</x:v>
      </x:c>
      <x:c r="G710" s="31" t="n">
        <x:v>3</x:v>
      </x:c>
    </x:row>
    <x:row r="711" ht="42" customHeight="1">
      <x:c r="A711" s="12" t="str">
        <x:v>шкуры сургута</x:v>
      </x:c>
      <x:c r="B711" s="12" t="str">
        <x:v>https://kozhaclinic.ru/</x:v>
      </x:c>
      <x:c r="C711" s="30" t="n">
        <x:v>0</x:v>
      </x:c>
      <x:c r="D711" s="30" t="n">
        <x:v>0</x:v>
      </x:c>
      <x:c r="E711" s="32" t="str">
        <x:f>IF(AND(ISNUMBER(C711),ISNUMBER(D711),D711&gt;0),C711/D711,"")</x:f>
      </x:c>
      <x:c r="F711" s="34"/>
      <x:c r="G711" s="30" t="n">
        <x:v>7</x:v>
      </x:c>
    </x:row>
    <x:row r="712" ht="42" customHeight="1">
      <x:c r="A712" s="14" t="str">
        <x:v>эстетическая косметология</x:v>
      </x:c>
      <x:c r="B712" s="14" t="str">
        <x:v>https://kozhaclinic.ru/</x:v>
      </x:c>
      <x:c r="C712" s="31" t="n">
        <x:v>0</x:v>
      </x:c>
      <x:c r="D712" s="31" t="n">
        <x:v>0</x:v>
      </x:c>
      <x:c r="E712" s="33" t="str">
        <x:f>IF(AND(ISNUMBER(C712),ISNUMBER(D712),D712&gt;0),C712/D712,"")</x:f>
      </x:c>
      <x:c r="F712" s="35"/>
      <x:c r="G712" s="31" t="n">
        <x:v>1597</x:v>
      </x:c>
    </x:row>
    <x:row r="713" ht="42" customHeight="1">
      <x:c r="A713" s="12" t="str">
        <x:v>plinest сургут</x:v>
      </x:c>
      <x:c r="B713" s="12" t="str">
        <x:v>https://kozhaclinic.ru/inekcionnaya-kosmetologiya/omolozhenie-i-pitanie-kozhi/biorevitalizatsiya/</x:v>
      </x:c>
      <x:c r="C713" s="30" t="n">
        <x:v>0</x:v>
      </x:c>
      <x:c r="D713" s="30" t="n">
        <x:v>0</x:v>
      </x:c>
      <x:c r="E713" s="32" t="str">
        <x:f>IF(AND(ISNUMBER(C713),ISNUMBER(D713),D713&gt;0),C713/D713,"")</x:f>
      </x:c>
      <x:c r="F713" s="34"/>
      <x:c r="G713" s="30" t="n">
        <x:v>2</x:v>
      </x:c>
    </x:row>
    <x:row r="714" ht="42" customHeight="1">
      <x:c r="A714" s="14" t="str">
        <x:v>антикуперозная программа для лица что это такое</x:v>
      </x:c>
      <x:c r="B714" s="14" t="str">
        <x:v>https://kozhaclinic.ru/uhodovye-procedury/antikuperoznaya-programma-holy-land/</x:v>
      </x:c>
      <x:c r="C714" s="31" t="n">
        <x:v>1</x:v>
      </x:c>
      <x:c r="D714" s="31" t="n">
        <x:v>13</x:v>
      </x:c>
      <x:c r="E714" s="33" t="n">
        <x:f>IF(AND(ISNUMBER(C714),ISNUMBER(D714),D714&gt;0),C714/D714,"")</x:f>
        <x:v>0.07692307692307693</x:v>
      </x:c>
      <x:c r="F714" s="35" t="n">
        <x:v>6.5</x:v>
      </x:c>
      <x:c r="G714" s="31" t="n">
        <x:v>22</x:v>
      </x:c>
    </x:row>
    <x:row r="715" ht="42" customHeight="1">
      <x:c r="A715" s="12" t="str">
        <x:v>врач косметолог club-soprano.ru/services/priem-vracha-kosmetologa/</x:v>
      </x:c>
      <x:c r="B715" s="12" t="str">
        <x:v>https://kozhaclinic.ru/osmotry-i-konsultatsii/konsultatsiya-vracha-kosmetologa-s-naznacheniem-plana-protsedur/</x:v>
      </x:c>
      <x:c r="C715" s="30" t="n">
        <x:v>0</x:v>
      </x:c>
      <x:c r="D715" s="30" t="n">
        <x:v>2</x:v>
      </x:c>
      <x:c r="E715" s="32" t="n">
        <x:f>IF(AND(ISNUMBER(C715),ISNUMBER(D715),D715&gt;0),C715/D715,"")</x:f>
        <x:v>0</x:v>
      </x:c>
      <x:c r="F715" s="34" t="n">
        <x:v>8</x:v>
      </x:c>
      <x:c r="G715" s="30" t="n">
        <x:v>8</x:v>
      </x:c>
    </x:row>
    <x:row r="716" ht="42" customHeight="1">
      <x:c r="A716" s="14" t="str">
        <x:v>где в сургуте можно удалить родинку</x:v>
      </x:c>
      <x:c r="B716" s="14" t="str">
        <x:v>https://kozhaclinic.ru/udalenie-novoobrazovanij/udalenie-rodinok/</x:v>
      </x:c>
      <x:c r="C716" s="31" t="n">
        <x:v>0</x:v>
      </x:c>
      <x:c r="D716" s="31" t="n">
        <x:v>0</x:v>
      </x:c>
      <x:c r="E716" s="33" t="str">
        <x:f>IF(AND(ISNUMBER(C716),ISNUMBER(D716),D716&gt;0),C716/D716,"")</x:f>
      </x:c>
      <x:c r="F716" s="35"/>
      <x:c r="G716" s="31" t="n">
        <x:v>0</x:v>
      </x:c>
    </x:row>
    <x:row r="717" ht="42" customHeight="1">
      <x:c r="A717" s="12" t="str">
        <x:v>где в сургуте удалить папилломы</x:v>
      </x:c>
      <x:c r="B717" s="12" t="str">
        <x:v>https://kozhaclinic.ru/udalenie-novoobrazovanij/udalenie-papilom/</x:v>
      </x:c>
      <x:c r="C717" s="30" t="n">
        <x:v>0</x:v>
      </x:c>
      <x:c r="D717" s="30" t="n">
        <x:v>1</x:v>
      </x:c>
      <x:c r="E717" s="32" t="n">
        <x:f>IF(AND(ISNUMBER(C717),ISNUMBER(D717),D717&gt;0),C717/D717,"")</x:f>
        <x:v>0</x:v>
      </x:c>
      <x:c r="F717" s="34" t="n">
        <x:v>6</x:v>
      </x:c>
      <x:c r="G717" s="30" t="n">
        <x:v>1</x:v>
      </x:c>
    </x:row>
    <x:row r="718" ht="42" customHeight="1">
      <x:c r="A718" s="14" t="str">
        <x:v>где удалить родинку в сургуте</x:v>
      </x:c>
      <x:c r="B718" s="14" t="str">
        <x:v>https://kozhaclinic.ru/udalenie-novoobrazovanij/</x:v>
      </x:c>
      <x:c r="C718" s="31" t="n">
        <x:v>0</x:v>
      </x:c>
      <x:c r="D718" s="31" t="n">
        <x:v>0</x:v>
      </x:c>
      <x:c r="E718" s="33" t="str">
        <x:f>IF(AND(ISNUMBER(C718),ISNUMBER(D718),D718&gt;0),C718/D718,"")</x:f>
      </x:c>
      <x:c r="F718" s="35"/>
      <x:c r="G718" s="31" t="n">
        <x:v>0</x:v>
      </x:c>
    </x:row>
    <x:row r="719" ht="42" customHeight="1">
      <x:c r="A719" s="12" t="str">
        <x:v>инъекционная косметология diamed86</x:v>
      </x:c>
      <x:c r="B719" s="12" t="str">
        <x:v>https://kozhaclinic.ru/inekcionnaya-kosmetologiya/</x:v>
      </x:c>
      <x:c r="C719" s="30" t="n">
        <x:v>0</x:v>
      </x:c>
      <x:c r="D719" s="30" t="n">
        <x:v>0</x:v>
      </x:c>
      <x:c r="E719" s="32" t="str">
        <x:f>IF(AND(ISNUMBER(C719),ISNUMBER(D719),D719&gt;0),C719/D719,"")</x:f>
      </x:c>
      <x:c r="F719" s="34"/>
      <x:c r="G719" s="30" t="n">
        <x:v>0</x:v>
      </x:c>
    </x:row>
    <x:row r="720" ht="42" customHeight="1">
      <x:c r="A720" s="14" t="str">
        <x:v>клиника красоты сургут</x:v>
      </x:c>
      <x:c r="B720" s="14" t="str">
        <x:v>https://kozhaclinic.ru/</x:v>
      </x:c>
      <x:c r="C720" s="31" t="n">
        <x:v>0</x:v>
      </x:c>
      <x:c r="D720" s="31" t="n">
        <x:v>2</x:v>
      </x:c>
      <x:c r="E720" s="33" t="n">
        <x:f>IF(AND(ISNUMBER(C720),ISNUMBER(D720),D720&gt;0),C720/D720,"")</x:f>
        <x:v>0</x:v>
      </x:c>
      <x:c r="F720" s="35" t="n">
        <x:v>6.5</x:v>
      </x:c>
      <x:c r="G720" s="31" t="n">
        <x:v>2</x:v>
      </x:c>
    </x:row>
    <x:row r="721" ht="42" customHeight="1">
      <x:c r="A721" s="12" t="str">
        <x:v>клиники косметологии в сургуте</x:v>
      </x:c>
      <x:c r="B721" s="12" t="str">
        <x:v>https://kozhaclinic.ru/</x:v>
      </x:c>
      <x:c r="C721" s="30" t="n">
        <x:v>0</x:v>
      </x:c>
      <x:c r="D721" s="30" t="n">
        <x:v>0</x:v>
      </x:c>
      <x:c r="E721" s="32" t="str">
        <x:f>IF(AND(ISNUMBER(C721),ISNUMBER(D721),D721&gt;0),C721/D721,"")</x:f>
      </x:c>
      <x:c r="F721" s="34"/>
      <x:c r="G721" s="30" t="n">
        <x:v>0</x:v>
      </x:c>
    </x:row>
    <x:row r="722" ht="42" customHeight="1">
      <x:c r="A722" s="14" t="str">
        <x:v>кожа ленина 18</x:v>
      </x:c>
      <x:c r="B722" s="14" t="str">
        <x:v>https://kozhaclinic.ru/</x:v>
      </x:c>
      <x:c r="C722" s="31" t="n">
        <x:v>2</x:v>
      </x:c>
      <x:c r="D722" s="31" t="n">
        <x:v>4</x:v>
      </x:c>
      <x:c r="E722" s="33" t="n">
        <x:f>IF(AND(ISNUMBER(C722),ISNUMBER(D722),D722&gt;0),C722/D722,"")</x:f>
        <x:v>0.5</x:v>
      </x:c>
      <x:c r="F722" s="35" t="n">
        <x:v>1.5</x:v>
      </x:c>
      <x:c r="G722" s="31" t="n">
        <x:v>2</x:v>
      </x:c>
    </x:row>
    <x:row r="723" ht="42" customHeight="1">
      <x:c r="A723" s="12" t="str">
        <x:v>кожа салон сайт</x:v>
      </x:c>
      <x:c r="B723" s="12" t="str">
        <x:v>https://kozhaclinic.ru/akcii/</x:v>
      </x:c>
      <x:c r="C723" s="30" t="n">
        <x:v>0</x:v>
      </x:c>
      <x:c r="D723" s="30" t="n">
        <x:v>1</x:v>
      </x:c>
      <x:c r="E723" s="32" t="n">
        <x:f>IF(AND(ISNUMBER(C723),ISNUMBER(D723),D723&gt;0),C723/D723,"")</x:f>
        <x:v>0</x:v>
      </x:c>
      <x:c r="F723" s="34" t="n">
        <x:v>7</x:v>
      </x:c>
      <x:c r="G723" s="30" t="n">
        <x:v>1</x:v>
      </x:c>
    </x:row>
    <x:row r="724" ht="42" customHeight="1">
      <x:c r="A724" s="14" t="str">
        <x:v>косметолог сургут чистка лица цена процедуры anatomy-krasoty</x:v>
      </x:c>
      <x:c r="B724" s="14" t="str">
        <x:v>https://kozhaclinic.ru/ceny-prajs-list/</x:v>
      </x:c>
      <x:c r="C724" s="31" t="n">
        <x:v>0</x:v>
      </x:c>
      <x:c r="D724" s="31" t="n">
        <x:v>0</x:v>
      </x:c>
      <x:c r="E724" s="33" t="str">
        <x:f>IF(AND(ISNUMBER(C724),ISNUMBER(D724),D724&gt;0),C724/D724,"")</x:f>
      </x:c>
      <x:c r="F724" s="35"/>
      <x:c r="G724" s="31" t="n">
        <x:v>0</x:v>
      </x:c>
    </x:row>
    <x:row r="725" ht="42" customHeight="1">
      <x:c r="A725" s="12" t="str">
        <x:v>лечение купероза на лице сургут</x:v>
      </x:c>
      <x:c r="B725" s="12" t="str">
        <x:v>https://kozhaclinic.ru/apparatnaya-kosmetologiya/ustranenie-sosudistykh-zvyezdochek-kuperoz/</x:v>
      </x:c>
      <x:c r="C725" s="30" t="n">
        <x:v>1</x:v>
      </x:c>
      <x:c r="D725" s="30" t="n">
        <x:v>2</x:v>
      </x:c>
      <x:c r="E725" s="32" t="n">
        <x:f>IF(AND(ISNUMBER(C725),ISNUMBER(D725),D725&gt;0),C725/D725,"")</x:f>
        <x:v>0.5</x:v>
      </x:c>
      <x:c r="F725" s="34" t="n">
        <x:v>4.5</x:v>
      </x:c>
      <x:c r="G725" s="30" t="n">
        <x:v>1</x:v>
      </x:c>
    </x:row>
    <x:row r="726" ht="42" customHeight="1">
      <x:c r="A726" s="14" t="str">
        <x:v>липоредукция сургут</x:v>
      </x:c>
      <x:c r="B726" s="14" t="str">
        <x:v>https://kozhaclinic.ru/</x:v>
      </x:c>
      <x:c r="C726" s="31" t="n">
        <x:v>0</x:v>
      </x:c>
      <x:c r="D726" s="31" t="n">
        <x:v>0</x:v>
      </x:c>
      <x:c r="E726" s="33" t="str">
        <x:f>IF(AND(ISNUMBER(C726),ISNUMBER(D726),D726&gt;0),C726/D726,"")</x:f>
      </x:c>
      <x:c r="F726" s="35"/>
      <x:c r="G726" s="31" t="n">
        <x:v>9</x:v>
      </x:c>
    </x:row>
    <x:row r="727" ht="42" customHeight="1">
      <x:c r="A727" s="12" t="str">
        <x:v>массаж для лица для подтяжки лица и овала</x:v>
      </x:c>
      <x:c r="B727" s="12" t="str">
        <x:v>https://kozhaclinic.ru/uhodovye-procedury/massazhi/plastifitsiruyushchiy/</x:v>
      </x:c>
      <x:c r="C727" s="30" t="n">
        <x:v>2</x:v>
      </x:c>
      <x:c r="D727" s="30" t="n">
        <x:v>1</x:v>
      </x:c>
      <x:c r="E727" s="32" t="n">
        <x:f>IF(AND(ISNUMBER(C727),ISNUMBER(D727),D727&gt;0),C727/D727,"")</x:f>
        <x:v>2</x:v>
      </x:c>
      <x:c r="F727" s="34" t="n">
        <x:v>2</x:v>
      </x:c>
      <x:c r="G727" s="30" t="n">
        <x:v>275</x:v>
      </x:c>
    </x:row>
    <x:row r="728" ht="42" customHeight="1">
      <x:c r="A728" s="14" t="str">
        <x:v>миграция в губах как выглядит</x:v>
      </x:c>
      <x:c r="B728" s="14" t="str">
        <x:v>https://kozhaclinic.ru/migratsiya-gelya-iz-gub/</x:v>
      </x:c>
      <x:c r="C728" s="31" t="n">
        <x:v>0</x:v>
      </x:c>
      <x:c r="D728" s="31" t="n">
        <x:v>2</x:v>
      </x:c>
      <x:c r="E728" s="33" t="n">
        <x:f>IF(AND(ISNUMBER(C728),ISNUMBER(D728),D728&gt;0),C728/D728,"")</x:f>
        <x:v>0</x:v>
      </x:c>
      <x:c r="F728" s="35" t="n">
        <x:v>8.5</x:v>
      </x:c>
      <x:c r="G728" s="31" t="n">
        <x:v>10</x:v>
      </x:c>
    </x:row>
    <x:row r="729" ht="42" customHeight="1">
      <x:c r="A729" s="12" t="str">
        <x:v>микротоковая терапия сургут</x:v>
      </x:c>
      <x:c r="B729" s="12" t="str">
        <x:v>https://kozhaclinic.ru/apparatnaya-kosmetologiya/mikrotokovaya-terapiya/</x:v>
      </x:c>
      <x:c r="C729" s="30" t="n">
        <x:v>0</x:v>
      </x:c>
      <x:c r="D729" s="30" t="n">
        <x:v>1</x:v>
      </x:c>
      <x:c r="E729" s="32" t="n">
        <x:f>IF(AND(ISNUMBER(C729),ISNUMBER(D729),D729&gt;0),C729/D729,"")</x:f>
        <x:v>0</x:v>
      </x:c>
      <x:c r="F729" s="34" t="n">
        <x:v>2</x:v>
      </x:c>
      <x:c r="G729" s="30" t="n">
        <x:v>1</x:v>
      </x:c>
    </x:row>
    <x:row r="730" ht="42" customHeight="1">
      <x:c r="A730" s="14" t="str">
        <x:v>отзывы клиники косметологии b-med59.ru</x:v>
      </x:c>
      <x:c r="B730" s="14" t="str">
        <x:v>https://kozhaclinic.ru/o-nas/otzyvy/</x:v>
      </x:c>
      <x:c r="C730" s="31" t="n">
        <x:v>0</x:v>
      </x:c>
      <x:c r="D730" s="31" t="n">
        <x:v>2</x:v>
      </x:c>
      <x:c r="E730" s="33" t="n">
        <x:f>IF(AND(ISNUMBER(C730),ISNUMBER(D730),D730&gt;0),C730/D730,"")</x:f>
        <x:v>0</x:v>
      </x:c>
      <x:c r="F730" s="35" t="n">
        <x:v>11.5</x:v>
      </x:c>
      <x:c r="G730" s="31" t="n">
        <x:v>10</x:v>
      </x:c>
    </x:row>
    <x:row r="731" ht="42" customHeight="1">
      <x:c r="A731" s="12" t="str">
        <x:v>помогает ли увеличение губ от сухости</x:v>
      </x:c>
      <x:c r="B731" s="12" t="str">
        <x:v>https://kozhaclinic.ru/inekcionnaya-kosmetologiya/konturnaya-plastika/uvlazhnenie-gub/</x:v>
      </x:c>
      <x:c r="C731" s="30" t="n">
        <x:v>0</x:v>
      </x:c>
      <x:c r="D731" s="30" t="n">
        <x:v>0</x:v>
      </x:c>
      <x:c r="E731" s="32" t="str">
        <x:f>IF(AND(ISNUMBER(C731),ISNUMBER(D731),D731&gt;0),C731/D731,"")</x:f>
      </x:c>
      <x:c r="F731" s="34"/>
      <x:c r="G731" s="30" t="n">
        <x:v>6</x:v>
      </x:c>
    </x:row>
    <x:row r="732" ht="42" customHeight="1">
      <x:c r="A732" s="14" t="str">
        <x:v>сколько стоит ботокс в сургуте</x:v>
      </x:c>
      <x:c r="B732" s="14" t="str">
        <x:v>https://kozhaclinic.ru/ceny-prajs-list/</x:v>
      </x:c>
      <x:c r="C732" s="31" t="n">
        <x:v>0</x:v>
      </x:c>
      <x:c r="D732" s="31" t="n">
        <x:v>0</x:v>
      </x:c>
      <x:c r="E732" s="33" t="str">
        <x:f>IF(AND(ISNUMBER(C732),ISNUMBER(D732),D732&gt;0),C732/D732,"")</x:f>
      </x:c>
      <x:c r="F732" s="35"/>
      <x:c r="G732" s="31" t="n">
        <x:v>0</x:v>
      </x:c>
    </x:row>
    <x:row r="733" ht="42" customHeight="1">
      <x:c r="A733" s="12" t="str">
        <x:v>сколько стоит удалить родинку</x:v>
      </x:c>
      <x:c r="B733" s="12" t="str">
        <x:v>https://kozhaclinic.ru/udalenie-novoobrazovanij/udalenie-rodinok/</x:v>
      </x:c>
      <x:c r="C733" s="30" t="n">
        <x:v>0</x:v>
      </x:c>
      <x:c r="D733" s="30" t="n">
        <x:v>2</x:v>
      </x:c>
      <x:c r="E733" s="32" t="n">
        <x:f>IF(AND(ISNUMBER(C733),ISNUMBER(D733),D733&gt;0),C733/D733,"")</x:f>
        <x:v>0</x:v>
      </x:c>
      <x:c r="F733" s="34" t="n">
        <x:v>6</x:v>
      </x:c>
      <x:c r="G733" s="30" t="n">
        <x:v>852</x:v>
      </x:c>
    </x:row>
    <x:row r="734" ht="42" customHeight="1">
      <x:c r="A734" s="14" t="str">
        <x:v>сургут клиника косметологии</x:v>
      </x:c>
      <x:c r="B734" s="14" t="str">
        <x:v>https://kozhaclinic.ru/</x:v>
      </x:c>
      <x:c r="C734" s="31" t="n">
        <x:v>0</x:v>
      </x:c>
      <x:c r="D734" s="31" t="n">
        <x:v>2</x:v>
      </x:c>
      <x:c r="E734" s="33" t="n">
        <x:f>IF(AND(ISNUMBER(C734),ISNUMBER(D734),D734&gt;0),C734/D734,"")</x:f>
        <x:v>0</x:v>
      </x:c>
      <x:c r="F734" s="35" t="n">
        <x:v>2.5</x:v>
      </x:c>
      <x:c r="G734" s="31" t="n">
        <x:v>2</x:v>
      </x:c>
    </x:row>
    <x:row r="735" ht="42" customHeight="1">
      <x:c r="A735" s="12" t="str">
        <x:v>удаление милиумов сургут</x:v>
      </x:c>
      <x:c r="B735" s="12" t="str">
        <x:v>https://kozhaclinic.ru/apparatnaya-kosmetologiya/udalenie-novoobrazovaniy/</x:v>
      </x:c>
      <x:c r="C735" s="30" t="n">
        <x:v>0</x:v>
      </x:c>
      <x:c r="D735" s="30" t="n">
        <x:v>0</x:v>
      </x:c>
      <x:c r="E735" s="32" t="str">
        <x:f>IF(AND(ISNUMBER(C735),ISNUMBER(D735),D735&gt;0),C735/D735,"")</x:f>
      </x:c>
      <x:c r="F735" s="34"/>
      <x:c r="G735" s="30" t="n">
        <x:v>0</x:v>
      </x:c>
    </x:row>
    <x:row r="736" ht="42" customHeight="1">
      <x:c r="A736" s="14" t="str">
        <x:v>удаление родинок и папиллом сургут</x:v>
      </x:c>
      <x:c r="B736" s="14" t="str">
        <x:v>https://kozhaclinic.ru/udalenie-novoobrazovanij/</x:v>
      </x:c>
      <x:c r="C736" s="31" t="n">
        <x:v>0</x:v>
      </x:c>
      <x:c r="D736" s="31" t="n">
        <x:v>0</x:v>
      </x:c>
      <x:c r="E736" s="33" t="str">
        <x:f>IF(AND(ISNUMBER(C736),ISNUMBER(D736),D736&gt;0),C736/D736,"")</x:f>
      </x:c>
      <x:c r="F736" s="35"/>
      <x:c r="G736" s="31" t="n">
        <x:v>0</x:v>
      </x:c>
    </x:row>
    <x:row r="737" ht="42" customHeight="1">
      <x:c r="A737" s="12" t="str">
        <x:v>уколы красоты сургут</x:v>
      </x:c>
      <x:c r="B737" s="12" t="str">
        <x:v>https://kozhaclinic.ru/inekcionnaya-kosmetologiya/</x:v>
      </x:c>
      <x:c r="C737" s="30" t="n">
        <x:v>0</x:v>
      </x:c>
      <x:c r="D737" s="30" t="n">
        <x:v>3</x:v>
      </x:c>
      <x:c r="E737" s="32" t="n">
        <x:f>IF(AND(ISNUMBER(C737),ISNUMBER(D737),D737&gt;0),C737/D737,"")</x:f>
        <x:v>0</x:v>
      </x:c>
      <x:c r="F737" s="34" t="n">
        <x:v>5.6</x:v>
      </x:c>
      <x:c r="G737" s="30" t="n">
        <x:v>3</x:v>
      </x:c>
    </x:row>
    <x:row r="738" ht="42" customHeight="1">
      <x:c r="A738" s="14" t="str">
        <x:v>филлер в губах мигрировал в слизистую</x:v>
      </x:c>
      <x:c r="B738" s="14" t="str">
        <x:v>https://kozhaclinic.ru/migratsiya-gelya-iz-gub/</x:v>
      </x:c>
      <x:c r="C738" s="31" t="n">
        <x:v>0</x:v>
      </x:c>
      <x:c r="D738" s="31" t="n">
        <x:v>0</x:v>
      </x:c>
      <x:c r="E738" s="33" t="str">
        <x:f>IF(AND(ISNUMBER(C738),ISNUMBER(D738),D738&gt;0),C738/D738,"")</x:f>
      </x:c>
      <x:c r="F738" s="35"/>
      <x:c r="G738" s="31" t="n">
        <x:v>4</x:v>
      </x:c>
    </x:row>
    <x:row r="739" ht="42" customHeight="1">
      <x:c r="A739" s="12" t="str">
        <x:v>фототерапия лица сургут</x:v>
      </x:c>
      <x:c r="B739" s="12" t="str">
        <x:v>https://kozhaclinic.ru/apparatnaya-kosmetologiya/fotoomolozhenie-inmode/</x:v>
      </x:c>
      <x:c r="C739" s="30" t="n">
        <x:v>1</x:v>
      </x:c>
      <x:c r="D739" s="30" t="n">
        <x:v>8</x:v>
      </x:c>
      <x:c r="E739" s="32" t="n">
        <x:f>IF(AND(ISNUMBER(C739),ISNUMBER(D739),D739&gt;0),C739/D739,"")</x:f>
        <x:v>0.125</x:v>
      </x:c>
      <x:c r="F739" s="34" t="n">
        <x:v>5.5</x:v>
      </x:c>
      <x:c r="G739" s="30" t="n">
        <x:v>7</x:v>
      </x:c>
    </x:row>
    <x:row r="740" ht="42" customHeight="1">
      <x:c r="A740" s="14" t="str">
        <x:v>что делать если филлер в губах мигрировал</x:v>
      </x:c>
      <x:c r="B740" s="14" t="str">
        <x:v>https://kozhaclinic.ru/migratsiya-gelya-iz-gub/</x:v>
      </x:c>
      <x:c r="C740" s="31" t="n">
        <x:v>0</x:v>
      </x:c>
      <x:c r="D740" s="31" t="n">
        <x:v>3</x:v>
      </x:c>
      <x:c r="E740" s="33" t="n">
        <x:f>IF(AND(ISNUMBER(C740),ISNUMBER(D740),D740&gt;0),C740/D740,"")</x:f>
        <x:v>0</x:v>
      </x:c>
      <x:c r="F740" s="35" t="n">
        <x:v>10</x:v>
      </x:c>
      <x:c r="G740" s="31" t="n">
        <x:v>4</x:v>
      </x:c>
    </x:row>
    <x:row r="741" ht="42" customHeight="1">
      <x:c r="A741" s="12" t="str">
        <x:v>что такое миграция филлера в губах фото</x:v>
      </x:c>
      <x:c r="B741" s="12" t="str">
        <x:v>https://kozhaclinic.ru/migratsiya-gelya-iz-gub/</x:v>
      </x:c>
      <x:c r="C741" s="30" t="n">
        <x:v>0</x:v>
      </x:c>
      <x:c r="D741" s="30" t="n">
        <x:v>4</x:v>
      </x:c>
      <x:c r="E741" s="32" t="n">
        <x:f>IF(AND(ISNUMBER(C741),ISNUMBER(D741),D741&gt;0),C741/D741,"")</x:f>
        <x:v>0</x:v>
      </x:c>
      <x:c r="F741" s="34" t="n">
        <x:v>10.2</x:v>
      </x:c>
      <x:c r="G741" s="30" t="n">
        <x:v>20</x:v>
      </x:c>
    </x:row>
    <x:row r="742" ht="42" customHeight="1">
      <x:c r="A742" s="14" t="str">
        <x:v>электроэпиляция в сургуте</x:v>
      </x:c>
      <x:c r="B742" s="14" t="str">
        <x:v>https://kozhaclinic.ru/ustranenie-nezhelatelnykh-volos/</x:v>
      </x:c>
      <x:c r="C742" s="31" t="n">
        <x:v>0</x:v>
      </x:c>
      <x:c r="D742" s="31" t="n">
        <x:v>1</x:v>
      </x:c>
      <x:c r="E742" s="33" t="n">
        <x:f>IF(AND(ISNUMBER(C742),ISNUMBER(D742),D742&gt;0),C742/D742,"")</x:f>
        <x:v>0</x:v>
      </x:c>
      <x:c r="F742" s="35" t="n">
        <x:v>10</x:v>
      </x:c>
      <x:c r="G742" s="31" t="n">
        <x:v>5</x:v>
      </x:c>
    </x:row>
    <x:row r="743" ht="42" customHeight="1">
      <x:c r="A743" s="12" t="str">
        <x:v>prp сургут</x:v>
      </x:c>
      <x:c r="B743" s="12" t="str">
        <x:v>https://kozhaclinic.ru/inekcionnaya-kosmetologiya/omolozhenie-i-pitanie-kozhi/prp-terapiya-cortexil/</x:v>
      </x:c>
      <x:c r="C743" s="30" t="n">
        <x:v>0</x:v>
      </x:c>
      <x:c r="D743" s="30" t="n">
        <x:v>0</x:v>
      </x:c>
      <x:c r="E743" s="32" t="str">
        <x:f>IF(AND(ISNUMBER(C743),ISNUMBER(D743),D743&gt;0),C743/D743,"")</x:f>
      </x:c>
      <x:c r="F743" s="34"/>
      <x:c r="G743" s="30" t="n">
        <x:v>0</x:v>
      </x:c>
    </x:row>
    <x:row r="744" ht="42" customHeight="1">
      <x:c r="A744" s="14" t="str">
        <x:v>ботокс - косметологи в сургуте</x:v>
      </x:c>
      <x:c r="B744" s="14" t="str">
        <x:v>https://kozhaclinic.ru/inekcionnaya-kosmetologiya/botulinoterapiya/</x:v>
      </x:c>
      <x:c r="C744" s="31" t="n">
        <x:v>0</x:v>
      </x:c>
      <x:c r="D744" s="31" t="n">
        <x:v>0</x:v>
      </x:c>
      <x:c r="E744" s="33" t="str">
        <x:f>IF(AND(ISNUMBER(C744),ISNUMBER(D744),D744&gt;0),C744/D744,"")</x:f>
      </x:c>
      <x:c r="F744" s="35"/>
      <x:c r="G744" s="31" t="n">
        <x:v>0</x:v>
      </x:c>
    </x:row>
    <x:row r="745" ht="42" customHeight="1">
      <x:c r="A745" s="12" t="str">
        <x:v>ботокс в жевательные мышцы сургут</x:v>
      </x:c>
      <x:c r="B745" s="12" t="str">
        <x:v>https://kozhaclinic.ru/inekcionnaya-kosmetologiya/botulinoterapiya/</x:v>
      </x:c>
      <x:c r="C745" s="30" t="n">
        <x:v>0</x:v>
      </x:c>
      <x:c r="D745" s="30" t="n">
        <x:v>1</x:v>
      </x:c>
      <x:c r="E745" s="32" t="n">
        <x:f>IF(AND(ISNUMBER(C745),ISNUMBER(D745),D745&gt;0),C745/D745,"")</x:f>
        <x:v>0</x:v>
      </x:c>
      <x:c r="F745" s="34" t="n">
        <x:v>1</x:v>
      </x:c>
      <x:c r="G745" s="30" t="n">
        <x:v>1</x:v>
      </x:c>
    </x:row>
    <x:row r="746" ht="42" customHeight="1">
      <x:c r="A746" s="14" t="str">
        <x:v>ботокс в подмышки сургут</x:v>
      </x:c>
      <x:c r="B746" s="14" t="str">
        <x:v>https://kozhaclinic.ru/inekcionnaya-kosmetologiya/lechenie-gipergidroza/botulinoterapiya-podmyshek/</x:v>
      </x:c>
      <x:c r="C746" s="31" t="n">
        <x:v>0</x:v>
      </x:c>
      <x:c r="D746" s="31" t="n">
        <x:v>0</x:v>
      </x:c>
      <x:c r="E746" s="33" t="str">
        <x:f>IF(AND(ISNUMBER(C746),ISNUMBER(D746),D746&gt;0),C746/D746,"")</x:f>
      </x:c>
      <x:c r="F746" s="35"/>
      <x:c r="G746" s="31" t="n">
        <x:v>0</x:v>
      </x:c>
    </x:row>
    <x:row r="747" ht="42" customHeight="1">
      <x:c r="A747" s="12" t="str">
        <x:v>ботокс декольте</x:v>
      </x:c>
      <x:c r="B747" s="12" t="str">
        <x:v>https://kozhaclinic.ru/inekcionnaya-kosmetologiya/botulinoterapiya/botoks-dlya-shei-i-zony-dekolte/</x:v>
      </x:c>
      <x:c r="C747" s="30" t="n">
        <x:v>0</x:v>
      </x:c>
      <x:c r="D747" s="30" t="n">
        <x:v>0</x:v>
      </x:c>
      <x:c r="E747" s="32" t="str">
        <x:f>IF(AND(ISNUMBER(C747),ISNUMBER(D747),D747&gt;0),C747/D747,"")</x:f>
      </x:c>
      <x:c r="F747" s="34"/>
      <x:c r="G747" s="30" t="n">
        <x:v>0</x:v>
      </x:c>
    </x:row>
    <x:row r="748" ht="42" customHeight="1">
      <x:c r="A748" s="14" t="str">
        <x:v>ботулинотерапия ideale70.ru</x:v>
      </x:c>
      <x:c r="B748" s="14" t="str">
        <x:v>https://kozhaclinic.ru/inekcionnaya-kosmetologiya/botulinoterapiya/</x:v>
      </x:c>
      <x:c r="C748" s="31" t="n">
        <x:v>0</x:v>
      </x:c>
      <x:c r="D748" s="31" t="n">
        <x:v>0</x:v>
      </x:c>
      <x:c r="E748" s="33" t="str">
        <x:f>IF(AND(ISNUMBER(C748),ISNUMBER(D748),D748&gt;0),C748/D748,"")</x:f>
      </x:c>
      <x:c r="F748" s="35"/>
      <x:c r="G748" s="31" t="n">
        <x:v>0</x:v>
      </x:c>
    </x:row>
    <x:row r="749" ht="42" customHeight="1">
      <x:c r="A749" s="12" t="str">
        <x:v>ботулинотерапия в ладони</x:v>
      </x:c>
      <x:c r="B749" s="12" t="str">
        <x:v>https://kozhaclinic.ru/inekcionnaya-kosmetologiya/lechenie-gipergidroza/gipergidroz-ladoney/</x:v>
      </x:c>
      <x:c r="C749" s="30" t="n">
        <x:v>0</x:v>
      </x:c>
      <x:c r="D749" s="30" t="n">
        <x:v>0</x:v>
      </x:c>
      <x:c r="E749" s="32" t="str">
        <x:f>IF(AND(ISNUMBER(C749),ISNUMBER(D749),D749&gt;0),C749/D749,"")</x:f>
      </x:c>
      <x:c r="F749" s="34"/>
      <x:c r="G749" s="30" t="n">
        <x:v>0</x:v>
      </x:c>
    </x:row>
    <x:row r="750" ht="42" customHeight="1">
      <x:c r="A750" s="14" t="str">
        <x:v>где в сургуте можно удалить бородавку</x:v>
      </x:c>
      <x:c r="B750" s="14" t="str">
        <x:v>https://kozhaclinic.ru/udalenie-novoobrazovanij/udalenie-borodavok/</x:v>
      </x:c>
      <x:c r="C750" s="31" t="n">
        <x:v>0</x:v>
      </x:c>
      <x:c r="D750" s="31" t="n">
        <x:v>0</x:v>
      </x:c>
      <x:c r="E750" s="33" t="str">
        <x:f>IF(AND(ISNUMBER(C750),ISNUMBER(D750),D750&gt;0),C750/D750,"")</x:f>
      </x:c>
      <x:c r="F750" s="35"/>
      <x:c r="G750" s="31" t="n">
        <x:v>0</x:v>
      </x:c>
    </x:row>
    <x:row r="751" ht="42" customHeight="1">
      <x:c r="A751" s="12" t="str">
        <x:v>гель в губах мигрирует</x:v>
      </x:c>
      <x:c r="B751" s="12" t="str">
        <x:v>https://kozhaclinic.ru/migratsiya-gelya-iz-gub/</x:v>
      </x:c>
      <x:c r="C751" s="30" t="n">
        <x:v>0</x:v>
      </x:c>
      <x:c r="D751" s="30" t="n">
        <x:v>5</x:v>
      </x:c>
      <x:c r="E751" s="32" t="n">
        <x:f>IF(AND(ISNUMBER(C751),ISNUMBER(D751),D751&gt;0),C751/D751,"")</x:f>
        <x:v>0</x:v>
      </x:c>
      <x:c r="F751" s="34" t="n">
        <x:v>4.6</x:v>
      </x:c>
      <x:c r="G751" s="30" t="n">
        <x:v>5</x:v>
      </x:c>
    </x:row>
    <x:row r="752" ht="42" customHeight="1">
      <x:c r="A752" s="14" t="str">
        <x:v>гель из губ мигрирует</x:v>
      </x:c>
      <x:c r="B752" s="14" t="str">
        <x:v>https://kozhaclinic.ru/migratsiya-gelya-iz-gub/</x:v>
      </x:c>
      <x:c r="C752" s="31" t="n">
        <x:v>0</x:v>
      </x:c>
      <x:c r="D752" s="31" t="n">
        <x:v>2</x:v>
      </x:c>
      <x:c r="E752" s="33" t="n">
        <x:f>IF(AND(ISNUMBER(C752),ISNUMBER(D752),D752&gt;0),C752/D752,"")</x:f>
        <x:v>0</x:v>
      </x:c>
      <x:c r="F752" s="35" t="n">
        <x:v>8.5</x:v>
      </x:c>
      <x:c r="G752" s="31" t="n">
        <x:v>2</x:v>
      </x:c>
    </x:row>
    <x:row r="753" ht="42" customHeight="1">
      <x:c r="A753" s="12" t="str">
        <x:v>гель ушел в слизистую губы</x:v>
      </x:c>
      <x:c r="B753" s="12" t="str">
        <x:v>https://kozhaclinic.ru/migratsiya-gelya-iz-gub/</x:v>
      </x:c>
      <x:c r="C753" s="30" t="n">
        <x:v>0</x:v>
      </x:c>
      <x:c r="D753" s="30" t="n">
        <x:v>3</x:v>
      </x:c>
      <x:c r="E753" s="32" t="n">
        <x:f>IF(AND(ISNUMBER(C753),ISNUMBER(D753),D753&gt;0),C753/D753,"")</x:f>
        <x:v>0</x:v>
      </x:c>
      <x:c r="F753" s="34" t="n">
        <x:v>6.6</x:v>
      </x:c>
      <x:c r="G753" s="30" t="n">
        <x:v>3</x:v>
      </x:c>
    </x:row>
    <x:row r="754" ht="42" customHeight="1">
      <x:c r="A754" s="14" t="str">
        <x:v>дерматолог онколог сургут</x:v>
      </x:c>
      <x:c r="B754" s="14" t="str">
        <x:v>https://kozhaclinic.ru/osmotry-i-konsultatsii/dermatoskopiya/</x:v>
      </x:c>
      <x:c r="C754" s="31" t="n">
        <x:v>0</x:v>
      </x:c>
      <x:c r="D754" s="31" t="n">
        <x:v>5</x:v>
      </x:c>
      <x:c r="E754" s="33" t="n">
        <x:f>IF(AND(ISNUMBER(C754),ISNUMBER(D754),D754&gt;0),C754/D754,"")</x:f>
        <x:v>0</x:v>
      </x:c>
      <x:c r="F754" s="35" t="n">
        <x:v>10.4</x:v>
      </x:c>
      <x:c r="G754" s="31" t="n">
        <x:v>11</x:v>
      </x:c>
    </x:row>
    <x:row r="755" ht="42" customHeight="1">
      <x:c r="A755" s="12" t="str">
        <x:v>как часто нужно делать чистку спины</x:v>
      </x:c>
      <x:c r="B755" s="12" t="str">
        <x:v>https://kozhaclinic.ru/uhodovye-procedury/chistki-litsa-i-spiny/chistka-spiny/</x:v>
      </x:c>
      <x:c r="C755" s="30" t="n">
        <x:v>0</x:v>
      </x:c>
      <x:c r="D755" s="30" t="n">
        <x:v>0</x:v>
      </x:c>
      <x:c r="E755" s="32" t="str">
        <x:f>IF(AND(ISNUMBER(C755),ISNUMBER(D755),D755&gt;0),C755/D755,"")</x:f>
      </x:c>
      <x:c r="F755" s="34"/>
      <x:c r="G755" s="30" t="n">
        <x:v>0</x:v>
      </x:c>
    </x:row>
    <x:row r="756" ht="42" customHeight="1">
      <x:c r="A756" s="14" t="str">
        <x:v>контурная пластика лица филлерами в сургуте</x:v>
      </x:c>
      <x:c r="B756" s="14" t="str">
        <x:v>https://kozhaclinic.ru/inekcionnaya-kosmetologiya/konturnaya-plastika/konturnaya-plastika-litsa/</x:v>
      </x:c>
      <x:c r="C756" s="31" t="n">
        <x:v>0</x:v>
      </x:c>
      <x:c r="D756" s="31" t="n">
        <x:v>8</x:v>
      </x:c>
      <x:c r="E756" s="33" t="n">
        <x:f>IF(AND(ISNUMBER(C756),ISNUMBER(D756),D756&gt;0),C756/D756,"")</x:f>
        <x:v>0</x:v>
      </x:c>
      <x:c r="F756" s="35" t="n">
        <x:v>3.3</x:v>
      </x:c>
      <x:c r="G756" s="31" t="n">
        <x:v>8</x:v>
      </x:c>
    </x:row>
    <x:row r="757" ht="42" customHeight="1">
      <x:c r="A757" s="12" t="str">
        <x:v>косметический салон сургут</x:v>
      </x:c>
      <x:c r="B757" s="12" t="str">
        <x:v>https://kozhaclinic.ru/</x:v>
      </x:c>
      <x:c r="C757" s="30" t="n">
        <x:v>0</x:v>
      </x:c>
      <x:c r="D757" s="30" t="n">
        <x:v>1</x:v>
      </x:c>
      <x:c r="E757" s="32" t="n">
        <x:f>IF(AND(ISNUMBER(C757),ISNUMBER(D757),D757&gt;0),C757/D757,"")</x:f>
        <x:v>0</x:v>
      </x:c>
      <x:c r="F757" s="34" t="n">
        <x:v>7</x:v>
      </x:c>
      <x:c r="G757" s="30" t="n">
        <x:v>1</x:v>
      </x:c>
    </x:row>
    <x:row r="758" ht="42" customHeight="1">
      <x:c r="A758" s="14" t="str">
        <x:v>косметология сургут ленина</x:v>
      </x:c>
      <x:c r="B758" s="14" t="str">
        <x:v>https://kozhaclinic.ru/</x:v>
      </x:c>
      <x:c r="C758" s="31" t="n">
        <x:v>0</x:v>
      </x:c>
      <x:c r="D758" s="31" t="n">
        <x:v>1</x:v>
      </x:c>
      <x:c r="E758" s="33" t="n">
        <x:f>IF(AND(ISNUMBER(C758),ISNUMBER(D758),D758&gt;0),C758/D758,"")</x:f>
        <x:v>0</x:v>
      </x:c>
      <x:c r="F758" s="35" t="n">
        <x:v>7</x:v>
      </x:c>
      <x:c r="G758" s="31" t="n">
        <x:v>1</x:v>
      </x:c>
    </x:row>
    <x:row r="759" ht="42" customHeight="1">
      <x:c r="A759" s="12" t="str">
        <x:v>куда мигрирует гель из губ</x:v>
      </x:c>
      <x:c r="B759" s="12" t="str">
        <x:v>https://kozhaclinic.ru/migratsiya-gelya-iz-gub/</x:v>
      </x:c>
      <x:c r="C759" s="30" t="n">
        <x:v>0</x:v>
      </x:c>
      <x:c r="D759" s="30" t="n">
        <x:v>0</x:v>
      </x:c>
      <x:c r="E759" s="32" t="str">
        <x:f>IF(AND(ISNUMBER(C759),ISNUMBER(D759),D759&gt;0),C759/D759,"")</x:f>
      </x:c>
      <x:c r="F759" s="34"/>
      <x:c r="G759" s="30" t="n">
        <x:v>0</x:v>
      </x:c>
    </x:row>
    <x:row r="760" ht="42" customHeight="1">
      <x:c r="A760" s="14" t="str">
        <x:v>массаж лица пластифицирующий</x:v>
      </x:c>
      <x:c r="B760" s="14" t="str">
        <x:v>https://kozhaclinic.ru/uhodovye-procedury/massazhi/plastifitsiruyushchiy/</x:v>
      </x:c>
      <x:c r="C760" s="31" t="n">
        <x:v>0</x:v>
      </x:c>
      <x:c r="D760" s="31" t="n">
        <x:v>1</x:v>
      </x:c>
      <x:c r="E760" s="33" t="n">
        <x:f>IF(AND(ISNUMBER(C760),ISNUMBER(D760),D760&gt;0),C760/D760,"")</x:f>
        <x:v>0</x:v>
      </x:c>
      <x:c r="F760" s="35" t="n">
        <x:v>5</x:v>
      </x:c>
      <x:c r="G760" s="31" t="n">
        <x:v>2</x:v>
      </x:c>
    </x:row>
    <x:row r="761" ht="42" customHeight="1">
      <x:c r="A761" s="12" t="str">
        <x:v>миграция филлера в слизистую верхней губы фото</x:v>
      </x:c>
      <x:c r="B761" s="12" t="str">
        <x:v>https://kozhaclinic.ru/migratsiya-gelya-iz-gub/</x:v>
      </x:c>
      <x:c r="C761" s="30" t="n">
        <x:v>0</x:v>
      </x:c>
      <x:c r="D761" s="30" t="n">
        <x:v>7</x:v>
      </x:c>
      <x:c r="E761" s="32" t="n">
        <x:f>IF(AND(ISNUMBER(C761),ISNUMBER(D761),D761&gt;0),C761/D761,"")</x:f>
        <x:v>0</x:v>
      </x:c>
      <x:c r="F761" s="34" t="n">
        <x:v>8.5</x:v>
      </x:c>
      <x:c r="G761" s="30" t="n">
        <x:v>7</x:v>
      </x:c>
    </x:row>
    <x:row r="762" ht="42" customHeight="1">
      <x:c r="A762" s="14" t="str">
        <x:v>микроигольчатый rf лифтинг anatomy-krasoty</x:v>
      </x:c>
      <x:c r="B762" s="14" t="str">
        <x:v>https://kozhaclinic.ru/apparatnaya-kosmetologiya/igolchatyy-rf-lifting-na-morpheus-8/</x:v>
      </x:c>
      <x:c r="C762" s="31" t="n">
        <x:v>0</x:v>
      </x:c>
      <x:c r="D762" s="31" t="n">
        <x:v>0</x:v>
      </x:c>
      <x:c r="E762" s="33" t="str">
        <x:f>IF(AND(ISNUMBER(C762),ISNUMBER(D762),D762&gt;0),C762/D762,"")</x:f>
      </x:c>
      <x:c r="F762" s="35"/>
      <x:c r="G762" s="31" t="n">
        <x:v>0</x:v>
      </x:c>
    </x:row>
    <x:row r="763" ht="42" customHeight="1">
      <x:c r="A763" s="12" t="str">
        <x:v>михайлова анастасия петровна сургут</x:v>
      </x:c>
      <x:c r="B763" s="12" t="str">
        <x:v>https://kozhaclinic.ru/o-nas/specialisty/mikhaylova-anastasiya-petrovna/</x:v>
      </x:c>
      <x:c r="C763" s="30" t="n">
        <x:v>0</x:v>
      </x:c>
      <x:c r="D763" s="30" t="n">
        <x:v>0</x:v>
      </x:c>
      <x:c r="E763" s="32" t="str">
        <x:f>IF(AND(ISNUMBER(C763),ISNUMBER(D763),D763&gt;0),C763/D763,"")</x:f>
      </x:c>
      <x:c r="F763" s="34"/>
      <x:c r="G763" s="30" t="n">
        <x:v>0</x:v>
      </x:c>
    </x:row>
    <x:row r="764" ht="42" customHeight="1">
      <x:c r="A764" s="14" t="str">
        <x:v>мужская эпиляция сургут</x:v>
      </x:c>
      <x:c r="B764" s="14" t="str">
        <x:v>https://kozhaclinic.ru/lazernaya-kosmetologiya/dlya-muzhchin/</x:v>
      </x:c>
      <x:c r="C764" s="31" t="n">
        <x:v>0</x:v>
      </x:c>
      <x:c r="D764" s="31" t="n">
        <x:v>3</x:v>
      </x:c>
      <x:c r="E764" s="33" t="n">
        <x:f>IF(AND(ISNUMBER(C764),ISNUMBER(D764),D764&gt;0),C764/D764,"")</x:f>
        <x:v>0</x:v>
      </x:c>
      <x:c r="F764" s="35" t="n">
        <x:v>9</x:v>
      </x:c>
      <x:c r="G764" s="31" t="n">
        <x:v>3</x:v>
      </x:c>
    </x:row>
    <x:row r="765" ht="42" customHeight="1">
      <x:c r="A765" s="12" t="str">
        <x:v>отбеливание кожи сургут</x:v>
      </x:c>
      <x:c r="B765" s="12" t="str">
        <x:v>https://kozhaclinic.ru/izbavlenie-ot-pigmentatsii/</x:v>
      </x:c>
      <x:c r="C765" s="30" t="n">
        <x:v>0</x:v>
      </x:c>
      <x:c r="D765" s="30" t="n">
        <x:v>3</x:v>
      </x:c>
      <x:c r="E765" s="32" t="n">
        <x:f>IF(AND(ISNUMBER(C765),ISNUMBER(D765),D765&gt;0),C765/D765,"")</x:f>
        <x:v>0</x:v>
      </x:c>
      <x:c r="F765" s="34" t="n">
        <x:v>6.3</x:v>
      </x:c>
      <x:c r="G765" s="30" t="n">
        <x:v>3</x:v>
      </x:c>
    </x:row>
    <x:row r="766" ht="42" customHeight="1">
      <x:c r="A766" s="14" t="str">
        <x:v>салон кожа москва</x:v>
      </x:c>
      <x:c r="B766" s="14" t="str">
        <x:v>https://kozhaclinic.ru/portfolio/</x:v>
      </x:c>
      <x:c r="C766" s="31" t="n">
        <x:v>0</x:v>
      </x:c>
      <x:c r="D766" s="31" t="n">
        <x:v>2</x:v>
      </x:c>
      <x:c r="E766" s="33" t="n">
        <x:f>IF(AND(ISNUMBER(C766),ISNUMBER(D766),D766&gt;0),C766/D766,"")</x:f>
        <x:v>0</x:v>
      </x:c>
      <x:c r="F766" s="35" t="n">
        <x:v>9.5</x:v>
      </x:c>
      <x:c r="G766" s="31" t="n">
        <x:v>31</x:v>
      </x:c>
    </x:row>
    <x:row r="767" ht="42" customHeight="1">
      <x:c r="A767" s="12" t="str">
        <x:v>сколько стоит накачать губы в сургуте</x:v>
      </x:c>
      <x:c r="B767" s="12" t="str">
        <x:v>https://kozhaclinic.ru/inekcionnaya-kosmetologiya/konturnaya-plastika/uvelichenie-gub/</x:v>
      </x:c>
      <x:c r="C767" s="30" t="n">
        <x:v>0</x:v>
      </x:c>
      <x:c r="D767" s="30" t="n">
        <x:v>0</x:v>
      </x:c>
      <x:c r="E767" s="32" t="str">
        <x:f>IF(AND(ISNUMBER(C767),ISNUMBER(D767),D767&gt;0),C767/D767,"")</x:f>
      </x:c>
      <x:c r="F767" s="34"/>
      <x:c r="G767" s="30" t="n">
        <x:v>2</x:v>
      </x:c>
    </x:row>
    <x:row r="768" ht="42" customHeight="1">
      <x:c r="A768" s="14" t="str">
        <x:v>сколько стоит увеличение губ</x:v>
      </x:c>
      <x:c r="B768" s="14" t="str">
        <x:v>https://kozhaclinic.ru/inekcionnaya-kosmetologiya/konturnaya-plastika/uvelichenie-gub/</x:v>
      </x:c>
      <x:c r="C768" s="31" t="n">
        <x:v>0</x:v>
      </x:c>
      <x:c r="D768" s="31" t="n">
        <x:v>1</x:v>
      </x:c>
      <x:c r="E768" s="33" t="n">
        <x:f>IF(AND(ISNUMBER(C768),ISNUMBER(D768),D768&gt;0),C768/D768,"")</x:f>
        <x:v>0</x:v>
      </x:c>
      <x:c r="F768" s="35" t="n">
        <x:v>13</x:v>
      </x:c>
      <x:c r="G768" s="31" t="n">
        <x:v>597</x:v>
      </x:c>
    </x:row>
    <x:row r="769" ht="42" customHeight="1">
      <x:c r="A769" s="12" t="str">
        <x:v>смещение филлера в губах</x:v>
      </x:c>
      <x:c r="B769" s="12" t="str">
        <x:v>https://kozhaclinic.ru/migratsiya-gelya-iz-gub/</x:v>
      </x:c>
      <x:c r="C769" s="30" t="n">
        <x:v>0</x:v>
      </x:c>
      <x:c r="D769" s="30" t="n">
        <x:v>2</x:v>
      </x:c>
      <x:c r="E769" s="32" t="n">
        <x:f>IF(AND(ISNUMBER(C769),ISNUMBER(D769),D769&gt;0),C769/D769,"")</x:f>
        <x:v>0</x:v>
      </x:c>
      <x:c r="F769" s="34" t="n">
        <x:v>7</x:v>
      </x:c>
      <x:c r="G769" s="30" t="n">
        <x:v>2</x:v>
      </x:c>
    </x:row>
    <x:row r="770" ht="42" customHeight="1">
      <x:c r="A770" s="14" t="str">
        <x:v>сургут электроэпиляция</x:v>
      </x:c>
      <x:c r="B770" s="14" t="str">
        <x:v>https://kozhaclinic.ru/ustranenie-nezhelatelnykh-volos/</x:v>
      </x:c>
      <x:c r="C770" s="31" t="n">
        <x:v>0</x:v>
      </x:c>
      <x:c r="D770" s="31" t="n">
        <x:v>6</x:v>
      </x:c>
      <x:c r="E770" s="33" t="n">
        <x:f>IF(AND(ISNUMBER(C770),ISNUMBER(D770),D770&gt;0),C770/D770,"")</x:f>
        <x:v>0</x:v>
      </x:c>
      <x:c r="F770" s="35" t="n">
        <x:v>10.3</x:v>
      </x:c>
      <x:c r="G770" s="31" t="n">
        <x:v>9</x:v>
      </x:c>
    </x:row>
    <x:row r="771" ht="42" customHeight="1">
      <x:c r="A771" s="12" t="str">
        <x:v>удаление пигментных пятен сургут</x:v>
      </x:c>
      <x:c r="B771" s="12" t="str">
        <x:v>https://kozhaclinic.ru/izbavlenie-ot-pigmentatsii/</x:v>
      </x:c>
      <x:c r="C771" s="30" t="n">
        <x:v>0</x:v>
      </x:c>
      <x:c r="D771" s="30" t="n">
        <x:v>2</x:v>
      </x:c>
      <x:c r="E771" s="32" t="n">
        <x:f>IF(AND(ISNUMBER(C771),ISNUMBER(D771),D771&gt;0),C771/D771,"")</x:f>
        <x:v>0</x:v>
      </x:c>
      <x:c r="F771" s="34" t="n">
        <x:v>5</x:v>
      </x:c>
      <x:c r="G771" s="30" t="n">
        <x:v>2</x:v>
      </x:c>
    </x:row>
    <x:row r="772" ht="42" customHeight="1">
      <x:c r="A772" s="14" t="str">
        <x:v>ультразвуковая чистка лица в сургуте</x:v>
      </x:c>
      <x:c r="B772" s="14" t="str">
        <x:v>https://kozhaclinic.ru/uhodovye-procedury/chistki-litsa-i-spiny/ultrazvukovaya-chistka-litsa/</x:v>
      </x:c>
      <x:c r="C772" s="31" t="n">
        <x:v>0</x:v>
      </x:c>
      <x:c r="D772" s="31" t="n">
        <x:v>0</x:v>
      </x:c>
      <x:c r="E772" s="33" t="str">
        <x:f>IF(AND(ISNUMBER(C772),ISNUMBER(D772),D772&gt;0),C772/D772,"")</x:f>
      </x:c>
      <x:c r="F772" s="35"/>
      <x:c r="G772" s="31" t="n">
        <x:v>0</x:v>
      </x:c>
    </x:row>
    <x:row r="773" ht="42" customHeight="1">
      <x:c r="A773" s="12" t="str">
        <x:v>филлер в нос сургут</x:v>
      </x:c>
      <x:c r="B773" s="12" t="str">
        <x:v>https://kozhaclinic.ru/inekcionnaya-kosmetologiya/konturnaya-plastika/konturnaya-plastika-litsa/</x:v>
      </x:c>
      <x:c r="C773" s="30" t="n">
        <x:v>0</x:v>
      </x:c>
      <x:c r="D773" s="30" t="n">
        <x:v>0</x:v>
      </x:c>
      <x:c r="E773" s="32" t="str">
        <x:f>IF(AND(ISNUMBER(C773),ISNUMBER(D773),D773&gt;0),C773/D773,"")</x:f>
      </x:c>
      <x:c r="F773" s="34"/>
      <x:c r="G773" s="30" t="n">
        <x:v>0</x:v>
      </x:c>
    </x:row>
    <x:row r="774" ht="42" customHeight="1">
      <x:c r="A774" s="14" t="str">
        <x:v>фотоомоложение inmode</x:v>
      </x:c>
      <x:c r="B774" s="14" t="str">
        <x:v>https://kozhaclinic.ru/apparatnaya-kosmetologiya/fotoomolozhenie-inmode/</x:v>
      </x:c>
      <x:c r="C774" s="31" t="n">
        <x:v>0</x:v>
      </x:c>
      <x:c r="D774" s="31" t="n">
        <x:v>0</x:v>
      </x:c>
      <x:c r="E774" s="33" t="str">
        <x:f>IF(AND(ISNUMBER(C774),ISNUMBER(D774),D774&gt;0),C774/D774,"")</x:f>
      </x:c>
      <x:c r="F774" s="35"/>
      <x:c r="G774" s="31" t="n">
        <x:v>3</x:v>
      </x:c>
    </x:row>
    <x:row r="775" ht="42" customHeight="1">
      <x:c r="A775" s="12" t="str">
        <x:v>фотоомоложение в сургуте</x:v>
      </x:c>
      <x:c r="B775" s="12" t="str">
        <x:v>https://kozhaclinic.ru/apparatnaya-kosmetologiya/fotoomolozhenie-inmode/</x:v>
      </x:c>
      <x:c r="C775" s="30" t="n">
        <x:v>1</x:v>
      </x:c>
      <x:c r="D775" s="30" t="n">
        <x:v>4</x:v>
      </x:c>
      <x:c r="E775" s="32" t="n">
        <x:f>IF(AND(ISNUMBER(C775),ISNUMBER(D775),D775&gt;0),C775/D775,"")</x:f>
        <x:v>0.25</x:v>
      </x:c>
      <x:c r="F775" s="34" t="n">
        <x:v>2.5</x:v>
      </x:c>
      <x:c r="G775" s="30" t="n">
        <x:v>4</x:v>
      </x:c>
    </x:row>
    <x:row r="776" ht="42" customHeight="1">
      <x:c r="A776" s="14" t="str">
        <x:v>что делать если филлер мигрировал в слизистую</x:v>
      </x:c>
      <x:c r="B776" s="14" t="str">
        <x:v>https://kozhaclinic.ru/migratsiya-gelya-iz-gub/</x:v>
      </x:c>
      <x:c r="C776" s="31" t="n">
        <x:v>0</x:v>
      </x:c>
      <x:c r="D776" s="31" t="n">
        <x:v>1</x:v>
      </x:c>
      <x:c r="E776" s="33" t="n">
        <x:f>IF(AND(ISNUMBER(C776),ISNUMBER(D776),D776&gt;0),C776/D776,"")</x:f>
        <x:v>0</x:v>
      </x:c>
      <x:c r="F776" s="35" t="n">
        <x:v>9</x:v>
      </x:c>
      <x:c r="G776" s="31" t="n">
        <x:v>9</x:v>
      </x:c>
    </x:row>
    <x:row r="777" ht="42" customHeight="1">
      <x:c r="A777" s="12" t="str">
        <x:v>электроэпиляция сургут цены</x:v>
      </x:c>
      <x:c r="B777" s="12" t="str">
        <x:v>https://kozhaclinic.ru/ustranenie-nezhelatelnykh-volos/</x:v>
      </x:c>
      <x:c r="C777" s="30" t="n">
        <x:v>0</x:v>
      </x:c>
      <x:c r="D777" s="30" t="n">
        <x:v>3</x:v>
      </x:c>
      <x:c r="E777" s="32" t="n">
        <x:f>IF(AND(ISNUMBER(C777),ISNUMBER(D777),D777&gt;0),C777/D777,"")</x:f>
        <x:v>0</x:v>
      </x:c>
      <x:c r="F777" s="34" t="n">
        <x:v>11</x:v>
      </x:c>
      <x:c r="G777" s="30" t="n">
        <x:v>8</x:v>
      </x:c>
    </x:row>
    <x:row r="778" ht="42" customHeight="1">
      <x:c r="A778" s="14" t="str">
        <x:v>эпиляция все тело акция 4990 р в сети клиник подружки</x:v>
      </x:c>
      <x:c r="B778" s="14" t="str">
        <x:v>https://kozhaclinic.ru/lazernaya-kosmetologiya/lazernaya-epilyaciya/litsa-dlya-muzhchin/</x:v>
      </x:c>
      <x:c r="C778" s="31" t="n">
        <x:v>0</x:v>
      </x:c>
      <x:c r="D778" s="31" t="n">
        <x:v>0</x:v>
      </x:c>
      <x:c r="E778" s="33" t="str">
        <x:f>IF(AND(ISNUMBER(C778),ISNUMBER(D778),D778&gt;0),C778/D778,"")</x:f>
      </x:c>
      <x:c r="F778" s="35"/>
      <x:c r="G778" s="31" t="n">
        <x:v>1305</x:v>
      </x:c>
    </x:row>
    <x:row r="779" ht="42" customHeight="1">
      <x:c r="A779" s="12" t="str">
        <x:v>эпиляция для мужчин в сургуте</x:v>
      </x:c>
      <x:c r="B779" s="12" t="str">
        <x:v>https://kozhaclinic.ru/lazernaya-kosmetologiya/dlya-muzhchin/</x:v>
      </x:c>
      <x:c r="C779" s="30" t="n">
        <x:v>0</x:v>
      </x:c>
      <x:c r="D779" s="30" t="n">
        <x:v>0</x:v>
      </x:c>
      <x:c r="E779" s="32" t="str">
        <x:f>IF(AND(ISNUMBER(C779),ISNUMBER(D779),D779&gt;0),C779/D779,"")</x:f>
      </x:c>
      <x:c r="F779" s="34"/>
      <x:c r="G779" s="30" t="n">
        <x:v>0</x:v>
      </x:c>
    </x:row>
    <x:row r="780" ht="42" customHeight="1">
      <x:c r="A780" s="14" t="str">
        <x:v>ipl терапия сургут</x:v>
      </x:c>
      <x:c r="B780" s="14" t="str">
        <x:v>https://kozhaclinic.ru/apparatnaya-kosmetologiya/fotoomolozhenie-inmode/</x:v>
      </x:c>
      <x:c r="C780" s="31" t="n">
        <x:v>0</x:v>
      </x:c>
      <x:c r="D780" s="31" t="n">
        <x:v>1</x:v>
      </x:c>
      <x:c r="E780" s="33" t="n">
        <x:f>IF(AND(ISNUMBER(C780),ISNUMBER(D780),D780&gt;0),C780/D780,"")</x:f>
        <x:v>0</x:v>
      </x:c>
      <x:c r="F780" s="35" t="n">
        <x:v>1</x:v>
      </x:c>
      <x:c r="G780" s="31" t="n">
        <x:v>1</x:v>
      </x:c>
    </x:row>
    <x:row r="781" ht="42" customHeight="1">
      <x:c r="A781" s="12" t="str">
        <x:v>lumecca фотоомоложение</x:v>
      </x:c>
      <x:c r="B781" s="12" t="str">
        <x:v>https://kozhaclinic.ru/apparatnaya-kosmetologiya/fotoomolozhenie-inmode/</x:v>
      </x:c>
      <x:c r="C781" s="30" t="n">
        <x:v>0</x:v>
      </x:c>
      <x:c r="D781" s="30" t="n">
        <x:v>0</x:v>
      </x:c>
      <x:c r="E781" s="32" t="str">
        <x:f>IF(AND(ISNUMBER(C781),ISNUMBER(D781),D781&gt;0),C781/D781,"")</x:f>
      </x:c>
      <x:c r="F781" s="34"/>
      <x:c r="G781" s="30" t="n">
        <x:v>489</x:v>
      </x:c>
    </x:row>
    <x:row r="782" ht="42" customHeight="1">
      <x:c r="A782" s="14" t="str">
        <x:v>rf микроигольчатый лифтинг</x:v>
      </x:c>
      <x:c r="B782" s="14" t="str">
        <x:v>https://kozhaclinic.ru/apparatnaya-kosmetologiya/igolchatyy-rf-lifting-na-morpheus-8/</x:v>
      </x:c>
      <x:c r="C782" s="31" t="n">
        <x:v>0</x:v>
      </x:c>
      <x:c r="D782" s="31" t="n">
        <x:v>0</x:v>
      </x:c>
      <x:c r="E782" s="33" t="str">
        <x:f>IF(AND(ISNUMBER(C782),ISNUMBER(D782),D782&gt;0),C782/D782,"")</x:f>
      </x:c>
      <x:c r="F782" s="35"/>
      <x:c r="G782" s="31" t="n">
        <x:v>113</x:v>
      </x:c>
    </x:row>
    <x:row r="783" ht="42" customHeight="1">
      <x:c r="A783" s="12" t="str">
        <x:v>александритовый лазер сургут</x:v>
      </x:c>
      <x:c r="B783" s="12" t="str">
        <x:v>https://kozhaclinic.ru/ustranenie-nezhelatelnykh-volos/</x:v>
      </x:c>
      <x:c r="C783" s="30" t="n">
        <x:v>0</x:v>
      </x:c>
      <x:c r="D783" s="30" t="n">
        <x:v>4</x:v>
      </x:c>
      <x:c r="E783" s="32" t="n">
        <x:f>IF(AND(ISNUMBER(C783),ISNUMBER(D783),D783&gt;0),C783/D783,"")</x:f>
        <x:v>0</x:v>
      </x:c>
      <x:c r="F783" s="34" t="n">
        <x:v>10</x:v>
      </x:c>
      <x:c r="G783" s="30" t="n">
        <x:v>38</x:v>
      </x:c>
    </x:row>
    <x:row r="784" ht="42" customHeight="1">
      <x:c r="A784" s="14" t="str">
        <x:v>аппаратное лечение акне сургут</x:v>
      </x:c>
      <x:c r="B784" s="14" t="str">
        <x:v>https://kozhaclinic.ru/</x:v>
      </x:c>
      <x:c r="C784" s="31" t="n">
        <x:v>0</x:v>
      </x:c>
      <x:c r="D784" s="31" t="n">
        <x:v>0</x:v>
      </x:c>
      <x:c r="E784" s="33" t="str">
        <x:f>IF(AND(ISNUMBER(C784),ISNUMBER(D784),D784&gt;0),C784/D784,"")</x:f>
      </x:c>
      <x:c r="F784" s="35"/>
      <x:c r="G784" s="31" t="n">
        <x:v>0</x:v>
      </x:c>
    </x:row>
    <x:row r="785" ht="42" customHeight="1">
      <x:c r="A785" s="12" t="str">
        <x:v>биоревитализация лица сургут клиника кожа</x:v>
      </x:c>
      <x:c r="B785" s="12" t="str">
        <x:v>https://kozhaclinic.ru/inekcionnaya-kosmetologiya/omolozhenie-i-pitanie-kozhi/biorevitalizatsiya/</x:v>
      </x:c>
      <x:c r="C785" s="30" t="n">
        <x:v>0</x:v>
      </x:c>
      <x:c r="D785" s="30" t="n">
        <x:v>0</x:v>
      </x:c>
      <x:c r="E785" s="32" t="str">
        <x:f>IF(AND(ISNUMBER(C785),ISNUMBER(D785),D785&gt;0),C785/D785,"")</x:f>
      </x:c>
      <x:c r="F785" s="34"/>
      <x:c r="G785" s="30" t="n">
        <x:v>0</x:v>
      </x:c>
    </x:row>
    <x:row r="786" ht="42" customHeight="1">
      <x:c r="A786" s="14" t="str">
        <x:v>бланшинг в косметологии что это</x:v>
      </x:c>
      <x:c r="B786" s="14" t="str">
        <x:v>https://kozhaclinic.ru/inekcionnaya-kosmetologiya/konturnaya-plastika/blanshirovanie/</x:v>
      </x:c>
      <x:c r="C786" s="31" t="n">
        <x:v>0</x:v>
      </x:c>
      <x:c r="D786" s="31" t="n">
        <x:v>0</x:v>
      </x:c>
      <x:c r="E786" s="33" t="str">
        <x:f>IF(AND(ISNUMBER(C786),ISNUMBER(D786),D786&gt;0),C786/D786,"")</x:f>
      </x:c>
      <x:c r="F786" s="35"/>
      <x:c r="G786" s="31" t="n">
        <x:v>68</x:v>
      </x:c>
    </x:row>
    <x:row r="787" ht="42" customHeight="1">
      <x:c r="A787" s="12" t="str">
        <x:v>бородавка - дерматологи в сургуте</x:v>
      </x:c>
      <x:c r="B787" s="12" t="str">
        <x:v>https://kozhaclinic.ru/udalenie-novoobrazovanij/udalenie-borodavok/</x:v>
      </x:c>
      <x:c r="C787" s="30" t="n">
        <x:v>0</x:v>
      </x:c>
      <x:c r="D787" s="30" t="n">
        <x:v>0</x:v>
      </x:c>
      <x:c r="E787" s="32" t="str">
        <x:f>IF(AND(ISNUMBER(C787),ISNUMBER(D787),D787&gt;0),C787/D787,"")</x:f>
      </x:c>
      <x:c r="F787" s="34"/>
      <x:c r="G787" s="30" t="n">
        <x:v>0</x:v>
      </x:c>
    </x:row>
    <x:row r="788" ht="42" customHeight="1">
      <x:c r="A788" s="14" t="str">
        <x:v>всегда ли мигрирует филлер на губах</x:v>
      </x:c>
      <x:c r="B788" s="14" t="str">
        <x:v>https://kozhaclinic.ru/migratsiya-gelya-iz-gub/</x:v>
      </x:c>
      <x:c r="C788" s="31" t="n">
        <x:v>0</x:v>
      </x:c>
      <x:c r="D788" s="31" t="n">
        <x:v>3</x:v>
      </x:c>
      <x:c r="E788" s="33" t="n">
        <x:f>IF(AND(ISNUMBER(C788),ISNUMBER(D788),D788&gt;0),C788/D788,"")</x:f>
        <x:v>0</x:v>
      </x:c>
      <x:c r="F788" s="35" t="n">
        <x:v>9.3</x:v>
      </x:c>
      <x:c r="G788" s="31" t="n">
        <x:v>11</x:v>
      </x:c>
    </x:row>
    <x:row r="789" ht="42" customHeight="1">
      <x:c r="A789" s="12" t="str">
        <x:v>гель мигрировал в губах</x:v>
      </x:c>
      <x:c r="B789" s="12" t="str">
        <x:v>https://kozhaclinic.ru/migratsiya-gelya-iz-gub/</x:v>
      </x:c>
      <x:c r="C789" s="30" t="n">
        <x:v>0</x:v>
      </x:c>
      <x:c r="D789" s="30" t="n">
        <x:v>4</x:v>
      </x:c>
      <x:c r="E789" s="32" t="n">
        <x:f>IF(AND(ISNUMBER(C789),ISNUMBER(D789),D789&gt;0),C789/D789,"")</x:f>
        <x:v>0</x:v>
      </x:c>
      <x:c r="F789" s="34" t="n">
        <x:v>6.5</x:v>
      </x:c>
      <x:c r="G789" s="30" t="n">
        <x:v>4</x:v>
      </x:c>
    </x:row>
    <x:row r="790" ht="42" customHeight="1">
      <x:c r="A790" s="14" t="str">
        <x:v>гладкость кожи</x:v>
      </x:c>
      <x:c r="B790" s="14" t="str">
        <x:v>https://kozhaclinic.ru/gladkost-i-siyanie-kozhi/</x:v>
      </x:c>
      <x:c r="C790" s="31" t="n">
        <x:v>0</x:v>
      </x:c>
      <x:c r="D790" s="31" t="n">
        <x:v>1</x:v>
      </x:c>
      <x:c r="E790" s="33" t="n">
        <x:f>IF(AND(ISNUMBER(C790),ISNUMBER(D790),D790&gt;0),C790/D790,"")</x:f>
        <x:v>0</x:v>
      </x:c>
      <x:c r="F790" s="35" t="n">
        <x:v>6</x:v>
      </x:c>
      <x:c r="G790" s="31" t="n">
        <x:v>3</x:v>
      </x:c>
    </x:row>
    <x:row r="791" ht="42" customHeight="1">
      <x:c r="A791" s="12" t="str">
        <x:v>город сургут убрать папилломы</x:v>
      </x:c>
      <x:c r="B791" s="12" t="str">
        <x:v>https://kozhaclinic.ru/udalenie-novoobrazovanij/udalenie-papilom/</x:v>
      </x:c>
      <x:c r="C791" s="30" t="n">
        <x:v>0</x:v>
      </x:c>
      <x:c r="D791" s="30" t="n">
        <x:v>2</x:v>
      </x:c>
      <x:c r="E791" s="32" t="n">
        <x:f>IF(AND(ISNUMBER(C791),ISNUMBER(D791),D791&gt;0),C791/D791,"")</x:f>
        <x:v>0</x:v>
      </x:c>
      <x:c r="F791" s="34" t="n">
        <x:v>4.5</x:v>
      </x:c>
      <x:c r="G791" s="30" t="n">
        <x:v>2</x:v>
      </x:c>
    </x:row>
    <x:row r="792" ht="42" customHeight="1">
      <x:c r="A792" s="14" t="str">
        <x:v>депиляция для мужчин сургут</x:v>
      </x:c>
      <x:c r="B792" s="14" t="str">
        <x:v>https://kozhaclinic.ru/lazernaya-kosmetologiya/lazernaya-epilyaciya/dlya-muzhchin/</x:v>
      </x:c>
      <x:c r="C792" s="31" t="n">
        <x:v>0</x:v>
      </x:c>
      <x:c r="D792" s="31" t="n">
        <x:v>6</x:v>
      </x:c>
      <x:c r="E792" s="33" t="n">
        <x:f>IF(AND(ISNUMBER(C792),ISNUMBER(D792),D792&gt;0),C792/D792,"")</x:f>
        <x:v>0</x:v>
      </x:c>
      <x:c r="F792" s="35" t="n">
        <x:v>8.1</x:v>
      </x:c>
      <x:c r="G792" s="31" t="n">
        <x:v>6</x:v>
      </x:c>
    </x:row>
    <x:row r="793" ht="42" customHeight="1">
      <x:c r="A793" s="12" t="str">
        <x:v>дерматоскопия</x:v>
      </x:c>
      <x:c r="B793" s="12" t="str">
        <x:v>https://kozhaclinic.ru/osmotry-i-konsultatsii/dermatoskopiya/</x:v>
      </x:c>
      <x:c r="C793" s="30" t="n">
        <x:v>0</x:v>
      </x:c>
      <x:c r="D793" s="30" t="n">
        <x:v>12</x:v>
      </x:c>
      <x:c r="E793" s="32" t="n">
        <x:f>IF(AND(ISNUMBER(C793),ISNUMBER(D793),D793&gt;0),C793/D793,"")</x:f>
        <x:v>0</x:v>
      </x:c>
      <x:c r="F793" s="34" t="n">
        <x:v>5.8</x:v>
      </x:c>
      <x:c r="G793" s="30" t="n">
        <x:v>2734</x:v>
      </x:c>
    </x:row>
    <x:row r="794" ht="42" customHeight="1">
      <x:c r="A794" s="14" t="str">
        <x:v>из за чего происходит миграция филлера в губах</x:v>
      </x:c>
      <x:c r="B794" s="14" t="str">
        <x:v>https://kozhaclinic.ru/migratsiya-gelya-iz-gub/</x:v>
      </x:c>
      <x:c r="C794" s="31" t="n">
        <x:v>0</x:v>
      </x:c>
      <x:c r="D794" s="31" t="n">
        <x:v>2</x:v>
      </x:c>
      <x:c r="E794" s="33" t="n">
        <x:f>IF(AND(ISNUMBER(C794),ISNUMBER(D794),D794&gt;0),C794/D794,"")</x:f>
        <x:v>0</x:v>
      </x:c>
      <x:c r="F794" s="35" t="n">
        <x:v>7.5</x:v>
      </x:c>
      <x:c r="G794" s="31" t="n">
        <x:v>4</x:v>
      </x:c>
    </x:row>
    <x:row r="795" ht="42" customHeight="1">
      <x:c r="A795" s="12" t="str">
        <x:v>как выглядит миграция губ</x:v>
      </x:c>
      <x:c r="B795" s="12" t="str">
        <x:v>https://kozhaclinic.ru/migratsiya-gelya-iz-gub/</x:v>
      </x:c>
      <x:c r="C795" s="30" t="n">
        <x:v>0</x:v>
      </x:c>
      <x:c r="D795" s="30" t="n">
        <x:v>4</x:v>
      </x:c>
      <x:c r="E795" s="32" t="n">
        <x:f>IF(AND(ISNUMBER(C795),ISNUMBER(D795),D795&gt;0),C795/D795,"")</x:f>
        <x:v>0</x:v>
      </x:c>
      <x:c r="F795" s="34" t="n">
        <x:v>9.5</x:v>
      </x:c>
      <x:c r="G795" s="30" t="n">
        <x:v>14</x:v>
      </x:c>
    </x:row>
    <x:row r="796" ht="42" customHeight="1">
      <x:c r="A796" s="14" t="str">
        <x:v>капельницы сургут</x:v>
      </x:c>
      <x:c r="B796" s="14" t="str">
        <x:v>https://kozhaclinic.ru/</x:v>
      </x:c>
      <x:c r="C796" s="31" t="n">
        <x:v>0</x:v>
      </x:c>
      <x:c r="D796" s="31" t="n">
        <x:v>0</x:v>
      </x:c>
      <x:c r="E796" s="33" t="str">
        <x:f>IF(AND(ISNUMBER(C796),ISNUMBER(D796),D796&gt;0),C796/D796,"")</x:f>
      </x:c>
      <x:c r="F796" s="35"/>
      <x:c r="G796" s="31" t="n">
        <x:v>15</x:v>
      </x:c>
    </x:row>
    <x:row r="797" ht="42" customHeight="1">
      <x:c r="A797" s="12" t="str">
        <x:v>клиника кожа сургут адрес</x:v>
      </x:c>
      <x:c r="B797" s="12" t="str">
        <x:v>https://kozhaclinic.ru/</x:v>
      </x:c>
      <x:c r="C797" s="30" t="n">
        <x:v>0</x:v>
      </x:c>
      <x:c r="D797" s="30" t="n">
        <x:v>0</x:v>
      </x:c>
      <x:c r="E797" s="32" t="str">
        <x:f>IF(AND(ISNUMBER(C797),ISNUMBER(D797),D797&gt;0),C797/D797,"")</x:f>
      </x:c>
      <x:c r="F797" s="34"/>
      <x:c r="G797" s="30" t="n">
        <x:v>0</x:v>
      </x:c>
    </x:row>
    <x:row r="798" ht="42" customHeight="1">
      <x:c r="A798" s="14" t="str">
        <x:v>кожа сайт сургут</x:v>
      </x:c>
      <x:c r="B798" s="14" t="str">
        <x:v>https://kozhaclinic.ru/</x:v>
      </x:c>
      <x:c r="C798" s="31" t="n">
        <x:v>1</x:v>
      </x:c>
      <x:c r="D798" s="31" t="n">
        <x:v>2</x:v>
      </x:c>
      <x:c r="E798" s="33" t="n">
        <x:f>IF(AND(ISNUMBER(C798),ISNUMBER(D798),D798&gt;0),C798/D798,"")</x:f>
        <x:v>0.5</x:v>
      </x:c>
      <x:c r="F798" s="35" t="n">
        <x:v>1</x:v>
      </x:c>
      <x:c r="G798" s="31" t="n">
        <x:v>2</x:v>
      </x:c>
    </x:row>
    <x:row r="799" ht="42" customHeight="1">
      <x:c r="A799" s="12" t="str">
        <x:v>кожа салон официальный сайт</x:v>
      </x:c>
      <x:c r="B799" s="12" t="str">
        <x:v>https://kozhaclinic.ru/akcii/</x:v>
      </x:c>
      <x:c r="C799" s="30" t="n">
        <x:v>0</x:v>
      </x:c>
      <x:c r="D799" s="30" t="n">
        <x:v>0</x:v>
      </x:c>
      <x:c r="E799" s="32" t="str">
        <x:f>IF(AND(ISNUMBER(C799),ISNUMBER(D799),D799&gt;0),C799/D799,"")</x:f>
      </x:c>
      <x:c r="F799" s="34"/>
      <x:c r="G799" s="30" t="n">
        <x:v>0</x:v>
      </x:c>
    </x:row>
    <x:row r="800" ht="42" customHeight="1">
      <x:c r="A800" s="14" t="str">
        <x:v>кожа салон сургут</x:v>
      </x:c>
      <x:c r="B800" s="14" t="str">
        <x:v>https://kozhaclinic.ru/</x:v>
      </x:c>
      <x:c r="C800" s="31" t="n">
        <x:v>0</x:v>
      </x:c>
      <x:c r="D800" s="31" t="n">
        <x:v>1</x:v>
      </x:c>
      <x:c r="E800" s="33" t="n">
        <x:f>IF(AND(ISNUMBER(C800),ISNUMBER(D800),D800&gt;0),C800/D800,"")</x:f>
        <x:v>0</x:v>
      </x:c>
      <x:c r="F800" s="35" t="n">
        <x:v>1</x:v>
      </x:c>
      <x:c r="G800" s="31" t="n">
        <x:v>1</x:v>
      </x:c>
    </x:row>
    <x:row r="801" ht="42" customHeight="1">
      <x:c r="A801" s="12" t="str">
        <x:v>коллагенотерапия сургут</x:v>
      </x:c>
      <x:c r="B801" s="12" t="str">
        <x:v>https://kozhaclinic.ru/inekcionnaya-kosmetologiya/kollagenoterapiya/</x:v>
      </x:c>
      <x:c r="C801" s="30" t="n">
        <x:v>0</x:v>
      </x:c>
      <x:c r="D801" s="30" t="n">
        <x:v>0</x:v>
      </x:c>
      <x:c r="E801" s="32" t="str">
        <x:f>IF(AND(ISNUMBER(C801),ISNUMBER(D801),D801&gt;0),C801/D801,"")</x:f>
      </x:c>
      <x:c r="F801" s="34"/>
      <x:c r="G801" s="30" t="n">
        <x:v>0</x:v>
      </x:c>
    </x:row>
    <x:row r="802" ht="42" customHeight="1">
      <x:c r="A802" s="14" t="str">
        <x:v>комбинированная чистка лица club-soprano.ru</x:v>
      </x:c>
      <x:c r="B802" s="14" t="str">
        <x:v>https://kozhaclinic.ru/uhodovye-procedury/chistki-litsa-i-spiny/kombinirovannaya-chistka/</x:v>
      </x:c>
      <x:c r="C802" s="31" t="n">
        <x:v>0</x:v>
      </x:c>
      <x:c r="D802" s="31" t="n">
        <x:v>0</x:v>
      </x:c>
      <x:c r="E802" s="33" t="str">
        <x:f>IF(AND(ISNUMBER(C802),ISNUMBER(D802),D802&gt;0),C802/D802,"")</x:f>
      </x:c>
      <x:c r="F802" s="35"/>
      <x:c r="G802" s="31" t="n">
        <x:v>0</x:v>
      </x:c>
    </x:row>
    <x:row r="803" ht="42" customHeight="1">
      <x:c r="A803" s="12" t="str">
        <x:v>коррекция носослезной борозды</x:v>
      </x:c>
      <x:c r="B803" s="12" t="str">
        <x:v>https://kozhaclinic.ru/inekcionnaya-kosmetologiya/konturnaya-plastika/korrektsiya-nososleznoy-borozdy/</x:v>
      </x:c>
      <x:c r="C803" s="30" t="n">
        <x:v>0</x:v>
      </x:c>
      <x:c r="D803" s="30" t="n">
        <x:v>0</x:v>
      </x:c>
      <x:c r="E803" s="32" t="str">
        <x:f>IF(AND(ISNUMBER(C803),ISNUMBER(D803),D803&gt;0),C803/D803,"")</x:f>
      </x:c>
      <x:c r="F803" s="34"/>
      <x:c r="G803" s="30" t="n">
        <x:v>844</x:v>
      </x:c>
    </x:row>
    <x:row r="804" ht="42" customHeight="1">
      <x:c r="A804" s="14" t="str">
        <x:v>круговая подтяжка лица в сургуте цены</x:v>
      </x:c>
      <x:c r="B804" s="14" t="str">
        <x:v>https://kozhaclinic.ru/podtyazhka-kozhi-litsa/</x:v>
      </x:c>
      <x:c r="C804" s="31" t="n">
        <x:v>0</x:v>
      </x:c>
      <x:c r="D804" s="31" t="n">
        <x:v>0</x:v>
      </x:c>
      <x:c r="E804" s="33" t="str">
        <x:f>IF(AND(ISNUMBER(C804),ISNUMBER(D804),D804&gt;0),C804/D804,"")</x:f>
      </x:c>
      <x:c r="F804" s="35"/>
      <x:c r="G804" s="31" t="n">
        <x:v>10</x:v>
      </x:c>
    </x:row>
    <x:row r="805" ht="42" customHeight="1">
      <x:c r="A805" s="12" t="str">
        <x:v>лечение гипергидроза лазером сургут</x:v>
      </x:c>
      <x:c r="B805" s="12" t="str">
        <x:v>https://kozhaclinic.ru/lazernaya-kosmetologiya/</x:v>
      </x:c>
      <x:c r="C805" s="30" t="n">
        <x:v>0</x:v>
      </x:c>
      <x:c r="D805" s="30" t="n">
        <x:v>4</x:v>
      </x:c>
      <x:c r="E805" s="32" t="n">
        <x:f>IF(AND(ISNUMBER(C805),ISNUMBER(D805),D805&gt;0),C805/D805,"")</x:f>
        <x:v>0</x:v>
      </x:c>
      <x:c r="F805" s="34" t="n">
        <x:v>4.2</x:v>
      </x:c>
      <x:c r="G805" s="30" t="n">
        <x:v>5</x:v>
      </x:c>
    </x:row>
    <x:row r="806" ht="42" customHeight="1">
      <x:c r="A806" s="14" t="str">
        <x:v>лусине эдиковна</x:v>
      </x:c>
      <x:c r="B806" s="14" t="str">
        <x:v>https://kozhaclinic.ru/o-nas/specialisty/simonyan-lusine-edikovna/</x:v>
      </x:c>
      <x:c r="C806" s="31" t="n">
        <x:v>0</x:v>
      </x:c>
      <x:c r="D806" s="31" t="n">
        <x:v>1</x:v>
      </x:c>
      <x:c r="E806" s="33" t="n">
        <x:f>IF(AND(ISNUMBER(C806),ISNUMBER(D806),D806&gt;0),C806/D806,"")</x:f>
        <x:v>0</x:v>
      </x:c>
      <x:c r="F806" s="35" t="n">
        <x:v>6</x:v>
      </x:c>
      <x:c r="G806" s="31" t="n">
        <x:v>1</x:v>
      </x:c>
    </x:row>
    <x:row r="807" ht="42" customHeight="1">
      <x:c r="A807" s="12" t="str">
        <x:v>миграция геля в губах в слизистую</x:v>
      </x:c>
      <x:c r="B807" s="12" t="str">
        <x:v>https://kozhaclinic.ru/migratsiya-gelya-iz-gub/</x:v>
      </x:c>
      <x:c r="C807" s="30" t="n">
        <x:v>0</x:v>
      </x:c>
      <x:c r="D807" s="30" t="n">
        <x:v>3</x:v>
      </x:c>
      <x:c r="E807" s="32" t="n">
        <x:f>IF(AND(ISNUMBER(C807),ISNUMBER(D807),D807&gt;0),C807/D807,"")</x:f>
        <x:v>0</x:v>
      </x:c>
      <x:c r="F807" s="34" t="n">
        <x:v>6.3</x:v>
      </x:c>
      <x:c r="G807" s="30" t="n">
        <x:v>3</x:v>
      </x:c>
    </x:row>
    <x:row r="808" ht="42" customHeight="1">
      <x:c r="A808" s="14" t="str">
        <x:v>миграция геля над верхней губой</x:v>
      </x:c>
      <x:c r="B808" s="14" t="str">
        <x:v>https://kozhaclinic.ru/migratsiya-gelya-iz-gub/</x:v>
      </x:c>
      <x:c r="C808" s="31" t="n">
        <x:v>0</x:v>
      </x:c>
      <x:c r="D808" s="31" t="n">
        <x:v>5</x:v>
      </x:c>
      <x:c r="E808" s="33" t="n">
        <x:f>IF(AND(ISNUMBER(C808),ISNUMBER(D808),D808&gt;0),C808/D808,"")</x:f>
        <x:v>0</x:v>
      </x:c>
      <x:c r="F808" s="35" t="n">
        <x:v>7.8</x:v>
      </x:c>
      <x:c r="G808" s="31" t="n">
        <x:v>5</x:v>
      </x:c>
    </x:row>
    <x:row r="809" ht="42" customHeight="1">
      <x:c r="A809" s="12" t="str">
        <x:v>миграция накаченных губ</x:v>
      </x:c>
      <x:c r="B809" s="12" t="str">
        <x:v>https://kozhaclinic.ru/migratsiya-gelya-iz-gub/</x:v>
      </x:c>
      <x:c r="C809" s="30" t="n">
        <x:v>0</x:v>
      </x:c>
      <x:c r="D809" s="30" t="n">
        <x:v>5</x:v>
      </x:c>
      <x:c r="E809" s="32" t="n">
        <x:f>IF(AND(ISNUMBER(C809),ISNUMBER(D809),D809&gt;0),C809/D809,"")</x:f>
        <x:v>0</x:v>
      </x:c>
      <x:c r="F809" s="34" t="n">
        <x:v>11.2</x:v>
      </x:c>
      <x:c r="G809" s="30" t="n">
        <x:v>5</x:v>
      </x:c>
    </x:row>
    <x:row r="810" ht="42" customHeight="1">
      <x:c r="A810" s="14" t="str">
        <x:v>можно ли при розацеа делать чистку лица</x:v>
      </x:c>
      <x:c r="B810" s="14" t="str">
        <x:v>https://kozhaclinic.ru/ubrat-rozatsea/</x:v>
      </x:c>
      <x:c r="C810" s="31" t="n">
        <x:v>0</x:v>
      </x:c>
      <x:c r="D810" s="31" t="n">
        <x:v>2</x:v>
      </x:c>
      <x:c r="E810" s="33" t="n">
        <x:f>IF(AND(ISNUMBER(C810),ISNUMBER(D810),D810&gt;0),C810/D810,"")</x:f>
        <x:v>0</x:v>
      </x:c>
      <x:c r="F810" s="35" t="n">
        <x:v>9</x:v>
      </x:c>
      <x:c r="G810" s="31" t="n">
        <x:v>3</x:v>
      </x:c>
    </x:row>
    <x:row r="811" ht="42" customHeight="1">
      <x:c r="A811" s="12" t="str">
        <x:v>морфеус в сургуте</x:v>
      </x:c>
      <x:c r="B811" s="12" t="str">
        <x:v>https://kozhaclinic.ru/apparatnaya-kosmetologiya/igolchatyy-rf-lifting-na-morpheus-8/</x:v>
      </x:c>
      <x:c r="C811" s="30" t="n">
        <x:v>0</x:v>
      </x:c>
      <x:c r="D811" s="30" t="n">
        <x:v>0</x:v>
      </x:c>
      <x:c r="E811" s="32" t="str">
        <x:f>IF(AND(ISNUMBER(C811),ISNUMBER(D811),D811&gt;0),C811/D811,"")</x:f>
      </x:c>
      <x:c r="F811" s="34"/>
      <x:c r="G811" s="30" t="n">
        <x:v>0</x:v>
      </x:c>
    </x:row>
    <x:row r="812" ht="42" customHeight="1">
      <x:c r="A812" s="14" t="str">
        <x:v>накачать губы в сургуте</x:v>
      </x:c>
      <x:c r="B812" s="14" t="str">
        <x:v>https://kozhaclinic.ru/inekcionnaya-kosmetologiya/konturnaya-plastika/uvelichenie-gub/</x:v>
      </x:c>
      <x:c r="C812" s="31" t="n">
        <x:v>0</x:v>
      </x:c>
      <x:c r="D812" s="31" t="n">
        <x:v>1</x:v>
      </x:c>
      <x:c r="E812" s="33" t="n">
        <x:f>IF(AND(ISNUMBER(C812),ISNUMBER(D812),D812&gt;0),C812/D812,"")</x:f>
        <x:v>0</x:v>
      </x:c>
      <x:c r="F812" s="35" t="n">
        <x:v>4</x:v>
      </x:c>
      <x:c r="G812" s="31" t="n">
        <x:v>1</x:v>
      </x:c>
    </x:row>
    <x:row r="813" ht="42" customHeight="1">
      <x:c r="A813" s="12" t="str">
        <x:v>папиллома дерматологи в сургуте</x:v>
      </x:c>
      <x:c r="B813" s="12" t="str">
        <x:v>https://kozhaclinic.ru/udalenie-novoobrazovanij/udalenie-papilom/</x:v>
      </x:c>
      <x:c r="C813" s="30" t="n">
        <x:v>0</x:v>
      </x:c>
      <x:c r="D813" s="30" t="n">
        <x:v>0</x:v>
      </x:c>
      <x:c r="E813" s="32" t="str">
        <x:f>IF(AND(ISNUMBER(C813),ISNUMBER(D813),D813&gt;0),C813/D813,"")</x:f>
      </x:c>
      <x:c r="F813" s="34"/>
      <x:c r="G813" s="30" t="n">
        <x:v>0</x:v>
      </x:c>
    </x:row>
    <x:row r="814" ht="42" customHeight="1">
      <x:c r="A814" s="14" t="str">
        <x:v>плазмотерапия для волос сургут</x:v>
      </x:c>
      <x:c r="B814" s="14" t="str">
        <x:v>https://kozhaclinic.ru/inekcionnaya-kosmetologiya/omolozhenie-i-pitanie-kozhi/plazmolifting-dlya-volos/</x:v>
      </x:c>
      <x:c r="C814" s="31" t="n">
        <x:v>0</x:v>
      </x:c>
      <x:c r="D814" s="31" t="n">
        <x:v>1</x:v>
      </x:c>
      <x:c r="E814" s="33" t="n">
        <x:f>IF(AND(ISNUMBER(C814),ISNUMBER(D814),D814&gt;0),C814/D814,"")</x:f>
        <x:v>0</x:v>
      </x:c>
      <x:c r="F814" s="35" t="n">
        <x:v>3</x:v>
      </x:c>
      <x:c r="G814" s="31" t="n">
        <x:v>1</x:v>
      </x:c>
    </x:row>
    <x:row r="815" ht="42" customHeight="1">
      <x:c r="A815" s="12" t="str">
        <x:v>плацентарная терапия в косметологии enheldome</x:v>
      </x:c>
      <x:c r="B815" s="12" t="str">
        <x:v>https://kozhaclinic.ru/inekcionnaya-kosmetologiya/platsentarnaya-terapiya/</x:v>
      </x:c>
      <x:c r="C815" s="30" t="n">
        <x:v>0</x:v>
      </x:c>
      <x:c r="D815" s="30" t="n">
        <x:v>0</x:v>
      </x:c>
      <x:c r="E815" s="32" t="str">
        <x:f>IF(AND(ISNUMBER(C815),ISNUMBER(D815),D815&gt;0),C815/D815,"")</x:f>
      </x:c>
      <x:c r="F815" s="34"/>
      <x:c r="G815" s="30" t="n">
        <x:v>6</x:v>
      </x:c>
    </x:row>
    <x:row r="816" ht="42" customHeight="1">
      <x:c r="A816" s="14" t="str">
        <x:v>проспект ленина 18 сургут</x:v>
      </x:c>
      <x:c r="B816" s="14" t="str">
        <x:v>https://kozhaclinic.ru/</x:v>
      </x:c>
      <x:c r="C816" s="31" t="n">
        <x:v>0</x:v>
      </x:c>
      <x:c r="D816" s="31" t="n">
        <x:v>1</x:v>
      </x:c>
      <x:c r="E816" s="33" t="n">
        <x:f>IF(AND(ISNUMBER(C816),ISNUMBER(D816),D816&gt;0),C816/D816,"")</x:f>
        <x:v>0</x:v>
      </x:c>
      <x:c r="F816" s="35" t="n">
        <x:v>12</x:v>
      </x:c>
      <x:c r="G816" s="31" t="n">
        <x:v>8</x:v>
      </x:c>
    </x:row>
    <x:row r="817" ht="42" customHeight="1">
      <x:c r="A817" s="12" t="str">
        <x:v>радиес</x:v>
      </x:c>
      <x:c r="B817" s="12" t="str">
        <x:v>https://kozhaclinic.ru/inekcionnaya-kosmetologiya/omolozhenie-i-pitanie-kozhi/protsedura-fillerom-radiesse-radiess/</x:v>
      </x:c>
      <x:c r="C817" s="30" t="n">
        <x:v>0</x:v>
      </x:c>
      <x:c r="D817" s="30" t="n">
        <x:v>3</x:v>
      </x:c>
      <x:c r="E817" s="32" t="n">
        <x:f>IF(AND(ISNUMBER(C817),ISNUMBER(D817),D817&gt;0),C817/D817,"")</x:f>
        <x:v>0</x:v>
      </x:c>
      <x:c r="F817" s="34" t="n">
        <x:v>12</x:v>
      </x:c>
      <x:c r="G817" s="30" t="n">
        <x:v>2792</x:v>
      </x:c>
    </x:row>
    <x:row r="818" ht="42" customHeight="1">
      <x:c r="A818" s="14" t="str">
        <x:v>релатокс что нельзя после процедуры делать</x:v>
      </x:c>
      <x:c r="B818" s="14" t="str">
        <x:v>https://kozhaclinic.ru/inekcionnaya-kosmetologiya/botulinoterapiya/relatox/</x:v>
      </x:c>
      <x:c r="C818" s="31" t="n">
        <x:v>0</x:v>
      </x:c>
      <x:c r="D818" s="31" t="n">
        <x:v>2</x:v>
      </x:c>
      <x:c r="E818" s="33" t="n">
        <x:f>IF(AND(ISNUMBER(C818),ISNUMBER(D818),D818&gt;0),C818/D818,"")</x:f>
        <x:v>0</x:v>
      </x:c>
      <x:c r="F818" s="35" t="n">
        <x:v>7</x:v>
      </x:c>
      <x:c r="G818" s="31" t="n">
        <x:v>10</x:v>
      </x:c>
    </x:row>
    <x:row r="819" ht="42" customHeight="1">
      <x:c r="A819" s="12" t="str">
        <x:v>рф лифтинг в сургуте</x:v>
      </x:c>
      <x:c r="B819" s="12" t="str">
        <x:v>https://kozhaclinic.ru/apparatnaya-kosmetologiya/igolchatyy-rf-lifting-na-morpheus-8/</x:v>
      </x:c>
      <x:c r="C819" s="30" t="n">
        <x:v>1</x:v>
      </x:c>
      <x:c r="D819" s="30" t="n">
        <x:v>3</x:v>
      </x:c>
      <x:c r="E819" s="32" t="n">
        <x:f>IF(AND(ISNUMBER(C819),ISNUMBER(D819),D819&gt;0),C819/D819,"")</x:f>
        <x:v>0.3333333333333333</x:v>
      </x:c>
      <x:c r="F819" s="34" t="n">
        <x:v>7.6</x:v>
      </x:c>
      <x:c r="G819" s="30" t="n">
        <x:v>3</x:v>
      </x:c>
    </x:row>
    <x:row r="820" ht="42" customHeight="1">
      <x:c r="A820" s="14" t="str">
        <x:v>симонян сургут</x:v>
      </x:c>
      <x:c r="B820" s="14" t="str">
        <x:v>https://kozhaclinic.ru/o-nas/specialisty/simonyan-lusine-edikovna/</x:v>
      </x:c>
      <x:c r="C820" s="31" t="n">
        <x:v>0</x:v>
      </x:c>
      <x:c r="D820" s="31" t="n">
        <x:v>6</x:v>
      </x:c>
      <x:c r="E820" s="33" t="n">
        <x:f>IF(AND(ISNUMBER(C820),ISNUMBER(D820),D820&gt;0),C820/D820,"")</x:f>
        <x:v>0</x:v>
      </x:c>
      <x:c r="F820" s="35" t="n">
        <x:v>8.5</x:v>
      </x:c>
      <x:c r="G820" s="31" t="n">
        <x:v>6</x:v>
      </x:c>
    </x:row>
    <x:row r="821" ht="42" customHeight="1">
      <x:c r="A821" s="12" t="str">
        <x:v>сколько стоит ботокс в лоб</x:v>
      </x:c>
      <x:c r="B821" s="12" t="str">
        <x:v>https://kozhaclinic.ru/inekcionnaya-kosmetologiya/botulinoterapiya/botulinoterapiya-v-lob-i-mezhbrove/</x:v>
      </x:c>
      <x:c r="C821" s="30" t="n">
        <x:v>0</x:v>
      </x:c>
      <x:c r="D821" s="30" t="n">
        <x:v>0</x:v>
      </x:c>
      <x:c r="E821" s="32" t="str">
        <x:f>IF(AND(ISNUMBER(C821),ISNUMBER(D821),D821&gt;0),C821/D821,"")</x:f>
      </x:c>
      <x:c r="F821" s="34"/>
      <x:c r="G821" s="30" t="n">
        <x:v>1146</x:v>
      </x:c>
    </x:row>
    <x:row r="822" ht="42" customHeight="1">
      <x:c r="A822" s="14" t="str">
        <x:v>сургут губы</x:v>
      </x:c>
      <x:c r="B822" s="14" t="str">
        <x:v>https://kozhaclinic.ru/inekcionnaya-kosmetologiya/konturnaya-plastika/uvelichenie-gub/</x:v>
      </x:c>
      <x:c r="C822" s="31" t="n">
        <x:v>0</x:v>
      </x:c>
      <x:c r="D822" s="31" t="n">
        <x:v>0</x:v>
      </x:c>
      <x:c r="E822" s="33" t="str">
        <x:f>IF(AND(ISNUMBER(C822),ISNUMBER(D822),D822&gt;0),C822/D822,"")</x:f>
      </x:c>
      <x:c r="F822" s="35"/>
      <x:c r="G822" s="31" t="n">
        <x:v>0</x:v>
      </x:c>
    </x:row>
    <x:row r="823" ht="42" customHeight="1">
      <x:c r="A823" s="12" t="str">
        <x:v>таскаева дарья геннадьевна сургут</x:v>
      </x:c>
      <x:c r="B823" s="12" t="str">
        <x:v>https://kozhaclinic.ru/o-nas/specialisty/taskaeva-darya-gennadevna/</x:v>
      </x:c>
      <x:c r="C823" s="30" t="n">
        <x:v>0</x:v>
      </x:c>
      <x:c r="D823" s="30" t="n">
        <x:v>0</x:v>
      </x:c>
      <x:c r="E823" s="32" t="str">
        <x:f>IF(AND(ISNUMBER(C823),ISNUMBER(D823),D823&gt;0),C823/D823,"")</x:f>
      </x:c>
      <x:c r="F823" s="34"/>
      <x:c r="G823" s="30" t="n">
        <x:v>0</x:v>
      </x:c>
    </x:row>
    <x:row r="824" ht="42" customHeight="1">
      <x:c r="A824" s="14" t="str">
        <x:v>трихолог в сургуте врач</x:v>
      </x:c>
      <x:c r="B824" s="14" t="str">
        <x:v>https://kozhaclinic.ru/osmotry-i-konsultatsii/konsultatsiya-vracha-trikhologa-s-naznacheniem-plana-protsedur/</x:v>
      </x:c>
      <x:c r="C824" s="31" t="n">
        <x:v>0</x:v>
      </x:c>
      <x:c r="D824" s="31" t="n">
        <x:v>5</x:v>
      </x:c>
      <x:c r="E824" s="33" t="n">
        <x:f>IF(AND(ISNUMBER(C824),ISNUMBER(D824),D824&gt;0),C824/D824,"")</x:f>
        <x:v>0</x:v>
      </x:c>
      <x:c r="F824" s="35" t="n">
        <x:v>12.2</x:v>
      </x:c>
      <x:c r="G824" s="31" t="n">
        <x:v>17</x:v>
      </x:c>
    </x:row>
    <x:row r="825" ht="42" customHeight="1">
      <x:c r="A825" s="12" t="str">
        <x:v>увеличение губ клиника и цены</x:v>
      </x:c>
      <x:c r="B825" s="12" t="str">
        <x:v>https://kozhaclinic.ru/inekcionnaya-kosmetologiya/konturnaya-plastika/uvelichenie-gub/</x:v>
      </x:c>
      <x:c r="C825" s="30" t="n">
        <x:v>0</x:v>
      </x:c>
      <x:c r="D825" s="30" t="n">
        <x:v>3</x:v>
      </x:c>
      <x:c r="E825" s="32" t="n">
        <x:f>IF(AND(ISNUMBER(C825),ISNUMBER(D825),D825&gt;0),C825/D825,"")</x:f>
        <x:v>0</x:v>
      </x:c>
      <x:c r="F825" s="34" t="n">
        <x:v>5.3</x:v>
      </x:c>
      <x:c r="G825" s="30" t="n">
        <x:v>3</x:v>
      </x:c>
    </x:row>
    <x:row r="826" ht="42" customHeight="1">
      <x:c r="A826" s="14" t="str">
        <x:v>удаление невуса alfa</x:v>
      </x:c>
      <x:c r="B826" s="14" t="str">
        <x:v>https://kozhaclinic.ru/udalenie-novoobrazovanij/</x:v>
      </x:c>
      <x:c r="C826" s="31" t="n">
        <x:v>0</x:v>
      </x:c>
      <x:c r="D826" s="31" t="n">
        <x:v>0</x:v>
      </x:c>
      <x:c r="E826" s="33" t="str">
        <x:f>IF(AND(ISNUMBER(C826),ISNUMBER(D826),D826&gt;0),C826/D826,"")</x:f>
      </x:c>
      <x:c r="F826" s="35"/>
      <x:c r="G826" s="31" t="n">
        <x:v>2</x:v>
      </x:c>
    </x:row>
    <x:row r="827" ht="42" customHeight="1">
      <x:c r="A827" s="12" t="str">
        <x:v>удаление невусов сургут</x:v>
      </x:c>
      <x:c r="B827" s="12" t="str">
        <x:v>https://kozhaclinic.ru/udalenie-novoobrazovanij/udalenie-rodinok/</x:v>
      </x:c>
      <x:c r="C827" s="30" t="n">
        <x:v>0</x:v>
      </x:c>
      <x:c r="D827" s="30" t="n">
        <x:v>2</x:v>
      </x:c>
      <x:c r="E827" s="32" t="n">
        <x:f>IF(AND(ISNUMBER(C827),ISNUMBER(D827),D827&gt;0),C827/D827,"")</x:f>
        <x:v>0</x:v>
      </x:c>
      <x:c r="F827" s="34" t="n">
        <x:v>5</x:v>
      </x:c>
      <x:c r="G827" s="30" t="n">
        <x:v>2</x:v>
      </x:c>
    </x:row>
    <x:row r="828" ht="42" customHeight="1">
      <x:c r="A828" s="14" t="str">
        <x:v>удаление родинок сургут цена</x:v>
      </x:c>
      <x:c r="B828" s="14" t="str">
        <x:v>https://kozhaclinic.ru/udalenie-novoobrazovanij/</x:v>
      </x:c>
      <x:c r="C828" s="31" t="n">
        <x:v>0</x:v>
      </x:c>
      <x:c r="D828" s="31" t="n">
        <x:v>0</x:v>
      </x:c>
      <x:c r="E828" s="33" t="str">
        <x:f>IF(AND(ISNUMBER(C828),ISNUMBER(D828),D828&gt;0),C828/D828,"")</x:f>
      </x:c>
      <x:c r="F828" s="35"/>
      <x:c r="G828" s="31" t="n">
        <x:v>0</x:v>
      </x:c>
    </x:row>
    <x:row r="829" ht="42" customHeight="1">
      <x:c r="A829" s="12" t="str">
        <x:v>удаление шрамов лазером сургут</x:v>
      </x:c>
      <x:c r="B829" s="12" t="str">
        <x:v>https://kozhaclinic.ru/ubrat-shram/</x:v>
      </x:c>
      <x:c r="C829" s="30" t="n">
        <x:v>0</x:v>
      </x:c>
      <x:c r="D829" s="30" t="n">
        <x:v>0</x:v>
      </x:c>
      <x:c r="E829" s="32" t="str">
        <x:f>IF(AND(ISNUMBER(C829),ISNUMBER(D829),D829&gt;0),C829/D829,"")</x:f>
      </x:c>
      <x:c r="F829" s="34"/>
      <x:c r="G829" s="30" t="n">
        <x:v>0</x:v>
      </x:c>
    </x:row>
    <x:row r="830" ht="42" customHeight="1">
      <x:c r="A830" s="14" t="str">
        <x:v>фейслифтинг в сургуте</x:v>
      </x:c>
      <x:c r="B830" s="14" t="str">
        <x:v>https://kozhaclinic.ru/podtyazhka-kozhi-litsa/</x:v>
      </x:c>
      <x:c r="C830" s="31" t="n">
        <x:v>0</x:v>
      </x:c>
      <x:c r="D830" s="31" t="n">
        <x:v>0</x:v>
      </x:c>
      <x:c r="E830" s="33" t="str">
        <x:f>IF(AND(ISNUMBER(C830),ISNUMBER(D830),D830&gt;0),C830/D830,"")</x:f>
      </x:c>
      <x:c r="F830" s="35"/>
      <x:c r="G830" s="31" t="n">
        <x:v>0</x:v>
      </x:c>
    </x:row>
    <x:row r="831" ht="42" customHeight="1">
      <x:c r="A831" s="12" t="str">
        <x:v>филлер из губ мигрировал</x:v>
      </x:c>
      <x:c r="B831" s="12" t="str">
        <x:v>https://kozhaclinic.ru/migratsiya-gelya-iz-gub/</x:v>
      </x:c>
      <x:c r="C831" s="30" t="n">
        <x:v>0</x:v>
      </x:c>
      <x:c r="D831" s="30" t="n">
        <x:v>6</x:v>
      </x:c>
      <x:c r="E831" s="32" t="n">
        <x:f>IF(AND(ISNUMBER(C831),ISNUMBER(D831),D831&gt;0),C831/D831,"")</x:f>
        <x:v>0</x:v>
      </x:c>
      <x:c r="F831" s="34" t="n">
        <x:v>8.8</x:v>
      </x:c>
      <x:c r="G831" s="30" t="n">
        <x:v>6</x:v>
      </x:c>
    </x:row>
    <x:row r="832" ht="42" customHeight="1">
      <x:c r="A832" s="14" t="str">
        <x:v>филлер мигрировал в слизистую</x:v>
      </x:c>
      <x:c r="B832" s="14" t="str">
        <x:v>https://kozhaclinic.ru/migratsiya-gelya-iz-gub/</x:v>
      </x:c>
      <x:c r="C832" s="31" t="n">
        <x:v>0</x:v>
      </x:c>
      <x:c r="D832" s="31" t="n">
        <x:v>0</x:v>
      </x:c>
      <x:c r="E832" s="33" t="str">
        <x:f>IF(AND(ISNUMBER(C832),ISNUMBER(D832),D832&gt;0),C832/D832,"")</x:f>
      </x:c>
      <x:c r="F832" s="35"/>
      <x:c r="G832" s="31" t="n">
        <x:v>4</x:v>
      </x:c>
    </x:row>
    <x:row r="833" ht="42" customHeight="1">
      <x:c r="A833" s="12" t="str">
        <x:v>филлер мигрировал из губ</x:v>
      </x:c>
      <x:c r="B833" s="12" t="str">
        <x:v>https://kozhaclinic.ru/migratsiya-gelya-iz-gub/</x:v>
      </x:c>
      <x:c r="C833" s="30" t="n">
        <x:v>0</x:v>
      </x:c>
      <x:c r="D833" s="30" t="n">
        <x:v>5</x:v>
      </x:c>
      <x:c r="E833" s="32" t="n">
        <x:f>IF(AND(ISNUMBER(C833),ISNUMBER(D833),D833&gt;0),C833/D833,"")</x:f>
        <x:v>0</x:v>
      </x:c>
      <x:c r="F833" s="34" t="n">
        <x:v>7</x:v>
      </x:c>
      <x:c r="G833" s="30" t="n">
        <x:v>5</x:v>
      </x:c>
    </x:row>
    <x:row r="834" ht="42" customHeight="1">
      <x:c r="A834" s="14" t="str">
        <x:v>фотобиомодуляция сургут</x:v>
      </x:c>
      <x:c r="B834" s="14" t="str">
        <x:v>https://kozhaclinic.ru/apparatnaya-kosmetologiya/heleo-pro-led/</x:v>
      </x:c>
      <x:c r="C834" s="31" t="n">
        <x:v>3</x:v>
      </x:c>
      <x:c r="D834" s="31" t="n">
        <x:v>8</x:v>
      </x:c>
      <x:c r="E834" s="33" t="n">
        <x:f>IF(AND(ISNUMBER(C834),ISNUMBER(D834),D834&gt;0),C834/D834,"")</x:f>
        <x:v>0.375</x:v>
      </x:c>
      <x:c r="F834" s="35" t="n">
        <x:v>3.6</x:v>
      </x:c>
      <x:c r="G834" s="31" t="n">
        <x:v>6</x:v>
      </x:c>
    </x:row>
    <x:row r="835" ht="42" customHeight="1">
      <x:c r="A835" s="12" t="str">
        <x:v>фотоомоложение lumecca inmode</x:v>
      </x:c>
      <x:c r="B835" s="12" t="str">
        <x:v>https://kozhaclinic.ru/apparatnaya-kosmetologiya/fotoomolozhenie-inmode/</x:v>
      </x:c>
      <x:c r="C835" s="30" t="n">
        <x:v>0</x:v>
      </x:c>
      <x:c r="D835" s="30" t="n">
        <x:v>3</x:v>
      </x:c>
      <x:c r="E835" s="32" t="n">
        <x:f>IF(AND(ISNUMBER(C835),ISNUMBER(D835),D835&gt;0),C835/D835,"")</x:f>
        <x:v>0</x:v>
      </x:c>
      <x:c r="F835" s="34" t="n">
        <x:v>8.3</x:v>
      </x:c>
      <x:c r="G835" s="30" t="n">
        <x:v>147</x:v>
      </x:c>
    </x:row>
    <x:row r="836" ht="42" customHeight="1">
      <x:c r="A836" s="14" t="str">
        <x:v>фотоомоложение лица</x:v>
      </x:c>
      <x:c r="B836" s="14" t="str">
        <x:v>https://kozhaclinic.ru/apparatnaya-kosmetologiya/fotoomolozhenie-inmode/</x:v>
      </x:c>
      <x:c r="C836" s="31" t="n">
        <x:v>0</x:v>
      </x:c>
      <x:c r="D836" s="31" t="n">
        <x:v>1</x:v>
      </x:c>
      <x:c r="E836" s="33" t="n">
        <x:f>IF(AND(ISNUMBER(C836),ISNUMBER(D836),D836&gt;0),C836/D836,"")</x:f>
        <x:v>0</x:v>
      </x:c>
      <x:c r="F836" s="35" t="n">
        <x:v>4</x:v>
      </x:c>
      <x:c r="G836" s="31" t="n">
        <x:v>6458</x:v>
      </x:c>
    </x:row>
    <x:row r="837" ht="42" customHeight="1">
      <x:c r="A837" s="12" t="str">
        <x:v>чистка спины от прыщей sanctum clinic</x:v>
      </x:c>
      <x:c r="B837" s="12" t="str">
        <x:v>https://kozhaclinic.ru/uhodovye-procedury/chistki-litsa-i-spiny/chistka-spiny/</x:v>
      </x:c>
      <x:c r="C837" s="30" t="n">
        <x:v>0</x:v>
      </x:c>
      <x:c r="D837" s="30" t="n">
        <x:v>0</x:v>
      </x:c>
      <x:c r="E837" s="32" t="str">
        <x:f>IF(AND(ISNUMBER(C837),ISNUMBER(D837),D837&gt;0),C837/D837,"")</x:f>
      </x:c>
      <x:c r="F837" s="34"/>
      <x:c r="G837" s="30" t="n">
        <x:v>0</x:v>
      </x:c>
    </x:row>
    <x:row r="838" ht="42" customHeight="1">
      <x:c r="A838" s="14" t="str">
        <x:v>что делать если гель мигрировал</x:v>
      </x:c>
      <x:c r="B838" s="14" t="str">
        <x:v>https://kozhaclinic.ru/migratsiya-gelya-iz-gub/</x:v>
      </x:c>
      <x:c r="C838" s="31" t="n">
        <x:v>0</x:v>
      </x:c>
      <x:c r="D838" s="31" t="n">
        <x:v>1</x:v>
      </x:c>
      <x:c r="E838" s="33" t="n">
        <x:f>IF(AND(ISNUMBER(C838),ISNUMBER(D838),D838&gt;0),C838/D838,"")</x:f>
        <x:v>0</x:v>
      </x:c>
      <x:c r="F838" s="35" t="n">
        <x:v>11</x:v>
      </x:c>
      <x:c r="G838" s="31" t="n">
        <x:v>3</x:v>
      </x:c>
    </x:row>
    <x:row r="839" ht="42" customHeight="1">
      <x:c r="A839" s="12" t="str">
        <x:v>что делать если мигрировал филлер в губах</x:v>
      </x:c>
      <x:c r="B839" s="12" t="str">
        <x:v>https://kozhaclinic.ru/migratsiya-gelya-iz-gub/</x:v>
      </x:c>
      <x:c r="C839" s="30" t="n">
        <x:v>1</x:v>
      </x:c>
      <x:c r="D839" s="30" t="n">
        <x:v>3</x:v>
      </x:c>
      <x:c r="E839" s="32" t="n">
        <x:f>IF(AND(ISNUMBER(C839),ISNUMBER(D839),D839&gt;0),C839/D839,"")</x:f>
        <x:v>0.3333333333333333</x:v>
      </x:c>
      <x:c r="F839" s="34" t="n">
        <x:v>5.3</x:v>
      </x:c>
      <x:c r="G839" s="30" t="n">
        <x:v>4</x:v>
      </x:c>
    </x:row>
    <x:row r="840" ht="42" customHeight="1">
      <x:c r="A840" s="14" t="str">
        <x:v>inmode</x:v>
      </x:c>
      <x:c r="B840" s="14" t="str">
        <x:v>https://kozhaclinic.ru/apparatnaya-kosmetologiya/fotoomolozhenie-inmode/</x:v>
      </x:c>
      <x:c r="C840" s="31" t="n">
        <x:v>0</x:v>
      </x:c>
      <x:c r="D840" s="31" t="n">
        <x:v>1</x:v>
      </x:c>
      <x:c r="E840" s="33" t="n">
        <x:f>IF(AND(ISNUMBER(C840),ISNUMBER(D840),D840&gt;0),C840/D840,"")</x:f>
        <x:v>0</x:v>
      </x:c>
      <x:c r="F840" s="35" t="n">
        <x:v>8</x:v>
      </x:c>
      <x:c r="G840" s="31" t="n">
        <x:v>262</x:v>
      </x:c>
    </x:row>
    <x:row r="841" ht="42" customHeight="1">
      <x:c r="A841" s="12" t="str">
        <x:v>kozha clinic</x:v>
      </x:c>
      <x:c r="B841" s="12" t="str">
        <x:v>https://kozhaclinic.ru/</x:v>
      </x:c>
      <x:c r="C841" s="30" t="n">
        <x:v>1</x:v>
      </x:c>
      <x:c r="D841" s="30" t="n">
        <x:v>7</x:v>
      </x:c>
      <x:c r="E841" s="32" t="n">
        <x:f>IF(AND(ISNUMBER(C841),ISNUMBER(D841),D841&gt;0),C841/D841,"")</x:f>
        <x:v>0.14285714285714285</x:v>
      </x:c>
      <x:c r="F841" s="34" t="n">
        <x:v>1.8</x:v>
      </x:c>
      <x:c r="G841" s="30" t="n">
        <x:v>3</x:v>
      </x:c>
    </x:row>
    <x:row r="842" ht="42" customHeight="1">
      <x:c r="A842" s="14" t="str">
        <x:v>rf лифтинга брылей</x:v>
      </x:c>
      <x:c r="B842" s="14" t="str">
        <x:v>https://kozhaclinic.ru/ubrat-bryli/</x:v>
      </x:c>
      <x:c r="C842" s="31" t="n">
        <x:v>0</x:v>
      </x:c>
      <x:c r="D842" s="31" t="n">
        <x:v>1</x:v>
      </x:c>
      <x:c r="E842" s="33" t="n">
        <x:f>IF(AND(ISNUMBER(C842),ISNUMBER(D842),D842&gt;0),C842/D842,"")</x:f>
        <x:v>0</x:v>
      </x:c>
      <x:c r="F842" s="35" t="n">
        <x:v>9</x:v>
      </x:c>
      <x:c r="G842" s="31" t="n">
        <x:v>15</x:v>
      </x:c>
    </x:row>
    <x:row r="843" ht="42" customHeight="1">
      <x:c r="A843" s="12" t="str">
        <x:v>биоревитализация лица цена в сургуте</x:v>
      </x:c>
      <x:c r="B843" s="12" t="str">
        <x:v>https://kozhaclinic.ru/inekcionnaya-kosmetologiya/omolozhenie-i-pitanie-kozhi/biorevitalizatsiya/</x:v>
      </x:c>
      <x:c r="C843" s="30" t="n">
        <x:v>0</x:v>
      </x:c>
      <x:c r="D843" s="30" t="n">
        <x:v>0</x:v>
      </x:c>
      <x:c r="E843" s="32" t="str">
        <x:f>IF(AND(ISNUMBER(C843),ISNUMBER(D843),D843&gt;0),C843/D843,"")</x:f>
      </x:c>
      <x:c r="F843" s="34"/>
      <x:c r="G843" s="30" t="n">
        <x:v>0</x:v>
      </x:c>
    </x:row>
    <x:row r="844" ht="42" customHeight="1">
      <x:c r="A844" s="14" t="str">
        <x:v>биоревитализация лица цена сургут</x:v>
      </x:c>
      <x:c r="B844" s="14" t="str">
        <x:v>https://kozhaclinic.ru/inekcionnaya-kosmetologiya/omolozhenie-i-pitanie-kozhi/biorevitalizatsiya/</x:v>
      </x:c>
      <x:c r="C844" s="31" t="n">
        <x:v>0</x:v>
      </x:c>
      <x:c r="D844" s="31" t="n">
        <x:v>2</x:v>
      </x:c>
      <x:c r="E844" s="33" t="n">
        <x:f>IF(AND(ISNUMBER(C844),ISNUMBER(D844),D844&gt;0),C844/D844,"")</x:f>
        <x:v>0</x:v>
      </x:c>
      <x:c r="F844" s="35" t="n">
        <x:v>5</x:v>
      </x:c>
      <x:c r="G844" s="31" t="n">
        <x:v>2</x:v>
      </x:c>
    </x:row>
    <x:row r="845" ht="42" customHeight="1">
      <x:c r="A845" s="12" t="str">
        <x:v>ботокс в сургуте цена</x:v>
      </x:c>
      <x:c r="B845" s="12" t="str">
        <x:v>https://kozhaclinic.ru/ceny-prajs-list/</x:v>
      </x:c>
      <x:c r="C845" s="30" t="n">
        <x:v>0</x:v>
      </x:c>
      <x:c r="D845" s="30" t="n">
        <x:v>0</x:v>
      </x:c>
      <x:c r="E845" s="32" t="str">
        <x:f>IF(AND(ISNUMBER(C845),ISNUMBER(D845),D845&gt;0),C845/D845,"")</x:f>
      </x:c>
      <x:c r="F845" s="34"/>
      <x:c r="G845" s="30" t="n">
        <x:v>0</x:v>
      </x:c>
    </x:row>
    <x:row r="846" ht="42" customHeight="1">
      <x:c r="A846" s="14" t="str">
        <x:v>буккальный массаж лица сургут</x:v>
      </x:c>
      <x:c r="B846" s="14" t="str">
        <x:v>https://kozhaclinic.ru/uhodovye-procedury/massazhi/massazh-dlya-podtyazhki-litsa/</x:v>
      </x:c>
      <x:c r="C846" s="31" t="n">
        <x:v>0</x:v>
      </x:c>
      <x:c r="D846" s="31" t="n">
        <x:v>0</x:v>
      </x:c>
      <x:c r="E846" s="33" t="str">
        <x:f>IF(AND(ISNUMBER(C846),ISNUMBER(D846),D846&gt;0),C846/D846,"")</x:f>
      </x:c>
      <x:c r="F846" s="35"/>
      <x:c r="G846" s="31" t="n">
        <x:v>1</x:v>
      </x:c>
    </x:row>
    <x:row r="847" ht="42" customHeight="1">
      <x:c r="A847" s="12" t="str">
        <x:v>врач косметолог сургут</x:v>
      </x:c>
      <x:c r="B847" s="12" t="str">
        <x:v>https://kozhaclinic.ru/</x:v>
      </x:c>
      <x:c r="C847" s="30" t="n">
        <x:v>1</x:v>
      </x:c>
      <x:c r="D847" s="30" t="n">
        <x:v>3</x:v>
      </x:c>
      <x:c r="E847" s="32" t="n">
        <x:f>IF(AND(ISNUMBER(C847),ISNUMBER(D847),D847&gt;0),C847/D847,"")</x:f>
        <x:v>0.3333333333333333</x:v>
      </x:c>
      <x:c r="F847" s="34" t="n">
        <x:v>11.6</x:v>
      </x:c>
      <x:c r="G847" s="30" t="n">
        <x:v>10</x:v>
      </x:c>
    </x:row>
    <x:row r="848" ht="42" customHeight="1">
      <x:c r="A848" s="14" t="str">
        <x:v>где в сургуте сделать губы</x:v>
      </x:c>
      <x:c r="B848" s="14" t="str">
        <x:v>https://kozhaclinic.ru/inekcionnaya-kosmetologiya/konturnaya-plastika/uvelichenie-gub/</x:v>
      </x:c>
      <x:c r="C848" s="31" t="n">
        <x:v>0</x:v>
      </x:c>
      <x:c r="D848" s="31" t="n">
        <x:v>1</x:v>
      </x:c>
      <x:c r="E848" s="33" t="n">
        <x:f>IF(AND(ISNUMBER(C848),ISNUMBER(D848),D848&gt;0),C848/D848,"")</x:f>
        <x:v>0</x:v>
      </x:c>
      <x:c r="F848" s="35" t="n">
        <x:v>9</x:v>
      </x:c>
      <x:c r="G848" s="31" t="n">
        <x:v>1</x:v>
      </x:c>
    </x:row>
    <x:row r="849" ht="42" customHeight="1">
      <x:c r="A849" s="12" t="str">
        <x:v>где удалить бородавку в сургуте</x:v>
      </x:c>
      <x:c r="B849" s="12" t="str">
        <x:v>https://kozhaclinic.ru/udalenie-novoobrazovanij/udalenie-borodavok/</x:v>
      </x:c>
      <x:c r="C849" s="30" t="n">
        <x:v>0</x:v>
      </x:c>
      <x:c r="D849" s="30" t="n">
        <x:v>2</x:v>
      </x:c>
      <x:c r="E849" s="32" t="n">
        <x:f>IF(AND(ISNUMBER(C849),ISNUMBER(D849),D849&gt;0),C849/D849,"")</x:f>
        <x:v>0</x:v>
      </x:c>
      <x:c r="F849" s="34" t="n">
        <x:v>10</x:v>
      </x:c>
      <x:c r="G849" s="30" t="n">
        <x:v>2</x:v>
      </x:c>
    </x:row>
    <x:row r="850" ht="42" customHeight="1">
      <x:c r="A850" s="14" t="str">
        <x:v>диспорт</x:v>
      </x:c>
      <x:c r="B850" s="14" t="str">
        <x:v>https://kozhaclinic.ru/</x:v>
      </x:c>
      <x:c r="C850" s="31" t="n">
        <x:v>0</x:v>
      </x:c>
      <x:c r="D850" s="31" t="n">
        <x:v>1</x:v>
      </x:c>
      <x:c r="E850" s="33" t="n">
        <x:f>IF(AND(ISNUMBER(C850),ISNUMBER(D850),D850&gt;0),C850/D850,"")</x:f>
        <x:v>0</x:v>
      </x:c>
      <x:c r="F850" s="35" t="n">
        <x:v>13</x:v>
      </x:c>
      <x:c r="G850" s="31" t="n">
        <x:v>6277</x:v>
      </x:c>
    </x:row>
    <x:row r="851" ht="42" customHeight="1">
      <x:c r="A851" s="12" t="str">
        <x:v>диспорт что это за процедура цена</x:v>
      </x:c>
      <x:c r="B851" s="12" t="str">
        <x:v>https://kozhaclinic.ru/inekcionnaya-kosmetologiya/botulinoterapiya/disport/</x:v>
      </x:c>
      <x:c r="C851" s="30" t="n">
        <x:v>0</x:v>
      </x:c>
      <x:c r="D851" s="30" t="n">
        <x:v>2</x:v>
      </x:c>
      <x:c r="E851" s="32" t="n">
        <x:f>IF(AND(ISNUMBER(C851),ISNUMBER(D851),D851&gt;0),C851/D851,"")</x:f>
        <x:v>0</x:v>
      </x:c>
      <x:c r="F851" s="34" t="n">
        <x:v>6.5</x:v>
      </x:c>
      <x:c r="G851" s="30" t="n">
        <x:v>719</x:v>
      </x:c>
    </x:row>
    <x:row r="852" ht="42" customHeight="1">
      <x:c r="A852" s="14" t="str">
        <x:v>запись к косметологу сургут</x:v>
      </x:c>
      <x:c r="B852" s="14" t="str">
        <x:v>https://kozhaclinic.ru/</x:v>
      </x:c>
      <x:c r="C852" s="31" t="n">
        <x:v>0</x:v>
      </x:c>
      <x:c r="D852" s="31" t="n">
        <x:v>0</x:v>
      </x:c>
      <x:c r="E852" s="33" t="str">
        <x:f>IF(AND(ISNUMBER(C852),ISNUMBER(D852),D852&gt;0),C852/D852,"")</x:f>
      </x:c>
      <x:c r="F852" s="35"/>
      <x:c r="G852" s="31" t="n">
        <x:v>0</x:v>
      </x:c>
    </x:row>
    <x:row r="853" ht="42" customHeight="1">
      <x:c r="A853" s="12" t="str">
        <x:v>капиллярокарбокситерапия</x:v>
      </x:c>
      <x:c r="B853" s="12" t="str">
        <x:v>https://kozhaclinic.ru/inekcionnaya-kosmetologiya/omolozhenie-i-pitanie-kozhi/karboksiterapiya-inektsionnaya/</x:v>
      </x:c>
      <x:c r="C853" s="30" t="n">
        <x:v>0</x:v>
      </x:c>
      <x:c r="D853" s="30" t="n">
        <x:v>0</x:v>
      </x:c>
      <x:c r="E853" s="32" t="str">
        <x:f>IF(AND(ISNUMBER(C853),ISNUMBER(D853),D853&gt;0),C853/D853,"")</x:f>
      </x:c>
      <x:c r="F853" s="34"/>
      <x:c r="G853" s="30" t="n">
        <x:v>1</x:v>
      </x:c>
    </x:row>
    <x:row r="854" ht="42" customHeight="1">
      <x:c r="A854" s="14" t="str">
        <x:v>кожа просп. ленина, 18 фото</x:v>
      </x:c>
      <x:c r="B854" s="14" t="str">
        <x:v>https://kozhaclinic.ru/</x:v>
      </x:c>
      <x:c r="C854" s="31" t="n">
        <x:v>0</x:v>
      </x:c>
      <x:c r="D854" s="31" t="n">
        <x:v>1</x:v>
      </x:c>
      <x:c r="E854" s="33" t="n">
        <x:f>IF(AND(ISNUMBER(C854),ISNUMBER(D854),D854&gt;0),C854/D854,"")</x:f>
        <x:v>0</x:v>
      </x:c>
      <x:c r="F854" s="35" t="n">
        <x:v>5</x:v>
      </x:c>
      <x:c r="G854" s="31" t="n">
        <x:v>1</x:v>
      </x:c>
    </x:row>
    <x:row r="855" ht="42" customHeight="1">
      <x:c r="A855" s="12" t="str">
        <x:v>коллост вокруг глаз</x:v>
      </x:c>
      <x:c r="B855" s="12" t="str">
        <x:v>https://kozhaclinic.ru/inekcionnaya-kosmetologiya/kollagenoterapiya/kollagenoterapiya-vokrug-glaz/</x:v>
      </x:c>
      <x:c r="C855" s="30" t="n">
        <x:v>0</x:v>
      </x:c>
      <x:c r="D855" s="30" t="n">
        <x:v>1</x:v>
      </x:c>
      <x:c r="E855" s="32" t="n">
        <x:f>IF(AND(ISNUMBER(C855),ISNUMBER(D855),D855&gt;0),C855/D855,"")</x:f>
        <x:v>0</x:v>
      </x:c>
      <x:c r="F855" s="34" t="n">
        <x:v>8</x:v>
      </x:c>
      <x:c r="G855" s="30" t="n">
        <x:v>11</x:v>
      </x:c>
    </x:row>
    <x:row r="856" ht="42" customHeight="1">
      <x:c r="A856" s="14" t="str">
        <x:v>коррекция губ сургут</x:v>
      </x:c>
      <x:c r="B856" s="14" t="str">
        <x:v>https://kozhaclinic.ru/inekcionnaya-kosmetologiya/konturnaya-plastika/uvelichenie-gub/</x:v>
      </x:c>
      <x:c r="C856" s="31" t="n">
        <x:v>0</x:v>
      </x:c>
      <x:c r="D856" s="31" t="n">
        <x:v>0</x:v>
      </x:c>
      <x:c r="E856" s="33" t="str">
        <x:f>IF(AND(ISNUMBER(C856),ISNUMBER(D856),D856&gt;0),C856/D856,"")</x:f>
      </x:c>
      <x:c r="F856" s="35"/>
      <x:c r="G856" s="31" t="n">
        <x:v>0</x:v>
      </x:c>
    </x:row>
    <x:row r="857" ht="42" customHeight="1">
      <x:c r="A857" s="12" t="str">
        <x:v>косметологи</x:v>
      </x:c>
      <x:c r="B857" s="12" t="str">
        <x:v>https://kozhaclinic.ru/</x:v>
      </x:c>
      <x:c r="C857" s="30" t="n">
        <x:v>0</x:v>
      </x:c>
      <x:c r="D857" s="30" t="n">
        <x:v>3</x:v>
      </x:c>
      <x:c r="E857" s="32" t="n">
        <x:f>IF(AND(ISNUMBER(C857),ISNUMBER(D857),D857&gt;0),C857/D857,"")</x:f>
        <x:v>0</x:v>
      </x:c>
      <x:c r="F857" s="34" t="n">
        <x:v>11.6</x:v>
      </x:c>
      <x:c r="G857" s="30" t="n">
        <x:v>2285</x:v>
      </x:c>
    </x:row>
    <x:row r="858" ht="42" customHeight="1">
      <x:c r="A858" s="14" t="str">
        <x:v>косметологи сургута</x:v>
      </x:c>
      <x:c r="B858" s="14" t="str">
        <x:v>https://kozhaclinic.ru/</x:v>
      </x:c>
      <x:c r="C858" s="31" t="n">
        <x:v>0</x:v>
      </x:c>
      <x:c r="D858" s="31" t="n">
        <x:v>3</x:v>
      </x:c>
      <x:c r="E858" s="33" t="n">
        <x:f>IF(AND(ISNUMBER(C858),ISNUMBER(D858),D858&gt;0),C858/D858,"")</x:f>
        <x:v>0</x:v>
      </x:c>
      <x:c r="F858" s="35" t="n">
        <x:v>12.3</x:v>
      </x:c>
      <x:c r="G858" s="31" t="n">
        <x:v>4</x:v>
      </x:c>
    </x:row>
    <x:row r="859" ht="42" customHeight="1">
      <x:c r="A859" s="12" t="str">
        <x:v>косметологическая клиника в сургуте</x:v>
      </x:c>
      <x:c r="B859" s="12" t="str">
        <x:v>https://kozhaclinic.ru/</x:v>
      </x:c>
      <x:c r="C859" s="30" t="n">
        <x:v>0</x:v>
      </x:c>
      <x:c r="D859" s="30" t="n">
        <x:v>0</x:v>
      </x:c>
      <x:c r="E859" s="32" t="str">
        <x:f>IF(AND(ISNUMBER(C859),ISNUMBER(D859),D859&gt;0),C859/D859,"")</x:f>
      </x:c>
      <x:c r="F859" s="34"/>
      <x:c r="G859" s="30" t="n">
        <x:v>0</x:v>
      </x:c>
    </x:row>
    <x:row r="860" ht="42" customHeight="1">
      <x:c r="A860" s="14" t="str">
        <x:v>лазерная эпиляция за 300 руб в клиниках подружки</x:v>
      </x:c>
      <x:c r="B860" s="14" t="str">
        <x:v>https://kozhaclinic.ru/lazernaya-kosmetologiya/lazernaya-epilyaciya/litsa-dlya-muzhchin/</x:v>
      </x:c>
      <x:c r="C860" s="31" t="n">
        <x:v>0</x:v>
      </x:c>
      <x:c r="D860" s="31" t="n">
        <x:v>0</x:v>
      </x:c>
      <x:c r="E860" s="33" t="str">
        <x:f>IF(AND(ISNUMBER(C860),ISNUMBER(D860),D860&gt;0),C860/D860,"")</x:f>
      </x:c>
      <x:c r="F860" s="35"/>
      <x:c r="G860" s="31" t="n">
        <x:v>2506</x:v>
      </x:c>
    </x:row>
    <x:row r="861" ht="42" customHeight="1">
      <x:c r="A861" s="12" t="str">
        <x:v>лазерное удаление новообразований сургут</x:v>
      </x:c>
      <x:c r="B861" s="12" t="str">
        <x:v>https://kozhaclinic.ru/apparatnaya-kosmetologiya/udalenie-novoobrazovaniy/</x:v>
      </x:c>
      <x:c r="C861" s="30" t="n">
        <x:v>0</x:v>
      </x:c>
      <x:c r="D861" s="30" t="n">
        <x:v>0</x:v>
      </x:c>
      <x:c r="E861" s="32" t="str">
        <x:f>IF(AND(ISNUMBER(C861),ISNUMBER(D861),D861&gt;0),C861/D861,"")</x:f>
      </x:c>
      <x:c r="F861" s="34"/>
      <x:c r="G861" s="30" t="n">
        <x:v>0</x:v>
      </x:c>
    </x:row>
    <x:row r="862" ht="42" customHeight="1">
      <x:c r="A862" s="14" t="str">
        <x:v>лечение бородавок сургут</x:v>
      </x:c>
      <x:c r="B862" s="14" t="str">
        <x:v>https://kozhaclinic.ru/udalenie-novoobrazovanij/udalenie-borodavok/</x:v>
      </x:c>
      <x:c r="C862" s="31" t="n">
        <x:v>0</x:v>
      </x:c>
      <x:c r="D862" s="31" t="n">
        <x:v>0</x:v>
      </x:c>
      <x:c r="E862" s="33" t="str">
        <x:f>IF(AND(ISNUMBER(C862),ISNUMBER(D862),D862&gt;0),C862/D862,"")</x:f>
      </x:c>
      <x:c r="F862" s="35"/>
      <x:c r="G862" s="31" t="n">
        <x:v>0</x:v>
      </x:c>
    </x:row>
    <x:row r="863" ht="42" customHeight="1">
      <x:c r="A863" s="12" t="str">
        <x:v>лечение розацеа в сургуте</x:v>
      </x:c>
      <x:c r="B863" s="12" t="str">
        <x:v>https://kozhaclinic.ru/ubrat-rozatsea/</x:v>
      </x:c>
      <x:c r="C863" s="30" t="n">
        <x:v>0</x:v>
      </x:c>
      <x:c r="D863" s="30" t="n">
        <x:v>5</x:v>
      </x:c>
      <x:c r="E863" s="32" t="n">
        <x:f>IF(AND(ISNUMBER(C863),ISNUMBER(D863),D863&gt;0),C863/D863,"")</x:f>
        <x:v>0</x:v>
      </x:c>
      <x:c r="F863" s="34" t="n">
        <x:v>4.4</x:v>
      </x:c>
      <x:c r="G863" s="30" t="n">
        <x:v>5</x:v>
      </x:c>
    </x:row>
    <x:row r="864" ht="42" customHeight="1">
      <x:c r="A864" s="14" t="str">
        <x:v>липофилинг носослезной борозды сургут</x:v>
      </x:c>
      <x:c r="B864" s="14" t="str">
        <x:v>https://kozhaclinic.ru/inekcionnaya-kosmetologiya/konturnaya-plastika/korrektsiya-nososleznoy-borozdy/</x:v>
      </x:c>
      <x:c r="C864" s="31" t="n">
        <x:v>0</x:v>
      </x:c>
      <x:c r="D864" s="31" t="n">
        <x:v>0</x:v>
      </x:c>
      <x:c r="E864" s="33" t="str">
        <x:f>IF(AND(ISNUMBER(C864),ISNUMBER(D864),D864&gt;0),C864/D864,"")</x:f>
      </x:c>
      <x:c r="F864" s="35"/>
      <x:c r="G864" s="31" t="n">
        <x:v>0</x:v>
      </x:c>
    </x:row>
    <x:row r="865" ht="42" customHeight="1">
      <x:c r="A865" s="12" t="str">
        <x:v>люмека сургут</x:v>
      </x:c>
      <x:c r="B865" s="12" t="str">
        <x:v>https://kozhaclinic.ru/apparatnaya-kosmetologiya/fotoomolozhenie-inmode/</x:v>
      </x:c>
      <x:c r="C865" s="30" t="n">
        <x:v>0</x:v>
      </x:c>
      <x:c r="D865" s="30" t="n">
        <x:v>3</x:v>
      </x:c>
      <x:c r="E865" s="32" t="n">
        <x:f>IF(AND(ISNUMBER(C865),ISNUMBER(D865),D865&gt;0),C865/D865,"")</x:f>
        <x:v>0</x:v>
      </x:c>
      <x:c r="F865" s="34" t="n">
        <x:v>2.3</x:v>
      </x:c>
      <x:c r="G865" s="30" t="n">
        <x:v>3</x:v>
      </x:c>
    </x:row>
    <x:row r="866" ht="42" customHeight="1">
      <x:c r="A866" s="14" t="str">
        <x:v>массаж кожи лица b-med59.ru</x:v>
      </x:c>
      <x:c r="B866" s="14" t="str">
        <x:v>https://kozhaclinic.ru/uhodovye-procedury/massazhi/</x:v>
      </x:c>
      <x:c r="C866" s="31" t="n">
        <x:v>0</x:v>
      </x:c>
      <x:c r="D866" s="31" t="n">
        <x:v>10</x:v>
      </x:c>
      <x:c r="E866" s="33" t="n">
        <x:f>IF(AND(ISNUMBER(C866),ISNUMBER(D866),D866&gt;0),C866/D866,"")</x:f>
        <x:v>0</x:v>
      </x:c>
      <x:c r="F866" s="35" t="n">
        <x:v>7.2</x:v>
      </x:c>
      <x:c r="G866" s="31" t="n">
        <x:v>18</x:v>
      </x:c>
    </x:row>
    <x:row r="867" ht="42" customHeight="1">
      <x:c r="A867" s="12" t="str">
        <x:v>миграция филлера в губах в слизистую причины</x:v>
      </x:c>
      <x:c r="B867" s="12" t="str">
        <x:v>https://kozhaclinic.ru/migratsiya-gelya-iz-gub/</x:v>
      </x:c>
      <x:c r="C867" s="30" t="n">
        <x:v>0</x:v>
      </x:c>
      <x:c r="D867" s="30" t="n">
        <x:v>4</x:v>
      </x:c>
      <x:c r="E867" s="32" t="n">
        <x:f>IF(AND(ISNUMBER(C867),ISNUMBER(D867),D867&gt;0),C867/D867,"")</x:f>
        <x:v>0</x:v>
      </x:c>
      <x:c r="F867" s="34" t="n">
        <x:v>11.7</x:v>
      </x:c>
      <x:c r="G867" s="30" t="n">
        <x:v>7</x:v>
      </x:c>
    </x:row>
    <x:row r="868" ht="42" customHeight="1">
      <x:c r="A868" s="14" t="str">
        <x:v>михайлова анастасия андреевна дерматолог</x:v>
      </x:c>
      <x:c r="B868" s="14" t="str">
        <x:v>https://kozhaclinic.ru/o-nas/specialisty/mikhaylova-anastasiya-petrovna/</x:v>
      </x:c>
      <x:c r="C868" s="31" t="n">
        <x:v>0</x:v>
      </x:c>
      <x:c r="D868" s="31" t="n">
        <x:v>1</x:v>
      </x:c>
      <x:c r="E868" s="33" t="n">
        <x:f>IF(AND(ISNUMBER(C868),ISNUMBER(D868),D868&gt;0),C868/D868,"")</x:f>
        <x:v>0</x:v>
      </x:c>
      <x:c r="F868" s="35" t="n">
        <x:v>12</x:v>
      </x:c>
      <x:c r="G868" s="31" t="n">
        <x:v>5</x:v>
      </x:c>
    </x:row>
    <x:row r="869" ht="42" customHeight="1">
      <x:c r="A869" s="12" t="str">
        <x:v>морфиус 8 аппарат</x:v>
      </x:c>
      <x:c r="B869" s="12" t="str">
        <x:v>https://kozhaclinic.ru/apparatnaya-kosmetologiya/igolchatyy-rf-lifting-na-morpheus-8/</x:v>
      </x:c>
      <x:c r="C869" s="30" t="n">
        <x:v>0</x:v>
      </x:c>
      <x:c r="D869" s="30" t="n">
        <x:v>0</x:v>
      </x:c>
      <x:c r="E869" s="32" t="str">
        <x:f>IF(AND(ISNUMBER(C869),ISNUMBER(D869),D869&gt;0),C869/D869,"")</x:f>
      </x:c>
      <x:c r="F869" s="34"/>
      <x:c r="G869" s="30" t="n">
        <x:v>434</x:v>
      </x:c>
    </x:row>
    <x:row r="870" ht="42" customHeight="1">
      <x:c r="A870" s="14" t="str">
        <x:v>объемное моделирование (скулы, подбородок) сургут.</x:v>
      </x:c>
      <x:c r="B870" s="14" t="str">
        <x:v>https://kozhaclinic.ru/inekcionnaya-kosmetologiya/konturnaya-plastika/obemnoe-modelirovanie-skuly-podborodok-/</x:v>
      </x:c>
      <x:c r="C870" s="31" t="n">
        <x:v>0</x:v>
      </x:c>
      <x:c r="D870" s="31" t="n">
        <x:v>0</x:v>
      </x:c>
      <x:c r="E870" s="33" t="str">
        <x:f>IF(AND(ISNUMBER(C870),ISNUMBER(D870),D870&gt;0),C870/D870,"")</x:f>
      </x:c>
      <x:c r="F870" s="35"/>
      <x:c r="G870" s="31" t="n">
        <x:v>0</x:v>
      </x:c>
    </x:row>
    <x:row r="871" ht="42" customHeight="1">
      <x:c r="A871" s="12" t="str">
        <x:v>омолаживающий массаж лица в сургуте</x:v>
      </x:c>
      <x:c r="B871" s="12" t="str">
        <x:v>https://kozhaclinic.ru/uhodovye-procedury/massazhi/massazh-dlya-podtyazhki-litsa/</x:v>
      </x:c>
      <x:c r="C871" s="30" t="n">
        <x:v>0</x:v>
      </x:c>
      <x:c r="D871" s="30" t="n">
        <x:v>0</x:v>
      </x:c>
      <x:c r="E871" s="32" t="str">
        <x:f>IF(AND(ISNUMBER(C871),ISNUMBER(D871),D871&gt;0),C871/D871,"")</x:f>
      </x:c>
      <x:c r="F871" s="34"/>
      <x:c r="G871" s="30" t="n">
        <x:v>0</x:v>
      </x:c>
    </x:row>
    <x:row r="872" ht="42" customHeight="1">
      <x:c r="A872" s="14" t="str">
        <x:v>полимолочная кислота в косметологии цена процедуры nadinity</x:v>
      </x:c>
      <x:c r="B872" s="14" t="str">
        <x:v>https://kozhaclinic.ru/inekcionnaya-kosmetologiya/omolozhenie-i-pitanie-kozhi/polimolochnaya-kislota/</x:v>
      </x:c>
      <x:c r="C872" s="31" t="n">
        <x:v>0</x:v>
      </x:c>
      <x:c r="D872" s="31" t="n">
        <x:v>2</x:v>
      </x:c>
      <x:c r="E872" s="33" t="n">
        <x:f>IF(AND(ISNUMBER(C872),ISNUMBER(D872),D872&gt;0),C872/D872,"")</x:f>
        <x:v>0</x:v>
      </x:c>
      <x:c r="F872" s="35" t="n">
        <x:v>8.5</x:v>
      </x:c>
      <x:c r="G872" s="31" t="n">
        <x:v>3</x:v>
      </x:c>
    </x:row>
    <x:row r="873" ht="42" customHeight="1">
      <x:c r="A873" s="12" t="str">
        <x:v>почему может мигрировать филлер в губах</x:v>
      </x:c>
      <x:c r="B873" s="12" t="str">
        <x:v>https://kozhaclinic.ru/migratsiya-gelya-iz-gub/</x:v>
      </x:c>
      <x:c r="C873" s="30" t="n">
        <x:v>0</x:v>
      </x:c>
      <x:c r="D873" s="30" t="n">
        <x:v>0</x:v>
      </x:c>
      <x:c r="E873" s="32" t="str">
        <x:f>IF(AND(ISNUMBER(C873),ISNUMBER(D873),D873&gt;0),C873/D873,"")</x:f>
      </x:c>
      <x:c r="F873" s="34"/>
      <x:c r="G873" s="30" t="n">
        <x:v>4</x:v>
      </x:c>
    </x:row>
    <x:row r="874" ht="42" customHeight="1">
      <x:c r="A874" s="14" t="str">
        <x:v>радиес в сургуте</x:v>
      </x:c>
      <x:c r="B874" s="14" t="str">
        <x:v>https://kozhaclinic.ru/inekcionnaya-kosmetologiya/omolozhenie-i-pitanie-kozhi/protsedura-fillerom-radiesse-radiess/</x:v>
      </x:c>
      <x:c r="C874" s="31" t="n">
        <x:v>0</x:v>
      </x:c>
      <x:c r="D874" s="31" t="n">
        <x:v>0</x:v>
      </x:c>
      <x:c r="E874" s="33" t="str">
        <x:f>IF(AND(ISNUMBER(C874),ISNUMBER(D874),D874&gt;0),C874/D874,"")</x:f>
      </x:c>
      <x:c r="F874" s="35"/>
      <x:c r="G874" s="31" t="n">
        <x:v>0</x:v>
      </x:c>
    </x:row>
    <x:row r="875" ht="42" customHeight="1">
      <x:c r="A875" s="12" t="str">
        <x:v>рф-лифтинг лица сургут</x:v>
      </x:c>
      <x:c r="B875" s="12" t="str">
        <x:v>https://kozhaclinic.ru/apparatnaya-kosmetologiya/igolchatyy-rf-lifting-na-morpheus-8/</x:v>
      </x:c>
      <x:c r="C875" s="30" t="n">
        <x:v>0</x:v>
      </x:c>
      <x:c r="D875" s="30" t="n">
        <x:v>1</x:v>
      </x:c>
      <x:c r="E875" s="32" t="n">
        <x:f>IF(AND(ISNUMBER(C875),ISNUMBER(D875),D875&gt;0),C875/D875,"")</x:f>
        <x:v>0</x:v>
      </x:c>
      <x:c r="F875" s="34" t="n">
        <x:v>7</x:v>
      </x:c>
      <x:c r="G875" s="30" t="n">
        <x:v>1</x:v>
      </x:c>
    </x:row>
    <x:row r="876" ht="42" customHeight="1">
      <x:c r="A876" s="14" t="str">
        <x:v>сияние кожи процедура что это</x:v>
      </x:c>
      <x:c r="B876" s="14" t="str">
        <x:v>https://kozhaclinic.ru/gladkost-i-siyanie-kozhi/</x:v>
      </x:c>
      <x:c r="C876" s="31" t="n">
        <x:v>0</x:v>
      </x:c>
      <x:c r="D876" s="31" t="n">
        <x:v>3</x:v>
      </x:c>
      <x:c r="E876" s="33" t="n">
        <x:f>IF(AND(ISNUMBER(C876),ISNUMBER(D876),D876&gt;0),C876/D876,"")</x:f>
        <x:v>0</x:v>
      </x:c>
      <x:c r="F876" s="35" t="n">
        <x:v>5</x:v>
      </x:c>
      <x:c r="G876" s="31" t="n">
        <x:v>7</x:v>
      </x:c>
    </x:row>
    <x:row r="877" ht="42" customHeight="1">
      <x:c r="A877" s="12" t="str">
        <x:v>сколько стоит удаление родинки</x:v>
      </x:c>
      <x:c r="B877" s="12" t="str">
        <x:v>https://kozhaclinic.ru/udalenie-novoobrazovanij/udalenie-rodinok/</x:v>
      </x:c>
      <x:c r="C877" s="30" t="n">
        <x:v>0</x:v>
      </x:c>
      <x:c r="D877" s="30" t="n">
        <x:v>0</x:v>
      </x:c>
      <x:c r="E877" s="32" t="str">
        <x:f>IF(AND(ISNUMBER(C877),ISNUMBER(D877),D877&gt;0),C877/D877,"")</x:f>
      </x:c>
      <x:c r="F877" s="34"/>
      <x:c r="G877" s="30" t="n">
        <x:v>1059</x:v>
      </x:c>
    </x:row>
    <x:row r="878" ht="42" customHeight="1">
      <x:c r="A878" s="14" t="str">
        <x:v>сургут кожа клиника</x:v>
      </x:c>
      <x:c r="B878" s="14" t="str">
        <x:v>https://kozhaclinic.ru/</x:v>
      </x:c>
      <x:c r="C878" s="31" t="n">
        <x:v>0</x:v>
      </x:c>
      <x:c r="D878" s="31" t="n">
        <x:v>0</x:v>
      </x:c>
      <x:c r="E878" s="33" t="str">
        <x:f>IF(AND(ISNUMBER(C878),ISNUMBER(D878),D878&gt;0),C878/D878,"")</x:f>
      </x:c>
      <x:c r="F878" s="35"/>
      <x:c r="G878" s="31" t="n">
        <x:v>0</x:v>
      </x:c>
    </x:row>
    <x:row r="879" ht="42" customHeight="1">
      <x:c r="A879" s="12" t="str">
        <x:v>сургут удалить папилломы</x:v>
      </x:c>
      <x:c r="B879" s="12" t="str">
        <x:v>https://kozhaclinic.ru/udalenie-novoobrazovanij/udalenie-papilom/</x:v>
      </x:c>
      <x:c r="C879" s="30" t="n">
        <x:v>0</x:v>
      </x:c>
      <x:c r="D879" s="30" t="n">
        <x:v>3</x:v>
      </x:c>
      <x:c r="E879" s="32" t="n">
        <x:f>IF(AND(ISNUMBER(C879),ISNUMBER(D879),D879&gt;0),C879/D879,"")</x:f>
        <x:v>0</x:v>
      </x:c>
      <x:c r="F879" s="34" t="n">
        <x:v>6</x:v>
      </x:c>
      <x:c r="G879" s="30" t="n">
        <x:v>3</x:v>
      </x:c>
    </x:row>
    <x:row r="880" ht="42" customHeight="1">
      <x:c r="A880" s="14" t="str">
        <x:v>увеличение губ - косметологи в сургуте</x:v>
      </x:c>
      <x:c r="B880" s="14" t="str">
        <x:v>https://kozhaclinic.ru/inekcionnaya-kosmetologiya/konturnaya-plastika/uvelichenie-gub/</x:v>
      </x:c>
      <x:c r="C880" s="31" t="n">
        <x:v>0</x:v>
      </x:c>
      <x:c r="D880" s="31" t="n">
        <x:v>0</x:v>
      </x:c>
      <x:c r="E880" s="33" t="str">
        <x:f>IF(AND(ISNUMBER(C880),ISNUMBER(D880),D880&gt;0),C880/D880,"")</x:f>
      </x:c>
      <x:c r="F880" s="35"/>
      <x:c r="G880" s="31" t="n">
        <x:v>0</x:v>
      </x:c>
    </x:row>
    <x:row r="881" ht="42" customHeight="1">
      <x:c r="A881" s="12" t="str">
        <x:v>увлажнение губ это как</x:v>
      </x:c>
      <x:c r="B881" s="12" t="str">
        <x:v>https://kozhaclinic.ru/inekcionnaya-kosmetologiya/konturnaya-plastika/uvlazhnenie-gub/</x:v>
      </x:c>
      <x:c r="C881" s="30" t="n">
        <x:v>0</x:v>
      </x:c>
      <x:c r="D881" s="30" t="n">
        <x:v>1</x:v>
      </x:c>
      <x:c r="E881" s="32" t="n">
        <x:f>IF(AND(ISNUMBER(C881),ISNUMBER(D881),D881&gt;0),C881/D881,"")</x:f>
        <x:v>0</x:v>
      </x:c>
      <x:c r="F881" s="34" t="n">
        <x:v>5</x:v>
      </x:c>
      <x:c r="G881" s="30" t="n">
        <x:v>2</x:v>
      </x:c>
    </x:row>
    <x:row r="882" ht="42" customHeight="1">
      <x:c r="A882" s="14" t="str">
        <x:v>удаление кератом сургут</x:v>
      </x:c>
      <x:c r="B882" s="14" t="str">
        <x:v>https://kozhaclinic.ru/udalenie-novoobrazovanij/udalenie-keratom/</x:v>
      </x:c>
      <x:c r="C882" s="31" t="n">
        <x:v>0</x:v>
      </x:c>
      <x:c r="D882" s="31" t="n">
        <x:v>1</x:v>
      </x:c>
      <x:c r="E882" s="33" t="n">
        <x:f>IF(AND(ISNUMBER(C882),ISNUMBER(D882),D882&gt;0),C882/D882,"")</x:f>
        <x:v>0</x:v>
      </x:c>
      <x:c r="F882" s="35" t="n">
        <x:v>2</x:v>
      </x:c>
      <x:c r="G882" s="31" t="n">
        <x:v>1</x:v>
      </x:c>
    </x:row>
    <x:row r="883" ht="42" customHeight="1">
      <x:c r="A883" s="12" t="str">
        <x:v>удаление милиумов богдановича</x:v>
      </x:c>
      <x:c r="B883" s="12" t="str">
        <x:v>https://kozhaclinic.ru/apparatnaya-kosmetologiya/udalenie-novoobrazovaniy/</x:v>
      </x:c>
      <x:c r="C883" s="30" t="n">
        <x:v>0</x:v>
      </x:c>
      <x:c r="D883" s="30" t="n">
        <x:v>0</x:v>
      </x:c>
      <x:c r="E883" s="32" t="str">
        <x:f>IF(AND(ISNUMBER(C883),ISNUMBER(D883),D883&gt;0),C883/D883,"")</x:f>
      </x:c>
      <x:c r="F883" s="34"/>
      <x:c r="G883" s="30" t="n">
        <x:v>0</x:v>
      </x:c>
    </x:row>
    <x:row r="884" ht="42" customHeight="1">
      <x:c r="A884" s="14" t="str">
        <x:v>удаление милиумов в сургуте</x:v>
      </x:c>
      <x:c r="B884" s="14" t="str">
        <x:v>https://kozhaclinic.ru/apparatnaya-kosmetologiya/udalenie-novoobrazovaniy/</x:v>
      </x:c>
      <x:c r="C884" s="31" t="n">
        <x:v>0</x:v>
      </x:c>
      <x:c r="D884" s="31" t="n">
        <x:v>1</x:v>
      </x:c>
      <x:c r="E884" s="33" t="n">
        <x:f>IF(AND(ISNUMBER(C884),ISNUMBER(D884),D884&gt;0),C884/D884,"")</x:f>
        <x:v>0</x:v>
      </x:c>
      <x:c r="F884" s="35" t="n">
        <x:v>4</x:v>
      </x:c>
      <x:c r="G884" s="31" t="n">
        <x:v>1</x:v>
      </x:c>
    </x:row>
    <x:row r="885" ht="42" customHeight="1">
      <x:c r="A885" s="12" t="str">
        <x:v>удаление филлеров сургут</x:v>
      </x:c>
      <x:c r="B885" s="12" t="str">
        <x:v>https://kozhaclinic.ru/inekcionnaya-kosmetologiya/vyvedenie-fillera/</x:v>
      </x:c>
      <x:c r="C885" s="30" t="n">
        <x:v>0</x:v>
      </x:c>
      <x:c r="D885" s="30" t="n">
        <x:v>0</x:v>
      </x:c>
      <x:c r="E885" s="32" t="str">
        <x:f>IF(AND(ISNUMBER(C885),ISNUMBER(D885),D885&gt;0),C885/D885,"")</x:f>
      </x:c>
      <x:c r="F885" s="34"/>
      <x:c r="G885" s="30" t="n">
        <x:v>0</x:v>
      </x:c>
    </x:row>
    <x:row r="886" ht="42" customHeight="1">
      <x:c r="A886" s="14" t="str">
        <x:v>фотобиомодуляция после пересадки волос</x:v>
      </x:c>
      <x:c r="B886" s="14" t="str">
        <x:v>https://kozhaclinic.ru/terapiya-posle-peresadki-volos/</x:v>
      </x:c>
      <x:c r="C886" s="31" t="n">
        <x:v>0</x:v>
      </x:c>
      <x:c r="D886" s="31" t="n">
        <x:v>11</x:v>
      </x:c>
      <x:c r="E886" s="33" t="n">
        <x:f>IF(AND(ISNUMBER(C886),ISNUMBER(D886),D886&gt;0),C886/D886,"")</x:f>
        <x:v>0</x:v>
      </x:c>
      <x:c r="F886" s="35" t="n">
        <x:v>7.9</x:v>
      </x:c>
      <x:c r="G886" s="31" t="n">
        <x:v>11</x:v>
      </x:c>
    </x:row>
    <x:row r="887" ht="42" customHeight="1">
      <x:c r="A887" s="12" t="str">
        <x:v>фотоомоложение diamed86</x:v>
      </x:c>
      <x:c r="B887" s="12" t="str">
        <x:v>https://kozhaclinic.ru/apparatnaya-kosmetologiya/fotoomolozhenie-inmode/</x:v>
      </x:c>
      <x:c r="C887" s="30" t="n">
        <x:v>0</x:v>
      </x:c>
      <x:c r="D887" s="30" t="n">
        <x:v>0</x:v>
      </x:c>
      <x:c r="E887" s="32" t="str">
        <x:f>IF(AND(ISNUMBER(C887),ISNUMBER(D887),D887&gt;0),C887/D887,"")</x:f>
      </x:c>
      <x:c r="F887" s="34"/>
      <x:c r="G887" s="30" t="n">
        <x:v>0</x:v>
      </x:c>
    </x:row>
    <x:row r="888" ht="42" customHeight="1">
      <x:c r="A888" s="14" t="str">
        <x:v>фотоомоложение inmode lumecca</x:v>
      </x:c>
      <x:c r="B888" s="14" t="str">
        <x:v>https://kozhaclinic.ru/apparatnaya-kosmetologiya/fotoomolozhenie-inmode/</x:v>
      </x:c>
      <x:c r="C888" s="31" t="n">
        <x:v>0</x:v>
      </x:c>
      <x:c r="D888" s="31" t="n">
        <x:v>1</x:v>
      </x:c>
      <x:c r="E888" s="33" t="n">
        <x:f>IF(AND(ISNUMBER(C888),ISNUMBER(D888),D888&gt;0),C888/D888,"")</x:f>
        <x:v>0</x:v>
      </x:c>
      <x:c r="F888" s="35" t="n">
        <x:v>12</x:v>
      </x:c>
      <x:c r="G888" s="31" t="n">
        <x:v>5</x:v>
      </x:c>
    </x:row>
    <x:row r="889" ht="42" customHeight="1">
      <x:c r="A889" s="12" t="str">
        <x:v>prp cortexil</x:v>
      </x:c>
      <x:c r="B889" s="12" t="str">
        <x:v>https://kozhaclinic.ru/inekcionnaya-kosmetologiya/omolozhenie-i-pitanie-kozhi/prp-terapiya-cortexil/</x:v>
      </x:c>
      <x:c r="C889" s="30" t="n">
        <x:v>0</x:v>
      </x:c>
      <x:c r="D889" s="30" t="n">
        <x:v>1</x:v>
      </x:c>
      <x:c r="E889" s="32" t="n">
        <x:f>IF(AND(ISNUMBER(C889),ISNUMBER(D889),D889&gt;0),C889/D889,"")</x:f>
        <x:v>0</x:v>
      </x:c>
      <x:c r="F889" s="34" t="n">
        <x:v>10</x:v>
      </x:c>
      <x:c r="G889" s="30" t="n">
        <x:v>186</x:v>
      </x:c>
    </x:row>
    <x:row r="890" ht="42" customHeight="1">
      <x:c r="A890" s="14" t="str">
        <x:v>rf игольчатый морфеус</x:v>
      </x:c>
      <x:c r="B890" s="14" t="str">
        <x:v>https://kozhaclinic.ru/apparatnaya-kosmetologiya/igolchatyy-rf-lifting-na-morpheus-8/</x:v>
      </x:c>
      <x:c r="C890" s="31" t="n">
        <x:v>0</x:v>
      </x:c>
      <x:c r="D890" s="31" t="n">
        <x:v>0</x:v>
      </x:c>
      <x:c r="E890" s="33" t="str">
        <x:f>IF(AND(ISNUMBER(C890),ISNUMBER(D890),D890&gt;0),C890/D890,"")</x:f>
      </x:c>
      <x:c r="F890" s="35"/>
      <x:c r="G890" s="31" t="n">
        <x:v>13</x:v>
      </x:c>
    </x:row>
    <x:row r="891" ht="42" customHeight="1">
      <x:c r="A891" s="12" t="str">
        <x:v>rf лифтинг diamed86</x:v>
      </x:c>
      <x:c r="B891" s="12" t="str">
        <x:v>https://kozhaclinic.ru/apparatnaya-kosmetologiya/igolchatyy-rf-lifting-na-morpheus-8/</x:v>
      </x:c>
      <x:c r="C891" s="30" t="n">
        <x:v>0</x:v>
      </x:c>
      <x:c r="D891" s="30" t="n">
        <x:v>0</x:v>
      </x:c>
      <x:c r="E891" s="32" t="str">
        <x:f>IF(AND(ISNUMBER(C891),ISNUMBER(D891),D891&gt;0),C891/D891,"")</x:f>
      </x:c>
      <x:c r="F891" s="34"/>
      <x:c r="G891" s="30" t="n">
        <x:v>0</x:v>
      </x:c>
    </x:row>
    <x:row r="892" ht="42" customHeight="1">
      <x:c r="A892" s="14" t="str">
        <x:v>аппаратная косметология в сургуте</x:v>
      </x:c>
      <x:c r="B892" s="14" t="str">
        <x:v>https://kozhaclinic.ru/apparatnaya-kosmetologiya/</x:v>
      </x:c>
      <x:c r="C892" s="31" t="n">
        <x:v>0</x:v>
      </x:c>
      <x:c r="D892" s="31" t="n">
        <x:v>0</x:v>
      </x:c>
      <x:c r="E892" s="33" t="str">
        <x:f>IF(AND(ISNUMBER(C892),ISNUMBER(D892),D892&gt;0),C892/D892,"")</x:f>
      </x:c>
      <x:c r="F892" s="35"/>
      <x:c r="G892" s="31" t="n">
        <x:v>0</x:v>
      </x:c>
    </x:row>
    <x:row r="893" ht="42" customHeight="1">
      <x:c r="A893" s="12" t="str">
        <x:v>барофорез сургут</x:v>
      </x:c>
      <x:c r="B893" s="12" t="str">
        <x:v>https://kozhaclinic.ru/ceny-prajs-list/</x:v>
      </x:c>
      <x:c r="C893" s="30" t="n">
        <x:v>0</x:v>
      </x:c>
      <x:c r="D893" s="30" t="n">
        <x:v>0</x:v>
      </x:c>
      <x:c r="E893" s="32" t="str">
        <x:f>IF(AND(ISNUMBER(C893),ISNUMBER(D893),D893&gt;0),C893/D893,"")</x:f>
      </x:c>
      <x:c r="F893" s="34"/>
      <x:c r="G893" s="30" t="n">
        <x:v>0</x:v>
      </x:c>
    </x:row>
    <x:row r="894" ht="42" customHeight="1">
      <x:c r="A894" s="14" t="str">
        <x:v>ботокс в подмышки</x:v>
      </x:c>
      <x:c r="B894" s="14" t="str">
        <x:v>https://kozhaclinic.ru/inekcionnaya-kosmetologiya/lechenie-gipergidroza/</x:v>
      </x:c>
      <x:c r="C894" s="31" t="n">
        <x:v>0</x:v>
      </x:c>
      <x:c r="D894" s="31" t="n">
        <x:v>0</x:v>
      </x:c>
      <x:c r="E894" s="33" t="str">
        <x:f>IF(AND(ISNUMBER(C894),ISNUMBER(D894),D894&gt;0),C894/D894,"")</x:f>
      </x:c>
      <x:c r="F894" s="35"/>
      <x:c r="G894" s="31" t="n">
        <x:v>717</x:v>
      </x:c>
    </x:row>
    <x:row r="895" ht="42" customHeight="1">
      <x:c r="A895" s="12" t="str">
        <x:v>ботокс глаза tomsk-kosmetolog.ru</x:v>
      </x:c>
      <x:c r="B895" s="12" t="str">
        <x:v>https://kozhaclinic.ru/inekcionnaya-kosmetologiya/botulinoterapiya/botoks-dlya-litsa-i-vokrug-glaz/</x:v>
      </x:c>
      <x:c r="C895" s="30" t="n">
        <x:v>0</x:v>
      </x:c>
      <x:c r="D895" s="30" t="n">
        <x:v>0</x:v>
      </x:c>
      <x:c r="E895" s="32" t="str">
        <x:f>IF(AND(ISNUMBER(C895),ISNUMBER(D895),D895&gt;0),C895/D895,"")</x:f>
      </x:c>
      <x:c r="F895" s="34"/>
      <x:c r="G895" s="30" t="n">
        <x:v>0</x:v>
      </x:c>
    </x:row>
    <x:row r="896" ht="42" customHeight="1">
      <x:c r="A896" s="14" t="str">
        <x:v>ботокс губ сургут</x:v>
      </x:c>
      <x:c r="B896" s="14" t="str">
        <x:v>https://kozhaclinic.ru/inekcionnaya-kosmetologiya/</x:v>
      </x:c>
      <x:c r="C896" s="31" t="n">
        <x:v>0</x:v>
      </x:c>
      <x:c r="D896" s="31" t="n">
        <x:v>0</x:v>
      </x:c>
      <x:c r="E896" s="33" t="str">
        <x:f>IF(AND(ISNUMBER(C896),ISNUMBER(D896),D896&gt;0),C896/D896,"")</x:f>
      </x:c>
      <x:c r="F896" s="35"/>
      <x:c r="G896" s="31" t="n">
        <x:v>0</x:v>
      </x:c>
    </x:row>
    <x:row r="897" ht="42" customHeight="1">
      <x:c r="A897" s="12" t="str">
        <x:v>ботокс жевательных мышц сургут</x:v>
      </x:c>
      <x:c r="B897" s="12" t="str">
        <x:v>https://kozhaclinic.ru/inekcionnaya-kosmetologiya/botulinoterapiya/</x:v>
      </x:c>
      <x:c r="C897" s="30" t="n">
        <x:v>0</x:v>
      </x:c>
      <x:c r="D897" s="30" t="n">
        <x:v>0</x:v>
      </x:c>
      <x:c r="E897" s="32" t="str">
        <x:f>IF(AND(ISNUMBER(C897),ISNUMBER(D897),D897&gt;0),C897/D897,"")</x:f>
      </x:c>
      <x:c r="F897" s="34"/>
      <x:c r="G897" s="30" t="n">
        <x:v>0</x:v>
      </x:c>
    </x:row>
    <x:row r="898" ht="42" customHeight="1">
      <x:c r="A898" s="14" t="str">
        <x:v>ботокс подмышек сургут</x:v>
      </x:c>
      <x:c r="B898" s="14" t="str">
        <x:v>https://kozhaclinic.ru/inekcionnaya-kosmetologiya/lechenie-gipergidroza/botulinoterapiya-podmyshek/</x:v>
      </x:c>
      <x:c r="C898" s="31" t="n">
        <x:v>0</x:v>
      </x:c>
      <x:c r="D898" s="31" t="n">
        <x:v>0</x:v>
      </x:c>
      <x:c r="E898" s="33" t="str">
        <x:f>IF(AND(ISNUMBER(C898),ISNUMBER(D898),D898&gt;0),C898/D898,"")</x:f>
      </x:c>
      <x:c r="F898" s="35"/>
      <x:c r="G898" s="31" t="n">
        <x:v>0</x:v>
      </x:c>
    </x:row>
    <x:row r="899" ht="42" customHeight="1">
      <x:c r="A899" s="12" t="str">
        <x:v>ботулинотерапевт в сургуте</x:v>
      </x:c>
      <x:c r="B899" s="12" t="str">
        <x:v>https://kozhaclinic.ru/inekcionnaya-kosmetologiya/botulinoterapiya/</x:v>
      </x:c>
      <x:c r="C899" s="30" t="n">
        <x:v>0</x:v>
      </x:c>
      <x:c r="D899" s="30" t="n">
        <x:v>0</x:v>
      </x:c>
      <x:c r="E899" s="32" t="str">
        <x:f>IF(AND(ISNUMBER(C899),ISNUMBER(D899),D899&gt;0),C899/D899,"")</x:f>
      </x:c>
      <x:c r="F899" s="34"/>
      <x:c r="G899" s="30" t="n">
        <x:v>0</x:v>
      </x:c>
    </x:row>
    <x:row r="900" ht="42" customHeight="1">
      <x:c r="A900" s="14" t="str">
        <x:v>врач трихолог сургут</x:v>
      </x:c>
      <x:c r="B900" s="14" t="str">
        <x:v>https://kozhaclinic.ru/osmotry-i-konsultatsii/konsultatsiya-vracha-trikhologa-s-naznacheniem-plana-protsedur/</x:v>
      </x:c>
      <x:c r="C900" s="31" t="n">
        <x:v>0</x:v>
      </x:c>
      <x:c r="D900" s="31" t="n">
        <x:v>5</x:v>
      </x:c>
      <x:c r="E900" s="33" t="n">
        <x:f>IF(AND(ISNUMBER(C900),ISNUMBER(D900),D900&gt;0),C900/D900,"")</x:f>
        <x:v>0</x:v>
      </x:c>
      <x:c r="F900" s="35" t="n">
        <x:v>12.6</x:v>
      </x:c>
      <x:c r="G900" s="31" t="n">
        <x:v>18</x:v>
      </x:c>
    </x:row>
    <x:row r="901" ht="42" customHeight="1">
      <x:c r="A901" s="12" t="str">
        <x:v>гель в губах мигрировал в слизистую что делать</x:v>
      </x:c>
      <x:c r="B901" s="12" t="str">
        <x:v>https://kozhaclinic.ru/migratsiya-gelya-iz-gub/</x:v>
      </x:c>
      <x:c r="C901" s="30" t="n">
        <x:v>0</x:v>
      </x:c>
      <x:c r="D901" s="30" t="n">
        <x:v>0</x:v>
      </x:c>
      <x:c r="E901" s="32" t="str">
        <x:f>IF(AND(ISNUMBER(C901),ISNUMBER(D901),D901&gt;0),C901/D901,"")</x:f>
      </x:c>
      <x:c r="F901" s="34"/>
      <x:c r="G901" s="30" t="n">
        <x:v>1</x:v>
      </x:c>
    </x:row>
    <x:row r="902" ht="42" customHeight="1">
      <x:c r="A902" s="14" t="str">
        <x:v>гель мигрирует</x:v>
      </x:c>
      <x:c r="B902" s="14" t="str">
        <x:v>https://kozhaclinic.ru/migratsiya-gelya-iz-gub/</x:v>
      </x:c>
      <x:c r="C902" s="31" t="n">
        <x:v>0</x:v>
      </x:c>
      <x:c r="D902" s="31" t="n">
        <x:v>2</x:v>
      </x:c>
      <x:c r="E902" s="33" t="n">
        <x:f>IF(AND(ISNUMBER(C902),ISNUMBER(D902),D902&gt;0),C902/D902,"")</x:f>
        <x:v>0</x:v>
      </x:c>
      <x:c r="F902" s="35" t="n">
        <x:v>7.5</x:v>
      </x:c>
      <x:c r="G902" s="31" t="n">
        <x:v>2</x:v>
      </x:c>
    </x:row>
    <x:row r="903" ht="42" customHeight="1">
      <x:c r="A903" s="12" t="str">
        <x:v>гибридный лазер сургут</x:v>
      </x:c>
      <x:c r="B903" s="12" t="str">
        <x:v>https://kozhaclinic.ru/ustranenie-nezhelatelnykh-volos/</x:v>
      </x:c>
      <x:c r="C903" s="30" t="n">
        <x:v>0</x:v>
      </x:c>
      <x:c r="D903" s="30" t="n">
        <x:v>0</x:v>
      </x:c>
      <x:c r="E903" s="32" t="str">
        <x:f>IF(AND(ISNUMBER(C903),ISNUMBER(D903),D903&gt;0),C903/D903,"")</x:f>
      </x:c>
      <x:c r="F903" s="34"/>
      <x:c r="G903" s="30" t="n">
        <x:v>3</x:v>
      </x:c>
    </x:row>
    <x:row r="904" ht="42" customHeight="1">
      <x:c r="A904" s="14" t="str">
        <x:v>дерматолог косметолог москва акне https://perezagruzka.clinic/konsultatsiya-vracha-dermatologa/</x:v>
      </x:c>
      <x:c r="B904" s="14" t="str">
        <x:v>https://kozhaclinic.ru/osmotry-i-konsultatsii/povtornyy-priem-vracha-dermatologa-po-akne-rozatsea-akneformnym-dermatozam/</x:v>
      </x:c>
      <x:c r="C904" s="31" t="n">
        <x:v>0</x:v>
      </x:c>
      <x:c r="D904" s="31" t="n">
        <x:v>0</x:v>
      </x:c>
      <x:c r="E904" s="33" t="str">
        <x:f>IF(AND(ISNUMBER(C904),ISNUMBER(D904),D904&gt;0),C904/D904,"")</x:f>
      </x:c>
      <x:c r="F904" s="35"/>
      <x:c r="G904" s="31" t="n">
        <x:v>0</x:v>
      </x:c>
    </x:row>
    <x:row r="905" ht="42" customHeight="1">
      <x:c r="A905" s="12" t="str">
        <x:v>дерматолог трихолог сургут</x:v>
      </x:c>
      <x:c r="B905" s="12" t="str">
        <x:v>https://kozhaclinic.ru/osmotry-i-konsultatsii/konsultatsiya-vracha-trikhologa-s-naznacheniem-plana-protsedur/</x:v>
      </x:c>
      <x:c r="C905" s="30" t="n">
        <x:v>0</x:v>
      </x:c>
      <x:c r="D905" s="30" t="n">
        <x:v>6</x:v>
      </x:c>
      <x:c r="E905" s="32" t="n">
        <x:f>IF(AND(ISNUMBER(C905),ISNUMBER(D905),D905&gt;0),C905/D905,"")</x:f>
        <x:v>0</x:v>
      </x:c>
      <x:c r="F905" s="34" t="n">
        <x:v>11.5</x:v>
      </x:c>
      <x:c r="G905" s="30" t="n">
        <x:v>12</x:v>
      </x:c>
    </x:row>
    <x:row r="906" ht="42" customHeight="1">
      <x:c r="A906" s="14" t="str">
        <x:v>как выглядит миграция геля</x:v>
      </x:c>
      <x:c r="B906" s="14" t="str">
        <x:v>https://kozhaclinic.ru/migratsiya-gelya-iz-gub/</x:v>
      </x:c>
      <x:c r="C906" s="31" t="n">
        <x:v>0</x:v>
      </x:c>
      <x:c r="D906" s="31" t="n">
        <x:v>6</x:v>
      </x:c>
      <x:c r="E906" s="33" t="n">
        <x:f>IF(AND(ISNUMBER(C906),ISNUMBER(D906),D906&gt;0),C906/D906,"")</x:f>
        <x:v>0</x:v>
      </x:c>
      <x:c r="F906" s="35" t="n">
        <x:v>9.1</x:v>
      </x:c>
      <x:c r="G906" s="31" t="n">
        <x:v>9</x:v>
      </x:c>
    </x:row>
    <x:row r="907" ht="42" customHeight="1">
      <x:c r="A907" s="12" t="str">
        <x:v>как понять что гель в губах мигрировал в слизистую</x:v>
      </x:c>
      <x:c r="B907" s="12" t="str">
        <x:v>https://kozhaclinic.ru/migratsiya-gelya-iz-gub/</x:v>
      </x:c>
      <x:c r="C907" s="30" t="n">
        <x:v>0</x:v>
      </x:c>
      <x:c r="D907" s="30" t="n">
        <x:v>2</x:v>
      </x:c>
      <x:c r="E907" s="32" t="n">
        <x:f>IF(AND(ISNUMBER(C907),ISNUMBER(D907),D907&gt;0),C907/D907,"")</x:f>
        <x:v>0</x:v>
      </x:c>
      <x:c r="F907" s="34" t="n">
        <x:v>9</x:v>
      </x:c>
      <x:c r="G907" s="30" t="n">
        <x:v>5</x:v>
      </x:c>
    </x:row>
    <x:row r="908" ht="42" customHeight="1">
      <x:c r="A908" s="14" t="str">
        <x:v>как филлер в губах мигрирует</x:v>
      </x:c>
      <x:c r="B908" s="14" t="str">
        <x:v>https://kozhaclinic.ru/migratsiya-gelya-iz-gub/</x:v>
      </x:c>
      <x:c r="C908" s="31" t="n">
        <x:v>0</x:v>
      </x:c>
      <x:c r="D908" s="31" t="n">
        <x:v>1</x:v>
      </x:c>
      <x:c r="E908" s="33" t="n">
        <x:f>IF(AND(ISNUMBER(C908),ISNUMBER(D908),D908&gt;0),C908/D908,"")</x:f>
        <x:v>0</x:v>
      </x:c>
      <x:c r="F908" s="35" t="n">
        <x:v>10</x:v>
      </x:c>
      <x:c r="G908" s="31" t="n">
        <x:v>1</x:v>
      </x:c>
    </x:row>
    <x:row r="909" ht="42" customHeight="1">
      <x:c r="A909" s="12" t="str">
        <x:v>капельницы красоты сургут</x:v>
      </x:c>
      <x:c r="B909" s="12" t="str">
        <x:v>https://kozhaclinic.ru/iv-terapiya/vosstanovlenie/</x:v>
      </x:c>
      <x:c r="C909" s="30" t="n">
        <x:v>0</x:v>
      </x:c>
      <x:c r="D909" s="30" t="n">
        <x:v>1</x:v>
      </x:c>
      <x:c r="E909" s="32" t="n">
        <x:f>IF(AND(ISNUMBER(C909),ISNUMBER(D909),D909&gt;0),C909/D909,"")</x:f>
        <x:v>0</x:v>
      </x:c>
      <x:c r="F909" s="34" t="n">
        <x:v>7</x:v>
      </x:c>
      <x:c r="G909" s="30" t="n">
        <x:v>3</x:v>
      </x:c>
    </x:row>
    <x:row r="910" ht="42" customHeight="1">
      <x:c r="A910" s="14" t="str">
        <x:v>кожа skin просп. мира, 25 отзывы</x:v>
      </x:c>
      <x:c r="B910" s="14" t="str">
        <x:v>https://kozhaclinic.ru/osmotry-i-konsultatsii/</x:v>
      </x:c>
      <x:c r="C910" s="31" t="n">
        <x:v>0</x:v>
      </x:c>
      <x:c r="D910" s="31" t="n">
        <x:v>0</x:v>
      </x:c>
      <x:c r="E910" s="33" t="str">
        <x:f>IF(AND(ISNUMBER(C910),ISNUMBER(D910),D910&gt;0),C910/D910,"")</x:f>
      </x:c>
      <x:c r="F910" s="35"/>
      <x:c r="G910" s="31" t="n">
        <x:v>2</x:v>
      </x:c>
    </x:row>
    <x:row r="911" ht="42" customHeight="1">
      <x:c r="A911" s="12" t="str">
        <x:v>кожа клиника сургут отзывы</x:v>
      </x:c>
      <x:c r="B911" s="12" t="str">
        <x:v>https://kozhaclinic.ru/o-nas/otzyvy/</x:v>
      </x:c>
      <x:c r="C911" s="30" t="n">
        <x:v>1</x:v>
      </x:c>
      <x:c r="D911" s="30" t="n">
        <x:v>2</x:v>
      </x:c>
      <x:c r="E911" s="32" t="n">
        <x:f>IF(AND(ISNUMBER(C911),ISNUMBER(D911),D911&gt;0),C911/D911,"")</x:f>
        <x:v>0.5</x:v>
      </x:c>
      <x:c r="F911" s="34" t="n">
        <x:v>3.5</x:v>
      </x:c>
      <x:c r="G911" s="30" t="n">
        <x:v>1</x:v>
      </x:c>
    </x:row>
    <x:row r="912" ht="42" customHeight="1">
      <x:c r="A912" s="14" t="str">
        <x:v>коллагенотерапия носослезной борозды</x:v>
      </x:c>
      <x:c r="B912" s="14" t="str">
        <x:v>https://kozhaclinic.ru/inekcionnaya-kosmetologiya/kollagenoterapiya/kollagenoterapiya-vokrug-glaz/</x:v>
      </x:c>
      <x:c r="C912" s="31" t="n">
        <x:v>0</x:v>
      </x:c>
      <x:c r="D912" s="31" t="n">
        <x:v>6</x:v>
      </x:c>
      <x:c r="E912" s="33" t="n">
        <x:f>IF(AND(ISNUMBER(C912),ISNUMBER(D912),D912&gt;0),C912/D912,"")</x:f>
        <x:v>0</x:v>
      </x:c>
      <x:c r="F912" s="35" t="n">
        <x:v>8.3</x:v>
      </x:c>
      <x:c r="G912" s="31" t="n">
        <x:v>12</x:v>
      </x:c>
    </x:row>
    <x:row r="913" ht="42" customHeight="1">
      <x:c r="A913" s="12" t="str">
        <x:v>консультация косметолога сургут</x:v>
      </x:c>
      <x:c r="B913" s="12" t="str">
        <x:v>https://kozhaclinic.ru/</x:v>
      </x:c>
      <x:c r="C913" s="30" t="n">
        <x:v>0</x:v>
      </x:c>
      <x:c r="D913" s="30" t="n">
        <x:v>0</x:v>
      </x:c>
      <x:c r="E913" s="32" t="str">
        <x:f>IF(AND(ISNUMBER(C913),ISNUMBER(D913),D913&gt;0),C913/D913,"")</x:f>
      </x:c>
      <x:c r="F913" s="34"/>
      <x:c r="G913" s="30" t="n">
        <x:v>0</x:v>
      </x:c>
    </x:row>
    <x:row r="914" ht="42" customHeight="1">
      <x:c r="A914" s="14" t="str">
        <x:v>контурная пластика в сургуте филерами клиники</x:v>
      </x:c>
      <x:c r="B914" s="14" t="str">
        <x:v>https://kozhaclinic.ru/inekcionnaya-kosmetologiya/konturnaya-plastika/korrektsiya-nosogubnykh-skladok/</x:v>
      </x:c>
      <x:c r="C914" s="31" t="n">
        <x:v>0</x:v>
      </x:c>
      <x:c r="D914" s="31" t="n">
        <x:v>4</x:v>
      </x:c>
      <x:c r="E914" s="33" t="n">
        <x:f>IF(AND(ISNUMBER(C914),ISNUMBER(D914),D914&gt;0),C914/D914,"")</x:f>
        <x:v>0</x:v>
      </x:c>
      <x:c r="F914" s="35" t="n">
        <x:v>5.7</x:v>
      </x:c>
      <x:c r="G914" s="31" t="n">
        <x:v>3</x:v>
      </x:c>
    </x:row>
    <x:row r="915" ht="42" customHeight="1">
      <x:c r="A915" s="12" t="str">
        <x:v>косметолог club-soprano.ru/services/priem-vracha-kosmetologa/</x:v>
      </x:c>
      <x:c r="B915" s="12" t="str">
        <x:v>https://kozhaclinic.ru/osmotry-i-konsultatsii/konsultatsiya-vracha-kosmetologa-s-naznacheniem-plana-protsedur/</x:v>
      </x:c>
      <x:c r="C915" s="30" t="n">
        <x:v>0</x:v>
      </x:c>
      <x:c r="D915" s="30" t="n">
        <x:v>10</x:v>
      </x:c>
      <x:c r="E915" s="32" t="n">
        <x:f>IF(AND(ISNUMBER(C915),ISNUMBER(D915),D915&gt;0),C915/D915,"")</x:f>
        <x:v>0</x:v>
      </x:c>
      <x:c r="F915" s="34" t="n">
        <x:v>6.3</x:v>
      </x:c>
      <x:c r="G915" s="30" t="n">
        <x:v>15</x:v>
      </x:c>
    </x:row>
    <x:row r="916" ht="42" customHeight="1">
      <x:c r="A916" s="14" t="str">
        <x:v>косметолог сургут чистка лица при акне</x:v>
      </x:c>
      <x:c r="B916" s="14" t="str">
        <x:v>https://kozhaclinic.ru/uhodovye-procedury/chistki-litsa-i-spiny/lechebnaya-chistka-litsa/</x:v>
      </x:c>
      <x:c r="C916" s="31" t="n">
        <x:v>0</x:v>
      </x:c>
      <x:c r="D916" s="31" t="n">
        <x:v>0</x:v>
      </x:c>
      <x:c r="E916" s="33" t="str">
        <x:f>IF(AND(ISNUMBER(C916),ISNUMBER(D916),D916&gt;0),C916/D916,"")</x:f>
      </x:c>
      <x:c r="F916" s="35"/>
      <x:c r="G916" s="31" t="n">
        <x:v>0</x:v>
      </x:c>
    </x:row>
    <x:row r="917" ht="42" customHeight="1">
      <x:c r="A917" s="12" t="str">
        <x:v>косметологии сургута</x:v>
      </x:c>
      <x:c r="B917" s="12" t="str">
        <x:v>https://kozhaclinic.ru/</x:v>
      </x:c>
      <x:c r="C917" s="30" t="n">
        <x:v>0</x:v>
      </x:c>
      <x:c r="D917" s="30" t="n">
        <x:v>0</x:v>
      </x:c>
      <x:c r="E917" s="32" t="str">
        <x:f>IF(AND(ISNUMBER(C917),ISNUMBER(D917),D917&gt;0),C917/D917,"")</x:f>
      </x:c>
      <x:c r="F917" s="34"/>
      <x:c r="G917" s="30" t="n">
        <x:v>0</x:v>
      </x:c>
    </x:row>
    <x:row r="918" ht="42" customHeight="1">
      <x:c r="A918" s="14" t="str">
        <x:v>косметология сургут выделить контур челюсти</x:v>
      </x:c>
      <x:c r="B918" s="14" t="str">
        <x:v>https://kozhaclinic.ru/uluchshenie-ovala-litsa/</x:v>
      </x:c>
      <x:c r="C918" s="31" t="n">
        <x:v>0</x:v>
      </x:c>
      <x:c r="D918" s="31" t="n">
        <x:v>2</x:v>
      </x:c>
      <x:c r="E918" s="33" t="n">
        <x:f>IF(AND(ISNUMBER(C918),ISNUMBER(D918),D918&gt;0),C918/D918,"")</x:f>
        <x:v>0</x:v>
      </x:c>
      <x:c r="F918" s="35" t="n">
        <x:v>3.5</x:v>
      </x:c>
      <x:c r="G918" s="31" t="n">
        <x:v>2</x:v>
      </x:c>
    </x:row>
    <x:row r="919" ht="42" customHeight="1">
      <x:c r="A919" s="12" t="str">
        <x:v>лазерная эпиляция мужчинам сургут</x:v>
      </x:c>
      <x:c r="B919" s="12" t="str">
        <x:v>https://kozhaclinic.ru/lazernaya-kosmetologiya/dlya-muzhchin/</x:v>
      </x:c>
      <x:c r="C919" s="30" t="n">
        <x:v>0</x:v>
      </x:c>
      <x:c r="D919" s="30" t="n">
        <x:v>0</x:v>
      </x:c>
      <x:c r="E919" s="32" t="str">
        <x:f>IF(AND(ISNUMBER(C919),ISNUMBER(D919),D919&gt;0),C919/D919,"")</x:f>
      </x:c>
      <x:c r="F919" s="34"/>
      <x:c r="G919" s="30" t="n">
        <x:v>0</x:v>
      </x:c>
    </x:row>
    <x:row r="920" ht="42" customHeight="1">
      <x:c r="A920" s="14" t="str">
        <x:v>лазерное удаление сургут</x:v>
      </x:c>
      <x:c r="B920" s="14" t="str">
        <x:v>https://kozhaclinic.ru/udalenie-novoobrazovanij/udalenie-borodavok/</x:v>
      </x:c>
      <x:c r="C920" s="31" t="n">
        <x:v>1</x:v>
      </x:c>
      <x:c r="D920" s="31" t="n">
        <x:v>1</x:v>
      </x:c>
      <x:c r="E920" s="33" t="n">
        <x:f>IF(AND(ISNUMBER(C920),ISNUMBER(D920),D920&gt;0),C920/D920,"")</x:f>
        <x:v>1</x:v>
      </x:c>
      <x:c r="F920" s="35" t="n">
        <x:v>3</x:v>
      </x:c>
      <x:c r="G920" s="31" t="n">
        <x:v>1</x:v>
      </x:c>
    </x:row>
    <x:row r="921" ht="42" customHeight="1">
      <x:c r="A921" s="12" t="str">
        <x:v>лечение акне в сургуте</x:v>
      </x:c>
      <x:c r="B921" s="12" t="str">
        <x:v>https://kozhaclinic.ru/</x:v>
      </x:c>
      <x:c r="C921" s="30" t="n">
        <x:v>0</x:v>
      </x:c>
      <x:c r="D921" s="30" t="n">
        <x:v>1</x:v>
      </x:c>
      <x:c r="E921" s="32" t="n">
        <x:f>IF(AND(ISNUMBER(C921),ISNUMBER(D921),D921&gt;0),C921/D921,"")</x:f>
        <x:v>0</x:v>
      </x:c>
      <x:c r="F921" s="34" t="n">
        <x:v>3</x:v>
      </x:c>
      <x:c r="G921" s="30" t="n">
        <x:v>1</x:v>
      </x:c>
    </x:row>
    <x:row r="922" ht="42" customHeight="1">
      <x:c r="A922" s="14" t="str">
        <x:v>лифтинг лица сургут</x:v>
      </x:c>
      <x:c r="B922" s="14" t="str">
        <x:v>https://kozhaclinic.ru/apparatnaya-kosmetologiya/igolchatyy-rf-lifting-na-morpheus-8/</x:v>
      </x:c>
      <x:c r="C922" s="31" t="n">
        <x:v>0</x:v>
      </x:c>
      <x:c r="D922" s="31" t="n">
        <x:v>0</x:v>
      </x:c>
      <x:c r="E922" s="33" t="str">
        <x:f>IF(AND(ISNUMBER(C922),ISNUMBER(D922),D922&gt;0),C922/D922,"")</x:f>
      </x:c>
      <x:c r="F922" s="35"/>
      <x:c r="G922" s="31" t="n">
        <x:v>0</x:v>
      </x:c>
    </x:row>
    <x:row r="923" ht="42" customHeight="1">
      <x:c r="A923" s="12" t="str">
        <x:v>магнитная чистка лица</x:v>
      </x:c>
      <x:c r="B923" s="12" t="str">
        <x:v>https://kozhaclinic.ru/</x:v>
      </x:c>
      <x:c r="C923" s="30" t="n">
        <x:v>0</x:v>
      </x:c>
      <x:c r="D923" s="30" t="n">
        <x:v>1</x:v>
      </x:c>
      <x:c r="E923" s="32" t="n">
        <x:f>IF(AND(ISNUMBER(C923),ISNUMBER(D923),D923&gt;0),C923/D923,"")</x:f>
        <x:v>0</x:v>
      </x:c>
      <x:c r="F923" s="34" t="n">
        <x:v>7</x:v>
      </x:c>
      <x:c r="G923" s="30" t="n">
        <x:v>7</x:v>
      </x:c>
    </x:row>
    <x:row r="924" ht="42" customHeight="1">
      <x:c r="A924" s="14" t="str">
        <x:v>мезотерапия для лица diamed86</x:v>
      </x:c>
      <x:c r="B924" s="14" t="str">
        <x:v>https://kozhaclinic.ru/inekcionnaya-kosmetologiya/omolozhenie-i-pitanie-kozhi/mezoterapiya/</x:v>
      </x:c>
      <x:c r="C924" s="31" t="n">
        <x:v>0</x:v>
      </x:c>
      <x:c r="D924" s="31" t="n">
        <x:v>0</x:v>
      </x:c>
      <x:c r="E924" s="33" t="str">
        <x:f>IF(AND(ISNUMBER(C924),ISNUMBER(D924),D924&gt;0),C924/D924,"")</x:f>
      </x:c>
      <x:c r="F924" s="35"/>
      <x:c r="G924" s="31" t="n">
        <x:v>0</x:v>
      </x:c>
    </x:row>
    <x:row r="925" ht="42" customHeight="1">
      <x:c r="A925" s="12" t="str">
        <x:v>миграция геля в губах как выглядит</x:v>
      </x:c>
      <x:c r="B925" s="12" t="str">
        <x:v>https://kozhaclinic.ru/migratsiya-gelya-iz-gub/</x:v>
      </x:c>
      <x:c r="C925" s="30" t="n">
        <x:v>0</x:v>
      </x:c>
      <x:c r="D925" s="30" t="n">
        <x:v>2</x:v>
      </x:c>
      <x:c r="E925" s="32" t="n">
        <x:f>IF(AND(ISNUMBER(C925),ISNUMBER(D925),D925&gt;0),C925/D925,"")</x:f>
        <x:v>0</x:v>
      </x:c>
      <x:c r="F925" s="34" t="n">
        <x:v>5.5</x:v>
      </x:c>
      <x:c r="G925" s="30" t="n">
        <x:v>5</x:v>
      </x:c>
    </x:row>
    <x:row r="926" ht="42" customHeight="1">
      <x:c r="A926" s="14" t="str">
        <x:v>миграция геля в слизистую губ фото</x:v>
      </x:c>
      <x:c r="B926" s="14" t="str">
        <x:v>https://kozhaclinic.ru/migratsiya-gelya-iz-gub/</x:v>
      </x:c>
      <x:c r="C926" s="31" t="n">
        <x:v>0</x:v>
      </x:c>
      <x:c r="D926" s="31" t="n">
        <x:v>2</x:v>
      </x:c>
      <x:c r="E926" s="33" t="n">
        <x:f>IF(AND(ISNUMBER(C926),ISNUMBER(D926),D926&gt;0),C926/D926,"")</x:f>
        <x:v>0</x:v>
      </x:c>
      <x:c r="F926" s="35" t="n">
        <x:v>8</x:v>
      </x:c>
      <x:c r="G926" s="31" t="n">
        <x:v>2</x:v>
      </x:c>
    </x:row>
    <x:row r="927" ht="42" customHeight="1">
      <x:c r="A927" s="12" t="str">
        <x:v>миграция филлера в губах фото как выглядит</x:v>
      </x:c>
      <x:c r="B927" s="12" t="str">
        <x:v>https://kozhaclinic.ru/migratsiya-gelya-iz-gub/</x:v>
      </x:c>
      <x:c r="C927" s="30" t="n">
        <x:v>0</x:v>
      </x:c>
      <x:c r="D927" s="30" t="n">
        <x:v>2</x:v>
      </x:c>
      <x:c r="E927" s="32" t="n">
        <x:f>IF(AND(ISNUMBER(C927),ISNUMBER(D927),D927&gt;0),C927/D927,"")</x:f>
        <x:v>0</x:v>
      </x:c>
      <x:c r="F927" s="34" t="n">
        <x:v>8.5</x:v>
      </x:c>
      <x:c r="G927" s="30" t="n">
        <x:v>11</x:v>
      </x:c>
    </x:row>
    <x:row r="928" ht="42" customHeight="1">
      <x:c r="A928" s="14" t="str">
        <x:v>мигрирует гель</x:v>
      </x:c>
      <x:c r="B928" s="14" t="str">
        <x:v>https://kozhaclinic.ru/migratsiya-gelya-iz-gub/</x:v>
      </x:c>
      <x:c r="C928" s="31" t="n">
        <x:v>0</x:v>
      </x:c>
      <x:c r="D928" s="31" t="n">
        <x:v>0</x:v>
      </x:c>
      <x:c r="E928" s="33" t="str">
        <x:f>IF(AND(ISNUMBER(C928),ISNUMBER(D928),D928&gt;0),C928/D928,"")</x:f>
      </x:c>
      <x:c r="F928" s="35"/>
      <x:c r="G928" s="31" t="n">
        <x:v>2</x:v>
      </x:c>
    </x:row>
    <x:row r="929" ht="42" customHeight="1">
      <x:c r="A929" s="12" t="str">
        <x:v>микроигольчатый лифтинг в сургуте</x:v>
      </x:c>
      <x:c r="B929" s="12" t="str">
        <x:v>https://kozhaclinic.ru/apparatnaya-kosmetologiya/igolchatyy-rf-lifting-na-morpheus-8/</x:v>
      </x:c>
      <x:c r="C929" s="30" t="n">
        <x:v>0</x:v>
      </x:c>
      <x:c r="D929" s="30" t="n">
        <x:v>3</x:v>
      </x:c>
      <x:c r="E929" s="32" t="n">
        <x:f>IF(AND(ISNUMBER(C929),ISNUMBER(D929),D929&gt;0),C929/D929,"")</x:f>
        <x:v>0</x:v>
      </x:c>
      <x:c r="F929" s="34" t="n">
        <x:v>7</x:v>
      </x:c>
      <x:c r="G929" s="30" t="n">
        <x:v>3</x:v>
      </x:c>
    </x:row>
    <x:row r="930" ht="42" customHeight="1">
      <x:c r="A930" s="14" t="str">
        <x:v>микроигольчатый рф лифтинг в сургуте</x:v>
      </x:c>
      <x:c r="B930" s="14" t="str">
        <x:v>https://kozhaclinic.ru/apparatnaya-kosmetologiya/igolchatyy-rf-lifting-na-morpheus-8/</x:v>
      </x:c>
      <x:c r="C930" s="31" t="n">
        <x:v>0</x:v>
      </x:c>
      <x:c r="D930" s="31" t="n">
        <x:v>5</x:v>
      </x:c>
      <x:c r="E930" s="33" t="n">
        <x:f>IF(AND(ISNUMBER(C930),ISNUMBER(D930),D930&gt;0),C930/D930,"")</x:f>
        <x:v>0</x:v>
      </x:c>
      <x:c r="F930" s="35" t="n">
        <x:v>6.2</x:v>
      </x:c>
      <x:c r="G930" s="31" t="n">
        <x:v>5</x:v>
      </x:c>
    </x:row>
    <x:row r="931" ht="42" customHeight="1">
      <x:c r="A931" s="12" t="str">
        <x:v>микротоковая рефлексотерапия в сургуте</x:v>
      </x:c>
      <x:c r="B931" s="12" t="str">
        <x:v>https://kozhaclinic.ru/apparatnaya-kosmetologiya/mikrotokovaya-terapiya/</x:v>
      </x:c>
      <x:c r="C931" s="30" t="n">
        <x:v>0</x:v>
      </x:c>
      <x:c r="D931" s="30" t="n">
        <x:v>1</x:v>
      </x:c>
      <x:c r="E931" s="32" t="n">
        <x:f>IF(AND(ISNUMBER(C931),ISNUMBER(D931),D931&gt;0),C931/D931,"")</x:f>
        <x:v>0</x:v>
      </x:c>
      <x:c r="F931" s="34" t="n">
        <x:v>7</x:v>
      </x:c>
      <x:c r="G931" s="30" t="n">
        <x:v>1</x:v>
      </x:c>
    </x:row>
    <x:row r="932" ht="42" customHeight="1">
      <x:c r="A932" s="14" t="str">
        <x:v>пластифицирующими движениями</x:v>
      </x:c>
      <x:c r="B932" s="14" t="str">
        <x:v>https://kozhaclinic.ru/uhodovye-procedury/massazhi/plastifitsiruyushchiy/</x:v>
      </x:c>
      <x:c r="C932" s="31" t="n">
        <x:v>0</x:v>
      </x:c>
      <x:c r="D932" s="31" t="n">
        <x:v>3</x:v>
      </x:c>
      <x:c r="E932" s="33" t="n">
        <x:f>IF(AND(ISNUMBER(C932),ISNUMBER(D932),D932&gt;0),C932/D932,"")</x:f>
        <x:v>0</x:v>
      </x:c>
      <x:c r="F932" s="35" t="n">
        <x:v>5</x:v>
      </x:c>
      <x:c r="G932" s="31" t="n">
        <x:v>3</x:v>
      </x:c>
    </x:row>
    <x:row r="933" ht="42" customHeight="1">
      <x:c r="A933" s="12" t="str">
        <x:v>подтяжка кожи скидка</x:v>
      </x:c>
      <x:c r="B933" s="12" t="str">
        <x:v>https://kozhaclinic.ru/akcii/</x:v>
      </x:c>
      <x:c r="C933" s="30" t="n">
        <x:v>0</x:v>
      </x:c>
      <x:c r="D933" s="30" t="n">
        <x:v>0</x:v>
      </x:c>
      <x:c r="E933" s="32" t="str">
        <x:f>IF(AND(ISNUMBER(C933),ISNUMBER(D933),D933&gt;0),C933/D933,"")</x:f>
      </x:c>
      <x:c r="F933" s="34"/>
      <x:c r="G933" s="30" t="n">
        <x:v>30</x:v>
      </x:c>
    </x:row>
    <x:row r="934" ht="42" customHeight="1">
      <x:c r="A934" s="14" t="str">
        <x:v>проверить родинки сургут</x:v>
      </x:c>
      <x:c r="B934" s="14" t="str">
        <x:v>https://kozhaclinic.ru/osmotry-i-konsultatsii/dermatoskopiya/</x:v>
      </x:c>
      <x:c r="C934" s="31" t="n">
        <x:v>0</x:v>
      </x:c>
      <x:c r="D934" s="31" t="n">
        <x:v>3</x:v>
      </x:c>
      <x:c r="E934" s="33" t="n">
        <x:f>IF(AND(ISNUMBER(C934),ISNUMBER(D934),D934&gt;0),C934/D934,"")</x:f>
        <x:v>0</x:v>
      </x:c>
      <x:c r="F934" s="35" t="n">
        <x:v>2.6</x:v>
      </x:c>
      <x:c r="G934" s="31" t="n">
        <x:v>3</x:v>
      </x:c>
    </x:row>
    <x:row r="935" ht="42" customHeight="1">
      <x:c r="A935" s="12" t="str">
        <x:v>радиоволновой метод удаления папиллом</x:v>
      </x:c>
      <x:c r="B935" s="12" t="str">
        <x:v>https://kozhaclinic.ru/udalenie-novoobrazovanij/udalenie-papilom/</x:v>
      </x:c>
      <x:c r="C935" s="30" t="n">
        <x:v>0</x:v>
      </x:c>
      <x:c r="D935" s="30" t="n">
        <x:v>3</x:v>
      </x:c>
      <x:c r="E935" s="32" t="n">
        <x:f>IF(AND(ISNUMBER(C935),ISNUMBER(D935),D935&gt;0),C935/D935,"")</x:f>
        <x:v>0</x:v>
      </x:c>
      <x:c r="F935" s="34" t="n">
        <x:v>9.6</x:v>
      </x:c>
      <x:c r="G935" s="30" t="n">
        <x:v>562</x:v>
      </x:c>
    </x:row>
    <x:row r="936" ht="42" customHeight="1">
      <x:c r="A936" s="14" t="str">
        <x:v>релатокс</x:v>
      </x:c>
      <x:c r="B936" s="14" t="str">
        <x:v>https://kozhaclinic.ru/inekcionnaya-kosmetologiya/botulinoterapiya/relatox/</x:v>
      </x:c>
      <x:c r="C936" s="31" t="n">
        <x:v>0</x:v>
      </x:c>
      <x:c r="D936" s="31" t="n">
        <x:v>2</x:v>
      </x:c>
      <x:c r="E936" s="33" t="n">
        <x:f>IF(AND(ISNUMBER(C936),ISNUMBER(D936),D936&gt;0),C936/D936,"")</x:f>
        <x:v>0</x:v>
      </x:c>
      <x:c r="F936" s="35" t="n">
        <x:v>10</x:v>
      </x:c>
      <x:c r="G936" s="31" t="n">
        <x:v>5464</x:v>
      </x:c>
    </x:row>
    <x:row r="937" ht="42" customHeight="1">
      <x:c r="A937" s="12" t="str">
        <x:v>салон красоты кожа на ленина</x:v>
      </x:c>
      <x:c r="B937" s="12" t="str">
        <x:v>https://kozhaclinic.ru/</x:v>
      </x:c>
      <x:c r="C937" s="30" t="n">
        <x:v>8</x:v>
      </x:c>
      <x:c r="D937" s="30" t="n">
        <x:v>10</x:v>
      </x:c>
      <x:c r="E937" s="32" t="n">
        <x:f>IF(AND(ISNUMBER(C937),ISNUMBER(D937),D937&gt;0),C937/D937,"")</x:f>
        <x:v>0.8</x:v>
      </x:c>
      <x:c r="F937" s="34" t="n">
        <x:v>1.3</x:v>
      </x:c>
      <x:c r="G937" s="30" t="n">
        <x:v>3</x:v>
      </x:c>
    </x:row>
    <x:row r="938" ht="42" customHeight="1">
      <x:c r="A938" s="14" t="str">
        <x:v>сургут подтяжка лица</x:v>
      </x:c>
      <x:c r="B938" s="14" t="str">
        <x:v>https://kozhaclinic.ru/podtyazhka-kozhi-litsa/</x:v>
      </x:c>
      <x:c r="C938" s="31" t="n">
        <x:v>0</x:v>
      </x:c>
      <x:c r="D938" s="31" t="n">
        <x:v>0</x:v>
      </x:c>
      <x:c r="E938" s="33" t="str">
        <x:f>IF(AND(ISNUMBER(C938),ISNUMBER(D938),D938&gt;0),C938/D938,"")</x:f>
      </x:c>
      <x:c r="F938" s="35"/>
      <x:c r="G938" s="31" t="n">
        <x:v>0</x:v>
      </x:c>
    </x:row>
    <x:row r="939" ht="42" customHeight="1">
      <x:c r="A939" s="12" t="str">
        <x:v>сургут удаление папилломы</x:v>
      </x:c>
      <x:c r="B939" s="12" t="str">
        <x:v>https://kozhaclinic.ru/udalenie-novoobrazovanij/udalenie-papilom/</x:v>
      </x:c>
      <x:c r="C939" s="30" t="n">
        <x:v>0</x:v>
      </x:c>
      <x:c r="D939" s="30" t="n">
        <x:v>1</x:v>
      </x:c>
      <x:c r="E939" s="32" t="n">
        <x:f>IF(AND(ISNUMBER(C939),ISNUMBER(D939),D939&gt;0),C939/D939,"")</x:f>
        <x:v>0</x:v>
      </x:c>
      <x:c r="F939" s="34" t="n">
        <x:v>7</x:v>
      </x:c>
      <x:c r="G939" s="30" t="n">
        <x:v>1</x:v>
      </x:c>
    </x:row>
    <x:row r="940" ht="42" customHeight="1">
      <x:c r="A940" s="14" t="str">
        <x:v>убрать бородавку сургут</x:v>
      </x:c>
      <x:c r="B940" s="14" t="str">
        <x:v>https://kozhaclinic.ru/udalenie-novoobrazovanij/udalenie-borodavok/</x:v>
      </x:c>
      <x:c r="C940" s="31" t="n">
        <x:v>0</x:v>
      </x:c>
      <x:c r="D940" s="31" t="n">
        <x:v>0</x:v>
      </x:c>
      <x:c r="E940" s="33" t="str">
        <x:f>IF(AND(ISNUMBER(C940),ISNUMBER(D940),D940&gt;0),C940/D940,"")</x:f>
      </x:c>
      <x:c r="F940" s="35"/>
      <x:c r="G940" s="31" t="n">
        <x:v>0</x:v>
      </x:c>
    </x:row>
    <x:row r="941" ht="42" customHeight="1">
      <x:c r="A941" s="12" t="str">
        <x:v>увлажнение губ сургут</x:v>
      </x:c>
      <x:c r="B941" s="12" t="str">
        <x:v>https://kozhaclinic.ru/inekcionnaya-kosmetologiya/konturnaya-plastika/uvlazhnenie-gub/</x:v>
      </x:c>
      <x:c r="C941" s="30" t="n">
        <x:v>0</x:v>
      </x:c>
      <x:c r="D941" s="30" t="n">
        <x:v>0</x:v>
      </x:c>
      <x:c r="E941" s="32" t="str">
        <x:f>IF(AND(ISNUMBER(C941),ISNUMBER(D941),D941&gt;0),C941/D941,"")</x:f>
      </x:c>
      <x:c r="F941" s="34"/>
      <x:c r="G941" s="30" t="n">
        <x:v>0</x:v>
      </x:c>
    </x:row>
    <x:row r="942" ht="42" customHeight="1">
      <x:c r="A942" s="14" t="str">
        <x:v>удаление бородавки</x:v>
      </x:c>
      <x:c r="B942" s="14" t="str">
        <x:v>https://kozhaclinic.ru/udalenie-novoobrazovanij/udalenie-borodavok/</x:v>
      </x:c>
      <x:c r="C942" s="31" t="n">
        <x:v>0</x:v>
      </x:c>
      <x:c r="D942" s="31" t="n">
        <x:v>0</x:v>
      </x:c>
      <x:c r="E942" s="33" t="str">
        <x:f>IF(AND(ISNUMBER(C942),ISNUMBER(D942),D942&gt;0),C942/D942,"")</x:f>
      </x:c>
      <x:c r="F942" s="35"/>
      <x:c r="G942" s="31" t="n">
        <x:v>509</x:v>
      </x:c>
    </x:row>
    <x:row r="943" ht="42" customHeight="1">
      <x:c r="A943" s="12" t="str">
        <x:v>удаление лазером сургут</x:v>
      </x:c>
      <x:c r="B943" s="12" t="str">
        <x:v>https://kozhaclinic.ru/udalenie-novoobrazovanij/udalenie-borodavok/</x:v>
      </x:c>
      <x:c r="C943" s="30" t="n">
        <x:v>0</x:v>
      </x:c>
      <x:c r="D943" s="30" t="n">
        <x:v>1</x:v>
      </x:c>
      <x:c r="E943" s="32" t="n">
        <x:f>IF(AND(ISNUMBER(C943),ISNUMBER(D943),D943&gt;0),C943/D943,"")</x:f>
        <x:v>0</x:v>
      </x:c>
      <x:c r="F943" s="34" t="n">
        <x:v>9</x:v>
      </x:c>
      <x:c r="G943" s="30" t="n">
        <x:v>1</x:v>
      </x:c>
    </x:row>
    <x:row r="944" ht="42" customHeight="1">
      <x:c r="A944" s="14" t="str">
        <x:v>удаление папиллом в сургуте цена</x:v>
      </x:c>
      <x:c r="B944" s="14" t="str">
        <x:v>https://kozhaclinic.ru/udalenie-novoobrazovanij/udalenie-papilom/</x:v>
      </x:c>
      <x:c r="C944" s="31" t="n">
        <x:v>0</x:v>
      </x:c>
      <x:c r="D944" s="31" t="n">
        <x:v>1</x:v>
      </x:c>
      <x:c r="E944" s="33" t="n">
        <x:f>IF(AND(ISNUMBER(C944),ISNUMBER(D944),D944&gt;0),C944/D944,"")</x:f>
        <x:v>0</x:v>
      </x:c>
      <x:c r="F944" s="35" t="n">
        <x:v>6</x:v>
      </x:c>
      <x:c r="G944" s="31" t="n">
        <x:v>2</x:v>
      </x:c>
    </x:row>
    <x:row r="945" ht="42" customHeight="1">
      <x:c r="A945" s="12" t="str">
        <x:v>удаление пигментации сургут</x:v>
      </x:c>
      <x:c r="B945" s="12" t="str">
        <x:v>https://kozhaclinic.ru/izbavlenie-ot-pigmentatsii/</x:v>
      </x:c>
      <x:c r="C945" s="30" t="n">
        <x:v>0</x:v>
      </x:c>
      <x:c r="D945" s="30" t="n">
        <x:v>2</x:v>
      </x:c>
      <x:c r="E945" s="32" t="n">
        <x:f>IF(AND(ISNUMBER(C945),ISNUMBER(D945),D945&gt;0),C945/D945,"")</x:f>
        <x:v>0</x:v>
      </x:c>
      <x:c r="F945" s="34" t="n">
        <x:v>4.5</x:v>
      </x:c>
      <x:c r="G945" s="30" t="n">
        <x:v>2</x:v>
      </x:c>
    </x:row>
    <x:row r="946" ht="42" customHeight="1">
      <x:c r="A946" s="14" t="str">
        <x:v>удаление подошвенной бородавки сургут</x:v>
      </x:c>
      <x:c r="B946" s="14" t="str">
        <x:v>https://kozhaclinic.ru/udalenie-novoobrazovanij/udalenie-borodavok/</x:v>
      </x:c>
      <x:c r="C946" s="31" t="n">
        <x:v>0</x:v>
      </x:c>
      <x:c r="D946" s="31" t="n">
        <x:v>0</x:v>
      </x:c>
      <x:c r="E946" s="33" t="str">
        <x:f>IF(AND(ISNUMBER(C946),ISNUMBER(D946),D946&gt;0),C946/D946,"")</x:f>
      </x:c>
      <x:c r="F946" s="35"/>
      <x:c r="G946" s="31" t="n">
        <x:v>0</x:v>
      </x:c>
    </x:row>
    <x:row r="947" ht="42" customHeight="1">
      <x:c r="A947" s="12" t="str">
        <x:v>удаление подошвенных бородавок в сургуте</x:v>
      </x:c>
      <x:c r="B947" s="12" t="str">
        <x:v>https://kozhaclinic.ru/udalenie-novoobrazovanij/udalenie-borodavok/</x:v>
      </x:c>
      <x:c r="C947" s="30" t="n">
        <x:v>0</x:v>
      </x:c>
      <x:c r="D947" s="30" t="n">
        <x:v>0</x:v>
      </x:c>
      <x:c r="E947" s="32" t="str">
        <x:f>IF(AND(ISNUMBER(C947),ISNUMBER(D947),D947&gt;0),C947/D947,"")</x:f>
      </x:c>
      <x:c r="F947" s="34"/>
      <x:c r="G947" s="30" t="n">
        <x:v>0</x:v>
      </x:c>
    </x:row>
    <x:row r="948" ht="42" customHeight="1">
      <x:c r="A948" s="14" t="str">
        <x:v>удаление родинки</x:v>
      </x:c>
      <x:c r="B948" s="14" t="str">
        <x:v>https://kozhaclinic.ru/udalenie-novoobrazovanij/udalenie-rodinok/</x:v>
      </x:c>
      <x:c r="C948" s="31" t="n">
        <x:v>0</x:v>
      </x:c>
      <x:c r="D948" s="31" t="n">
        <x:v>0</x:v>
      </x:c>
      <x:c r="E948" s="33" t="str">
        <x:f>IF(AND(ISNUMBER(C948),ISNUMBER(D948),D948&gt;0),C948/D948,"")</x:f>
      </x:c>
      <x:c r="F948" s="35"/>
      <x:c r="G948" s="31" t="n">
        <x:v>714</x:v>
      </x:c>
    </x:row>
    <x:row r="949" ht="42" customHeight="1">
      <x:c r="A949" s="12" t="str">
        <x:v>удаление родинок в интимном месте сургут</x:v>
      </x:c>
      <x:c r="B949" s="12" t="str">
        <x:v>https://kozhaclinic.ru/apparatnaya-kosmetologiya/udalenie-novoobrazovaniy/</x:v>
      </x:c>
      <x:c r="C949" s="30" t="n">
        <x:v>0</x:v>
      </x:c>
      <x:c r="D949" s="30" t="n">
        <x:v>2</x:v>
      </x:c>
      <x:c r="E949" s="32" t="n">
        <x:f>IF(AND(ISNUMBER(C949),ISNUMBER(D949),D949&gt;0),C949/D949,"")</x:f>
        <x:v>0</x:v>
      </x:c>
      <x:c r="F949" s="34" t="n">
        <x:v>7.5</x:v>
      </x:c>
      <x:c r="G949" s="30" t="n">
        <x:v>2</x:v>
      </x:c>
    </x:row>
    <x:row r="950" ht="42" customHeight="1">
      <x:c r="A950" s="14" t="str">
        <x:v>удаление сосудистых звездочек на лице лазером сургут</x:v>
      </x:c>
      <x:c r="B950" s="14" t="str">
        <x:v>https://kozhaclinic.ru/</x:v>
      </x:c>
      <x:c r="C950" s="31" t="n">
        <x:v>1</x:v>
      </x:c>
      <x:c r="D950" s="31" t="n">
        <x:v>5</x:v>
      </x:c>
      <x:c r="E950" s="33" t="n">
        <x:f>IF(AND(ISNUMBER(C950),ISNUMBER(D950),D950&gt;0),C950/D950,"")</x:f>
        <x:v>0.2</x:v>
      </x:c>
      <x:c r="F950" s="35" t="n">
        <x:v>10.4</x:v>
      </x:c>
      <x:c r="G950" s="31" t="n">
        <x:v>5</x:v>
      </x:c>
    </x:row>
    <x:row r="951" ht="42" customHeight="1">
      <x:c r="A951" s="12" t="str">
        <x:v>удаление шрамов</x:v>
      </x:c>
      <x:c r="B951" s="12" t="str">
        <x:v>https://kozhaclinic.ru/ubrat-shram/</x:v>
      </x:c>
      <x:c r="C951" s="30" t="n">
        <x:v>0</x:v>
      </x:c>
      <x:c r="D951" s="30" t="n">
        <x:v>0</x:v>
      </x:c>
      <x:c r="E951" s="32" t="str">
        <x:f>IF(AND(ISNUMBER(C951),ISNUMBER(D951),D951&gt;0),C951/D951,"")</x:f>
      </x:c>
      <x:c r="F951" s="34"/>
      <x:c r="G951" s="30" t="n">
        <x:v>1126</x:v>
      </x:c>
    </x:row>
    <x:row r="952" ht="42" customHeight="1">
      <x:c r="A952" s="14" t="str">
        <x:v>удалить папилломы в сургуте цена</x:v>
      </x:c>
      <x:c r="B952" s="14" t="str">
        <x:v>https://kozhaclinic.ru/udalenie-novoobrazovanij/udalenie-papilom/</x:v>
      </x:c>
      <x:c r="C952" s="31" t="n">
        <x:v>0</x:v>
      </x:c>
      <x:c r="D952" s="31" t="n">
        <x:v>6</x:v>
      </x:c>
      <x:c r="E952" s="33" t="n">
        <x:f>IF(AND(ISNUMBER(C952),ISNUMBER(D952),D952&gt;0),C952/D952,"")</x:f>
        <x:v>0</x:v>
      </x:c>
      <x:c r="F952" s="35" t="n">
        <x:v>6.6</x:v>
      </x:c>
      <x:c r="G952" s="31" t="n">
        <x:v>6</x:v>
      </x:c>
    </x:row>
    <x:row r="953" ht="42" customHeight="1">
      <x:c r="A953" s="12" t="str">
        <x:v>удалить родинки в сургуте</x:v>
      </x:c>
      <x:c r="B953" s="12" t="str">
        <x:v>https://kozhaclinic.ru/udalenie-novoobrazovanij/udalenie-rodinok/</x:v>
      </x:c>
      <x:c r="C953" s="30" t="n">
        <x:v>0</x:v>
      </x:c>
      <x:c r="D953" s="30" t="n">
        <x:v>0</x:v>
      </x:c>
      <x:c r="E953" s="32" t="str">
        <x:f>IF(AND(ISNUMBER(C953),ISNUMBER(D953),D953&gt;0),C953/D953,"")</x:f>
      </x:c>
      <x:c r="F953" s="34"/>
      <x:c r="G953" s="30" t="n">
        <x:v>0</x:v>
      </x:c>
    </x:row>
    <x:row r="954" ht="42" customHeight="1">
      <x:c r="A954" s="14" t="str">
        <x:v>филлер в слизистой губ</x:v>
      </x:c>
      <x:c r="B954" s="14" t="str">
        <x:v>https://kozhaclinic.ru/migratsiya-gelya-iz-gub/</x:v>
      </x:c>
      <x:c r="C954" s="31" t="n">
        <x:v>0</x:v>
      </x:c>
      <x:c r="D954" s="31" t="n">
        <x:v>5</x:v>
      </x:c>
      <x:c r="E954" s="33" t="n">
        <x:f>IF(AND(ISNUMBER(C954),ISNUMBER(D954),D954&gt;0),C954/D954,"")</x:f>
        <x:v>0</x:v>
      </x:c>
      <x:c r="F954" s="35" t="n">
        <x:v>9.4</x:v>
      </x:c>
      <x:c r="G954" s="31" t="n">
        <x:v>14</x:v>
      </x:c>
    </x:row>
    <x:row r="955" ht="42" customHeight="1">
      <x:c r="A955" s="12" t="str">
        <x:v>филлер мигрировал в слизистую что делать</x:v>
      </x:c>
      <x:c r="B955" s="12" t="str">
        <x:v>https://kozhaclinic.ru/migratsiya-gelya-iz-gub/</x:v>
      </x:c>
      <x:c r="C955" s="30" t="n">
        <x:v>0</x:v>
      </x:c>
      <x:c r="D955" s="30" t="n">
        <x:v>1</x:v>
      </x:c>
      <x:c r="E955" s="32" t="n">
        <x:f>IF(AND(ISNUMBER(C955),ISNUMBER(D955),D955&gt;0),C955/D955,"")</x:f>
        <x:v>0</x:v>
      </x:c>
      <x:c r="F955" s="34" t="n">
        <x:v>9</x:v>
      </x:c>
      <x:c r="G955" s="30" t="n">
        <x:v>1</x:v>
      </x:c>
    </x:row>
    <x:row r="956" ht="42" customHeight="1">
      <x:c r="A956" s="14" t="str">
        <x:v>филлер мигрировал за контур губ как понять</x:v>
      </x:c>
      <x:c r="B956" s="14" t="str">
        <x:v>https://kozhaclinic.ru/migratsiya-gelya-iz-gub/</x:v>
      </x:c>
      <x:c r="C956" s="31" t="n">
        <x:v>0</x:v>
      </x:c>
      <x:c r="D956" s="31" t="n">
        <x:v>1</x:v>
      </x:c>
      <x:c r="E956" s="33" t="n">
        <x:f>IF(AND(ISNUMBER(C956),ISNUMBER(D956),D956&gt;0),C956/D956,"")</x:f>
        <x:v>0</x:v>
      </x:c>
      <x:c r="F956" s="35" t="n">
        <x:v>6</x:v>
      </x:c>
      <x:c r="G956" s="31" t="n">
        <x:v>1</x:v>
      </x:c>
    </x:row>
    <x:row r="957" ht="42" customHeight="1">
      <x:c r="A957" s="12" t="str">
        <x:v>филлер мигрирует</x:v>
      </x:c>
      <x:c r="B957" s="12" t="str">
        <x:v>https://kozhaclinic.ru/migratsiya-gelya-iz-gub/</x:v>
      </x:c>
      <x:c r="C957" s="30" t="n">
        <x:v>0</x:v>
      </x:c>
      <x:c r="D957" s="30" t="n">
        <x:v>0</x:v>
      </x:c>
      <x:c r="E957" s="32" t="str">
        <x:f>IF(AND(ISNUMBER(C957),ISNUMBER(D957),D957&gt;0),C957/D957,"")</x:f>
      </x:c>
      <x:c r="F957" s="34"/>
      <x:c r="G957" s="30" t="n">
        <x:v>5</x:v>
      </x:c>
    </x:row>
    <x:row r="958" ht="42" customHeight="1">
      <x:c r="A958" s="14" t="str">
        <x:v>фототерапия lumecca</x:v>
      </x:c>
      <x:c r="B958" s="14" t="str">
        <x:v>https://kozhaclinic.ru/apparatnaya-kosmetologiya/fotoomolozhenie-inmode/</x:v>
      </x:c>
      <x:c r="C958" s="31" t="n">
        <x:v>0</x:v>
      </x:c>
      <x:c r="D958" s="31" t="n">
        <x:v>0</x:v>
      </x:c>
      <x:c r="E958" s="33" t="str">
        <x:f>IF(AND(ISNUMBER(C958),ISNUMBER(D958),D958&gt;0),C958/D958,"")</x:f>
      </x:c>
      <x:c r="F958" s="35"/>
      <x:c r="G958" s="31" t="n">
        <x:v>974</x:v>
      </x:c>
    </x:row>
    <x:row r="959" ht="42" customHeight="1">
      <x:c r="A959" s="12" t="str">
        <x:v>что такое гладкая кожа</x:v>
      </x:c>
      <x:c r="B959" s="12" t="str">
        <x:v>https://kozhaclinic.ru/gladkost-i-siyanie-kozhi/</x:v>
      </x:c>
      <x:c r="C959" s="30" t="n">
        <x:v>0</x:v>
      </x:c>
      <x:c r="D959" s="30" t="n">
        <x:v>0</x:v>
      </x:c>
      <x:c r="E959" s="32" t="str">
        <x:f>IF(AND(ISNUMBER(C959),ISNUMBER(D959),D959&gt;0),C959/D959,"")</x:f>
      </x:c>
      <x:c r="F959" s="34"/>
      <x:c r="G959" s="30" t="n">
        <x:v>0</x:v>
      </x:c>
    </x:row>
    <x:row r="960" ht="42" customHeight="1">
      <x:c r="A960" s="14" t="str">
        <x:v>эверейдж клиник</x:v>
      </x:c>
      <x:c r="B960" s="14" t="str">
        <x:v>https://kozhaclinic.ru/</x:v>
      </x:c>
      <x:c r="C960" s="31" t="n">
        <x:v>0</x:v>
      </x:c>
      <x:c r="D960" s="31" t="n">
        <x:v>5</x:v>
      </x:c>
      <x:c r="E960" s="33" t="n">
        <x:f>IF(AND(ISNUMBER(C960),ISNUMBER(D960),D960&gt;0),C960/D960,"")</x:f>
        <x:v>0</x:v>
      </x:c>
      <x:c r="F960" s="35" t="n">
        <x:v>10.8</x:v>
      </x:c>
      <x:c r="G960" s="31" t="n">
        <x:v>8</x:v>
      </x:c>
    </x:row>
    <x:row r="961" ht="42" customHeight="1">
      <x:c r="A961" s="12" t="str">
        <x:v>prp-терапия сургут</x:v>
      </x:c>
      <x:c r="B961" s="12" t="str">
        <x:v>https://kozhaclinic.ru/inekcionnaya-kosmetologiya/omolozhenie-i-pitanie-kozhi/prp-terapiya-cortexil/</x:v>
      </x:c>
      <x:c r="C961" s="30" t="n">
        <x:v>0</x:v>
      </x:c>
      <x:c r="D961" s="30" t="n">
        <x:v>0</x:v>
      </x:c>
      <x:c r="E961" s="32" t="str">
        <x:f>IF(AND(ISNUMBER(C961),ISNUMBER(D961),D961&gt;0),C961/D961,"")</x:f>
      </x:c>
      <x:c r="F961" s="34"/>
      <x:c r="G961" s="30" t="n">
        <x:v>0</x:v>
      </x:c>
    </x:row>
    <x:row r="962" ht="42" customHeight="1">
      <x:c r="A962" s="14" t="str">
        <x:v>биоревитализация губ сургут</x:v>
      </x:c>
      <x:c r="B962" s="14" t="str">
        <x:v>https://kozhaclinic.ru/inekcionnaya-kosmetologiya/omolozhenie-i-pitanie-kozhi/biorevitalizatsiya/</x:v>
      </x:c>
      <x:c r="C962" s="31" t="n">
        <x:v>0</x:v>
      </x:c>
      <x:c r="D962" s="31" t="n">
        <x:v>1</x:v>
      </x:c>
      <x:c r="E962" s="33" t="n">
        <x:f>IF(AND(ISNUMBER(C962),ISNUMBER(D962),D962&gt;0),C962/D962,"")</x:f>
        <x:v>0</x:v>
      </x:c>
      <x:c r="F962" s="35" t="n">
        <x:v>5</x:v>
      </x:c>
      <x:c r="G962" s="31" t="n">
        <x:v>1</x:v>
      </x:c>
    </x:row>
    <x:row r="963" ht="42" customHeight="1">
      <x:c r="A963" s="12" t="str">
        <x:v>ботокс</x:v>
      </x:c>
      <x:c r="B963" s="12" t="str">
        <x:v>https://kozhaclinic.ru/</x:v>
      </x:c>
      <x:c r="C963" s="30" t="n">
        <x:v>0</x:v>
      </x:c>
      <x:c r="D963" s="30" t="n">
        <x:v>1</x:v>
      </x:c>
      <x:c r="E963" s="32" t="n">
        <x:f>IF(AND(ISNUMBER(C963),ISNUMBER(D963),D963&gt;0),C963/D963,"")</x:f>
        <x:v>0</x:v>
      </x:c>
      <x:c r="F963" s="34" t="n">
        <x:v>5</x:v>
      </x:c>
      <x:c r="G963" s="30" t="n">
        <x:v>9091</x:v>
      </x:c>
    </x:row>
    <x:row r="964" ht="42" customHeight="1">
      <x:c r="A964" s="14" t="str">
        <x:v>игольчатый рф-лифтинг лица сургут</x:v>
      </x:c>
      <x:c r="B964" s="14" t="str">
        <x:v>https://kozhaclinic.ru/apparatnaya-kosmetologiya/igolchatyy-rf-lifting-na-morpheus-8/</x:v>
      </x:c>
      <x:c r="C964" s="31" t="n">
        <x:v>0</x:v>
      </x:c>
      <x:c r="D964" s="31" t="n">
        <x:v>0</x:v>
      </x:c>
      <x:c r="E964" s="33" t="str">
        <x:f>IF(AND(ISNUMBER(C964),ISNUMBER(D964),D964&gt;0),C964/D964,"")</x:f>
      </x:c>
      <x:c r="F964" s="35"/>
      <x:c r="G964" s="31" t="n">
        <x:v>0</x:v>
      </x:c>
    </x:row>
    <x:row r="965" ht="42" customHeight="1">
      <x:c r="A965" s="12" t="str">
        <x:v>контурная пластика губ diamed86</x:v>
      </x:c>
      <x:c r="B965" s="12" t="str">
        <x:v>https://kozhaclinic.ru/inekcionnaya-kosmetologiya/konturnaya-plastika/uvelichenie-gub/</x:v>
      </x:c>
      <x:c r="C965" s="30" t="n">
        <x:v>0</x:v>
      </x:c>
      <x:c r="D965" s="30" t="n">
        <x:v>0</x:v>
      </x:c>
      <x:c r="E965" s="32" t="str">
        <x:f>IF(AND(ISNUMBER(C965),ISNUMBER(D965),D965&gt;0),C965/D965,"")</x:f>
      </x:c>
      <x:c r="F965" s="34"/>
      <x:c r="G965" s="30" t="n">
        <x:v>0</x:v>
      </x:c>
    </x:row>
    <x:row r="966" ht="42" customHeight="1">
      <x:c r="A966" s="14" t="str">
        <x:v>лазерное удаление</x:v>
      </x:c>
      <x:c r="B966" s="14" t="str">
        <x:v>https://kozhaclinic.ru/</x:v>
      </x:c>
      <x:c r="C966" s="31" t="n">
        <x:v>0</x:v>
      </x:c>
      <x:c r="D966" s="31" t="n">
        <x:v>0</x:v>
      </x:c>
      <x:c r="E966" s="33" t="str">
        <x:f>IF(AND(ISNUMBER(C966),ISNUMBER(D966),D966&gt;0),C966/D966,"")</x:f>
      </x:c>
      <x:c r="F966" s="35"/>
      <x:c r="G966" s="31" t="n">
        <x:v>404</x:v>
      </x:c>
    </x:row>
    <x:row r="967" ht="42" customHeight="1">
      <x:c r="A967" s="12" t="str">
        <x:v>лазерное удаление родинок в сургуте</x:v>
      </x:c>
      <x:c r="B967" s="12" t="str">
        <x:v>https://kozhaclinic.ru/udalenie-novoobrazovanij/udalenie-rodinok/</x:v>
      </x:c>
      <x:c r="C967" s="30" t="n">
        <x:v>1</x:v>
      </x:c>
      <x:c r="D967" s="30" t="n">
        <x:v>4</x:v>
      </x:c>
      <x:c r="E967" s="32" t="n">
        <x:f>IF(AND(ISNUMBER(C967),ISNUMBER(D967),D967&gt;0),C967/D967,"")</x:f>
        <x:v>0.25</x:v>
      </x:c>
      <x:c r="F967" s="34" t="n">
        <x:v>8.7</x:v>
      </x:c>
      <x:c r="G967" s="30" t="n">
        <x:v>4</x:v>
      </x:c>
    </x:row>
    <x:row r="968" ht="42" customHeight="1">
      <x:c r="A968" s="14" t="str">
        <x:v>лазерное удаление шрамов сургут</x:v>
      </x:c>
      <x:c r="B968" s="14" t="str">
        <x:v>https://kozhaclinic.ru/ubrat-shram/</x:v>
      </x:c>
      <x:c r="C968" s="31" t="n">
        <x:v>0</x:v>
      </x:c>
      <x:c r="D968" s="31" t="n">
        <x:v>3</x:v>
      </x:c>
      <x:c r="E968" s="33" t="n">
        <x:f>IF(AND(ISNUMBER(C968),ISNUMBER(D968),D968&gt;0),C968/D968,"")</x:f>
        <x:v>0</x:v>
      </x:c>
      <x:c r="F968" s="35" t="n">
        <x:v>7</x:v>
      </x:c>
      <x:c r="G968" s="31" t="n">
        <x:v>3</x:v>
      </x:c>
    </x:row>
    <x:row r="969" ht="42" customHeight="1">
      <x:c r="A969" s="12" t="str">
        <x:v>микротоки в сургуте</x:v>
      </x:c>
      <x:c r="B969" s="12" t="str">
        <x:v>https://kozhaclinic.ru/apparatnaya-kosmetologiya/mikrotokovaya-terapiya/</x:v>
      </x:c>
      <x:c r="C969" s="30" t="n">
        <x:v>0</x:v>
      </x:c>
      <x:c r="D969" s="30" t="n">
        <x:v>0</x:v>
      </x:c>
      <x:c r="E969" s="32" t="str">
        <x:f>IF(AND(ISNUMBER(C969),ISNUMBER(D969),D969&gt;0),C969/D969,"")</x:f>
      </x:c>
      <x:c r="F969" s="34"/>
      <x:c r="G969" s="30" t="n">
        <x:v>0</x:v>
      </x:c>
    </x:row>
    <x:row r="970" ht="42" customHeight="1">
      <x:c r="A970" s="14" t="str">
        <x:v>молекула сургут официальный сайт клиника</x:v>
      </x:c>
      <x:c r="B970" s="14" t="str">
        <x:v>https://kozhaclinic.ru/</x:v>
      </x:c>
      <x:c r="C970" s="31" t="n">
        <x:v>0</x:v>
      </x:c>
      <x:c r="D970" s="31" t="n">
        <x:v>3</x:v>
      </x:c>
      <x:c r="E970" s="33" t="n">
        <x:f>IF(AND(ISNUMBER(C970),ISNUMBER(D970),D970&gt;0),C970/D970,"")</x:f>
        <x:v>0</x:v>
      </x:c>
      <x:c r="F970" s="35" t="n">
        <x:v>10.6</x:v>
      </x:c>
      <x:c r="G970" s="31" t="n">
        <x:v>55</x:v>
      </x:c>
    </x:row>
    <x:row r="971" ht="42" customHeight="1">
      <x:c r="A971" s="12" t="str">
        <x:v>морфеус 8 игольчатый лифтинг</x:v>
      </x:c>
      <x:c r="B971" s="12" t="str">
        <x:v>https://kozhaclinic.ru/apparatnaya-kosmetologiya/igolchatyy-rf-lifting-na-morpheus-8/</x:v>
      </x:c>
      <x:c r="C971" s="30" t="n">
        <x:v>0</x:v>
      </x:c>
      <x:c r="D971" s="30" t="n">
        <x:v>2</x:v>
      </x:c>
      <x:c r="E971" s="32" t="n">
        <x:f>IF(AND(ISNUMBER(C971),ISNUMBER(D971),D971&gt;0),C971/D971,"")</x:f>
        <x:v>0</x:v>
      </x:c>
      <x:c r="F971" s="34" t="n">
        <x:v>5.5</x:v>
      </x:c>
      <x:c r="G971" s="30" t="n">
        <x:v>668</x:v>
      </x:c>
    </x:row>
    <x:row r="972" ht="42" customHeight="1">
      <x:c r="A972" s="14" t="str">
        <x:v>омоложение лица сургут</x:v>
      </x:c>
      <x:c r="B972" s="14" t="str">
        <x:v>https://kozhaclinic.ru/</x:v>
      </x:c>
      <x:c r="C972" s="31" t="n">
        <x:v>0</x:v>
      </x:c>
      <x:c r="D972" s="31" t="n">
        <x:v>0</x:v>
      </x:c>
      <x:c r="E972" s="33" t="str">
        <x:f>IF(AND(ISNUMBER(C972),ISNUMBER(D972),D972&gt;0),C972/D972,"")</x:f>
      </x:c>
      <x:c r="F972" s="35"/>
      <x:c r="G972" s="31" t="n">
        <x:v>0</x:v>
      </x:c>
    </x:row>
    <x:row r="973" ht="42" customHeight="1">
      <x:c r="A973" s="12" t="str">
        <x:v>пересадка волос сургут</x:v>
      </x:c>
      <x:c r="B973" s="12" t="str">
        <x:v>https://kozhaclinic.ru/</x:v>
      </x:c>
      <x:c r="C973" s="30" t="n">
        <x:v>0</x:v>
      </x:c>
      <x:c r="D973" s="30" t="n">
        <x:v>0</x:v>
      </x:c>
      <x:c r="E973" s="32" t="str">
        <x:f>IF(AND(ISNUMBER(C973),ISNUMBER(D973),D973&gt;0),C973/D973,"")</x:f>
      </x:c>
      <x:c r="F973" s="34"/>
      <x:c r="G973" s="30" t="n">
        <x:v>36</x:v>
      </x:c>
    </x:row>
    <x:row r="974" ht="42" customHeight="1">
      <x:c r="A974" s="14" t="str">
        <x:v>пилинг для лица в сургуте</x:v>
      </x:c>
      <x:c r="B974" s="14" t="str">
        <x:v>https://kozhaclinic.ru/uhodovye-procedury/pilingi/</x:v>
      </x:c>
      <x:c r="C974" s="31" t="n">
        <x:v>0</x:v>
      </x:c>
      <x:c r="D974" s="31" t="n">
        <x:v>0</x:v>
      </x:c>
      <x:c r="E974" s="33" t="str">
        <x:f>IF(AND(ISNUMBER(C974),ISNUMBER(D974),D974&gt;0),C974/D974,"")</x:f>
      </x:c>
      <x:c r="F974" s="35"/>
      <x:c r="G974" s="31" t="n">
        <x:v>0</x:v>
      </x:c>
    </x:row>
    <x:row r="975" ht="42" customHeight="1">
      <x:c r="A975" s="12" t="str">
        <x:v>прижигание бородавок сургут</x:v>
      </x:c>
      <x:c r="B975" s="12" t="str">
        <x:v>https://kozhaclinic.ru/udalenie-novoobrazovanij/udalenie-borodavok/</x:v>
      </x:c>
      <x:c r="C975" s="30" t="n">
        <x:v>0</x:v>
      </x:c>
      <x:c r="D975" s="30" t="n">
        <x:v>0</x:v>
      </x:c>
      <x:c r="E975" s="32" t="str">
        <x:f>IF(AND(ISNUMBER(C975),ISNUMBER(D975),D975&gt;0),C975/D975,"")</x:f>
      </x:c>
      <x:c r="F975" s="34"/>
      <x:c r="G975" s="30" t="n">
        <x:v>0</x:v>
      </x:c>
    </x:row>
    <x:row r="976" ht="42" customHeight="1">
      <x:c r="A976" s="14" t="str">
        <x:v>сделать химический пилинг</x:v>
      </x:c>
      <x:c r="B976" s="14" t="str">
        <x:v>https://kozhaclinic.ru/uhodovye-procedury/pilingi/</x:v>
      </x:c>
      <x:c r="C976" s="31" t="n">
        <x:v>0</x:v>
      </x:c>
      <x:c r="D976" s="31" t="n">
        <x:v>0</x:v>
      </x:c>
      <x:c r="E976" s="33" t="str">
        <x:f>IF(AND(ISNUMBER(C976),ISNUMBER(D976),D976&gt;0),C976/D976,"")</x:f>
      </x:c>
      <x:c r="F976" s="35"/>
      <x:c r="G976" s="31" t="n">
        <x:v>0</x:v>
      </x:c>
    </x:row>
    <x:row r="977" ht="42" customHeight="1">
      <x:c r="A977" s="12" t="str">
        <x:v>сколько стоит накачать губы сургут</x:v>
      </x:c>
      <x:c r="B977" s="12" t="str">
        <x:v>https://kozhaclinic.ru/inekcionnaya-kosmetologiya/konturnaya-plastika/uvelichenie-gub/</x:v>
      </x:c>
      <x:c r="C977" s="30" t="n">
        <x:v>0</x:v>
      </x:c>
      <x:c r="D977" s="30" t="n">
        <x:v>0</x:v>
      </x:c>
      <x:c r="E977" s="32" t="str">
        <x:f>IF(AND(ISNUMBER(C977),ISNUMBER(D977),D977&gt;0),C977/D977,"")</x:f>
      </x:c>
      <x:c r="F977" s="34"/>
      <x:c r="G977" s="30" t="n">
        <x:v>0</x:v>
      </x:c>
    </x:row>
    <x:row r="978" ht="42" customHeight="1">
      <x:c r="A978" s="14" t="str">
        <x:v>сургут клиника красоты</x:v>
      </x:c>
      <x:c r="B978" s="14" t="str">
        <x:v>https://kozhaclinic.ru/</x:v>
      </x:c>
      <x:c r="C978" s="31" t="n">
        <x:v>0</x:v>
      </x:c>
      <x:c r="D978" s="31" t="n">
        <x:v>0</x:v>
      </x:c>
      <x:c r="E978" s="33" t="str">
        <x:f>IF(AND(ISNUMBER(C978),ISNUMBER(D978),D978&gt;0),C978/D978,"")</x:f>
      </x:c>
      <x:c r="F978" s="35"/>
      <x:c r="G978" s="31" t="n">
        <x:v>0</x:v>
      </x:c>
    </x:row>
    <x:row r="979" ht="42" customHeight="1">
      <x:c r="A979" s="12" t="str">
        <x:v>сургут ленина 18 клиника</x:v>
      </x:c>
      <x:c r="B979" s="12" t="str">
        <x:v>https://kozhaclinic.ru/</x:v>
      </x:c>
      <x:c r="C979" s="30" t="n">
        <x:v>0</x:v>
      </x:c>
      <x:c r="D979" s="30" t="n">
        <x:v>2</x:v>
      </x:c>
      <x:c r="E979" s="32" t="n">
        <x:f>IF(AND(ISNUMBER(C979),ISNUMBER(D979),D979&gt;0),C979/D979,"")</x:f>
        <x:v>0</x:v>
      </x:c>
      <x:c r="F979" s="34" t="n">
        <x:v>5</x:v>
      </x:c>
      <x:c r="G979" s="30" t="n">
        <x:v>2</x:v>
      </x:c>
    </x:row>
    <x:row r="980" ht="42" customHeight="1">
      <x:c r="A980" s="14" t="str">
        <x:v>сургут удаление пигментных пятен</x:v>
      </x:c>
      <x:c r="B980" s="14" t="str">
        <x:v>https://kozhaclinic.ru/izbavlenie-ot-pigmentatsii/</x:v>
      </x:c>
      <x:c r="C980" s="31" t="n">
        <x:v>0</x:v>
      </x:c>
      <x:c r="D980" s="31" t="n">
        <x:v>0</x:v>
      </x:c>
      <x:c r="E980" s="33" t="str">
        <x:f>IF(AND(ISNUMBER(C980),ISNUMBER(D980),D980&gt;0),C980/D980,"")</x:f>
      </x:c>
      <x:c r="F980" s="35"/>
      <x:c r="G980" s="31" t="n">
        <x:v>0</x:v>
      </x:c>
    </x:row>
    <x:row r="981" ht="42" customHeight="1">
      <x:c r="A981" s="12" t="str">
        <x:v>сургут удалить бородавку</x:v>
      </x:c>
      <x:c r="B981" s="12" t="str">
        <x:v>https://kozhaclinic.ru/udalenie-novoobrazovanij/udalenie-borodavok/</x:v>
      </x:c>
      <x:c r="C981" s="30" t="n">
        <x:v>0</x:v>
      </x:c>
      <x:c r="D981" s="30" t="n">
        <x:v>1</x:v>
      </x:c>
      <x:c r="E981" s="32" t="n">
        <x:f>IF(AND(ISNUMBER(C981),ISNUMBER(D981),D981&gt;0),C981/D981,"")</x:f>
        <x:v>0</x:v>
      </x:c>
      <x:c r="F981" s="34" t="n">
        <x:v>4</x:v>
      </x:c>
      <x:c r="G981" s="30" t="n">
        <x:v>1</x:v>
      </x:c>
    </x:row>
    <x:row r="982" ht="42" customHeight="1">
      <x:c r="A982" s="14" t="str">
        <x:v>убрать бородавку в сургуте</x:v>
      </x:c>
      <x:c r="B982" s="14" t="str">
        <x:v>https://kozhaclinic.ru/udalenie-novoobrazovanij/udalenie-borodavok/</x:v>
      </x:c>
      <x:c r="C982" s="31" t="n">
        <x:v>0</x:v>
      </x:c>
      <x:c r="D982" s="31" t="n">
        <x:v>0</x:v>
      </x:c>
      <x:c r="E982" s="33" t="str">
        <x:f>IF(AND(ISNUMBER(C982),ISNUMBER(D982),D982&gt;0),C982/D982,"")</x:f>
      </x:c>
      <x:c r="F982" s="35"/>
      <x:c r="G982" s="31" t="n">
        <x:v>0</x:v>
      </x:c>
    </x:row>
    <x:row r="983" ht="42" customHeight="1">
      <x:c r="A983" s="12" t="str">
        <x:v>удаление рубцов сургут</x:v>
      </x:c>
      <x:c r="B983" s="12" t="str">
        <x:v>https://kozhaclinic.ru/ubrat-shram/</x:v>
      </x:c>
      <x:c r="C983" s="30" t="n">
        <x:v>0</x:v>
      </x:c>
      <x:c r="D983" s="30" t="n">
        <x:v>0</x:v>
      </x:c>
      <x:c r="E983" s="32" t="str">
        <x:f>IF(AND(ISNUMBER(C983),ISNUMBER(D983),D983&gt;0),C983/D983,"")</x:f>
      </x:c>
      <x:c r="F983" s="34"/>
      <x:c r="G983" s="30" t="n">
        <x:v>0</x:v>
      </x:c>
    </x:row>
    <x:row r="984" ht="42" customHeight="1">
      <x:c r="A984" s="14" t="str">
        <x:v>удаление шипиц сургут</x:v>
      </x:c>
      <x:c r="B984" s="14" t="str">
        <x:v>https://kozhaclinic.ru/udalenie-novoobrazovanij/udalenie-borodavok/</x:v>
      </x:c>
      <x:c r="C984" s="31" t="n">
        <x:v>0</x:v>
      </x:c>
      <x:c r="D984" s="31" t="n">
        <x:v>0</x:v>
      </x:c>
      <x:c r="E984" s="33" t="str">
        <x:f>IF(AND(ISNUMBER(C984),ISNUMBER(D984),D984&gt;0),C984/D984,"")</x:f>
      </x:c>
      <x:c r="F984" s="35"/>
      <x:c r="G984" s="31" t="n">
        <x:v>0</x:v>
      </x:c>
    </x:row>
    <x:row r="985" ht="42" customHeight="1">
      <x:c r="A985" s="12" t="str">
        <x:v>эстетик клиник сургут</x:v>
      </x:c>
      <x:c r="B985" s="12" t="str">
        <x:v>https://kozhaclinic.ru/</x:v>
      </x:c>
      <x:c r="C985" s="30" t="n">
        <x:v>0</x:v>
      </x:c>
      <x:c r="D985" s="30" t="n">
        <x:v>0</x:v>
      </x:c>
      <x:c r="E985" s="32" t="str">
        <x:f>IF(AND(ISNUMBER(C985),ISNUMBER(D985),D985&gt;0),C985/D985,"")</x:f>
      </x:c>
      <x:c r="F985" s="34"/>
      <x:c r="G985" s="30" t="n">
        <x:v>9</x:v>
      </x:c>
    </x:row>
    <x:row r="986" ht="42" customHeight="1">
      <x:c r="A986" s="14" t="str">
        <x:v>ялупро в сургуте</x:v>
      </x:c>
      <x:c r="B986" s="14" t="str">
        <x:v>https://kozhaclinic.ru/</x:v>
      </x:c>
      <x:c r="C986" s="31" t="n">
        <x:v>0</x:v>
      </x:c>
      <x:c r="D986" s="31" t="n">
        <x:v>0</x:v>
      </x:c>
      <x:c r="E986" s="33" t="str">
        <x:f>IF(AND(ISNUMBER(C986),ISNUMBER(D986),D986&gt;0),C986/D986,"")</x:f>
      </x:c>
      <x:c r="F986" s="35"/>
      <x:c r="G986" s="31" t="n">
        <x:v>0</x:v>
      </x:c>
    </x:row>
    <x:row r="987" ht="42" customHeight="1">
      <x:c r="A987" s="12" t="str">
        <x:v>skin medical сургут</x:v>
      </x:c>
      <x:c r="B987" s="12" t="str">
        <x:v>https://kozhaclinic.ru/</x:v>
      </x:c>
      <x:c r="C987" s="30" t="n">
        <x:v>0</x:v>
      </x:c>
      <x:c r="D987" s="30" t="n">
        <x:v>3</x:v>
      </x:c>
      <x:c r="E987" s="32" t="n">
        <x:f>IF(AND(ISNUMBER(C987),ISNUMBER(D987),D987&gt;0),C987/D987,"")</x:f>
        <x:v>0</x:v>
      </x:c>
      <x:c r="F987" s="34" t="n">
        <x:v>10</x:v>
      </x:c>
      <x:c r="G987" s="30" t="n">
        <x:v>3</x:v>
      </x:c>
    </x:row>
    <x:row r="988" ht="42" customHeight="1">
      <x:c r="A988" s="14" t="str">
        <x:v>аппаратная подтяжка лица сургут</x:v>
      </x:c>
      <x:c r="B988" s="14" t="str">
        <x:v>https://kozhaclinic.ru/apparatnaya-kosmetologiya/</x:v>
      </x:c>
      <x:c r="C988" s="31" t="n">
        <x:v>0</x:v>
      </x:c>
      <x:c r="D988" s="31" t="n">
        <x:v>0</x:v>
      </x:c>
      <x:c r="E988" s="33" t="str">
        <x:f>IF(AND(ISNUMBER(C988),ISNUMBER(D988),D988&gt;0),C988/D988,"")</x:f>
      </x:c>
      <x:c r="F988" s="35"/>
      <x:c r="G988" s="31" t="n">
        <x:v>0</x:v>
      </x:c>
    </x:row>
    <x:row r="989" ht="42" customHeight="1">
      <x:c r="A989" s="12" t="str">
        <x:v>игольчатый рф лифтинг в сургуте</x:v>
      </x:c>
      <x:c r="B989" s="12" t="str">
        <x:v>https://kozhaclinic.ru/apparatnaya-kosmetologiya/igolchatyy-rf-lifting-na-morpheus-8/</x:v>
      </x:c>
      <x:c r="C989" s="30" t="n">
        <x:v>0</x:v>
      </x:c>
      <x:c r="D989" s="30" t="n">
        <x:v>1</x:v>
      </x:c>
      <x:c r="E989" s="32" t="n">
        <x:f>IF(AND(ISNUMBER(C989),ISNUMBER(D989),D989&gt;0),C989/D989,"")</x:f>
        <x:v>0</x:v>
      </x:c>
      <x:c r="F989" s="34" t="n">
        <x:v>4</x:v>
      </x:c>
      <x:c r="G989" s="30" t="n">
        <x:v>1</x:v>
      </x:c>
    </x:row>
    <x:row r="990" ht="42" customHeight="1">
      <x:c r="A990" s="14" t="str">
        <x:v>консультация косметолога</x:v>
      </x:c>
      <x:c r="B990" s="14" t="str">
        <x:v>https://kozhaclinic.ru/</x:v>
      </x:c>
      <x:c r="C990" s="31" t="n">
        <x:v>0</x:v>
      </x:c>
      <x:c r="D990" s="31" t="n">
        <x:v>2</x:v>
      </x:c>
      <x:c r="E990" s="33" t="n">
        <x:f>IF(AND(ISNUMBER(C990),ISNUMBER(D990),D990&gt;0),C990/D990,"")</x:f>
        <x:v>0</x:v>
      </x:c>
      <x:c r="F990" s="35" t="n">
        <x:v>7.5</x:v>
      </x:c>
      <x:c r="G990" s="31" t="n">
        <x:v>1564</x:v>
      </x:c>
    </x:row>
    <x:row r="991" ht="42" customHeight="1">
      <x:c r="A991" s="12" t="str">
        <x:v>косметолог сургут записаться</x:v>
      </x:c>
      <x:c r="B991" s="12" t="str">
        <x:v>https://kozhaclinic.ru/</x:v>
      </x:c>
      <x:c r="C991" s="30" t="n">
        <x:v>0</x:v>
      </x:c>
      <x:c r="D991" s="30" t="n">
        <x:v>0</x:v>
      </x:c>
      <x:c r="E991" s="32" t="str">
        <x:f>IF(AND(ISNUMBER(C991),ISNUMBER(D991),D991&gt;0),C991/D991,"")</x:f>
      </x:c>
      <x:c r="F991" s="34"/>
      <x:c r="G991" s="30" t="n">
        <x:v>0</x:v>
      </x:c>
    </x:row>
    <x:row r="992" ht="42" customHeight="1">
      <x:c r="A992" s="14" t="str">
        <x:v>косметологический салон сургут</x:v>
      </x:c>
      <x:c r="B992" s="14" t="str">
        <x:v>https://kozhaclinic.ru/</x:v>
      </x:c>
      <x:c r="C992" s="31" t="n">
        <x:v>0</x:v>
      </x:c>
      <x:c r="D992" s="31" t="n">
        <x:v>0</x:v>
      </x:c>
      <x:c r="E992" s="33" t="str">
        <x:f>IF(AND(ISNUMBER(C992),ISNUMBER(D992),D992&gt;0),C992/D992,"")</x:f>
      </x:c>
      <x:c r="F992" s="35"/>
      <x:c r="G992" s="31" t="n">
        <x:v>0</x:v>
      </x:c>
    </x:row>
    <x:row r="993" ht="42" customHeight="1">
      <x:c r="A993" s="12" t="str">
        <x:v>пикосекундный лазер сургут</x:v>
      </x:c>
      <x:c r="B993" s="12" t="str">
        <x:v>https://kozhaclinic.ru/</x:v>
      </x:c>
      <x:c r="C993" s="30" t="n">
        <x:v>0</x:v>
      </x:c>
      <x:c r="D993" s="30" t="n">
        <x:v>4</x:v>
      </x:c>
      <x:c r="E993" s="32" t="n">
        <x:f>IF(AND(ISNUMBER(C993),ISNUMBER(D993),D993&gt;0),C993/D993,"")</x:f>
        <x:v>0</x:v>
      </x:c>
      <x:c r="F993" s="34" t="n">
        <x:v>5.2</x:v>
      </x:c>
      <x:c r="G993" s="30" t="n">
        <x:v>4</x:v>
      </x:c>
    </x:row>
    <x:row r="994" ht="42" customHeight="1">
      <x:c r="A994" s="14" t="str">
        <x:v>плазмолифтинг кожи головы сургут</x:v>
      </x:c>
      <x:c r="B994" s="14" t="str">
        <x:v>https://kozhaclinic.ru/inekcionnaya-kosmetologiya/omolozhenie-i-pitanie-kozhi/plazmolifting-dlya-volos/</x:v>
      </x:c>
      <x:c r="C994" s="31" t="n">
        <x:v>0</x:v>
      </x:c>
      <x:c r="D994" s="31" t="n">
        <x:v>0</x:v>
      </x:c>
      <x:c r="E994" s="33" t="str">
        <x:f>IF(AND(ISNUMBER(C994),ISNUMBER(D994),D994&gt;0),C994/D994,"")</x:f>
      </x:c>
      <x:c r="F994" s="35"/>
      <x:c r="G994" s="31" t="n">
        <x:v>0</x:v>
      </x:c>
    </x:row>
    <x:row r="995" ht="42" customHeight="1">
      <x:c r="A995" s="12" t="str">
        <x:v>подтяжка нижней трети лица сургут</x:v>
      </x:c>
      <x:c r="B995" s="12" t="str">
        <x:v>https://kozhaclinic.ru/uluchshenie-ovala-litsa/</x:v>
      </x:c>
      <x:c r="C995" s="30" t="n">
        <x:v>0</x:v>
      </x:c>
      <x:c r="D995" s="30" t="n">
        <x:v>0</x:v>
      </x:c>
      <x:c r="E995" s="32" t="str">
        <x:f>IF(AND(ISNUMBER(C995),ISNUMBER(D995),D995&gt;0),C995/D995,"")</x:f>
      </x:c>
      <x:c r="F995" s="34"/>
      <x:c r="G995" s="30" t="n">
        <x:v>0</x:v>
      </x:c>
    </x:row>
    <x:row r="996" ht="42" customHeight="1">
      <x:c r="A996" s="14" t="str">
        <x:v>радиесс в сургуте</x:v>
      </x:c>
      <x:c r="B996" s="14" t="str">
        <x:v>https://kozhaclinic.ru/inekcionnaya-kosmetologiya/omolozhenie-i-pitanie-kozhi/protsedura-fillerom-radiesse-radiess/</x:v>
      </x:c>
      <x:c r="C996" s="31" t="n">
        <x:v>0</x:v>
      </x:c>
      <x:c r="D996" s="31" t="n">
        <x:v>2</x:v>
      </x:c>
      <x:c r="E996" s="33" t="n">
        <x:f>IF(AND(ISNUMBER(C996),ISNUMBER(D996),D996&gt;0),C996/D996,"")</x:f>
        <x:v>0</x:v>
      </x:c>
      <x:c r="F996" s="35" t="n">
        <x:v>4</x:v>
      </x:c>
      <x:c r="G996" s="31" t="n">
        <x:v>2</x:v>
      </x:c>
    </x:row>
    <x:row r="997" ht="42" customHeight="1">
      <x:c r="A997" s="12" t="str">
        <x:v>салон красоты</x:v>
      </x:c>
      <x:c r="B997" s="12" t="str">
        <x:v>https://kozhaclinic.ru/</x:v>
      </x:c>
      <x:c r="C997" s="30" t="n">
        <x:v>1</x:v>
      </x:c>
      <x:c r="D997" s="30" t="n">
        <x:v>1</x:v>
      </x:c>
      <x:c r="E997" s="32" t="n">
        <x:f>IF(AND(ISNUMBER(C997),ISNUMBER(D997),D997&gt;0),C997/D997,"")</x:f>
        <x:v>1</x:v>
      </x:c>
      <x:c r="F997" s="34" t="n">
        <x:v>1</x:v>
      </x:c>
      <x:c r="G997" s="30" t="n">
        <x:v>15772</x:v>
      </x:c>
    </x:row>
    <x:row r="998" ht="42" customHeight="1">
      <x:c r="A998" s="14" t="str">
        <x:v>салон красоты ленина сургут</x:v>
      </x:c>
      <x:c r="B998" s="14" t="str">
        <x:v>https://kozhaclinic.ru/</x:v>
      </x:c>
      <x:c r="C998" s="31" t="n">
        <x:v>0</x:v>
      </x:c>
      <x:c r="D998" s="31" t="n">
        <x:v>1</x:v>
      </x:c>
      <x:c r="E998" s="33" t="n">
        <x:f>IF(AND(ISNUMBER(C998),ISNUMBER(D998),D998&gt;0),C998/D998,"")</x:f>
        <x:v>0</x:v>
      </x:c>
      <x:c r="F998" s="35" t="n">
        <x:v>8</x:v>
      </x:c>
      <x:c r="G998" s="31" t="n">
        <x:v>1</x:v>
      </x:c>
    </x:row>
    <x:row r="999" ht="42" customHeight="1">
      <x:c r="A999" s="12" t="str">
        <x:v>салоны красоты г сургут процедуры</x:v>
      </x:c>
      <x:c r="B999" s="12" t="str">
        <x:v>https://kozhaclinic.ru/</x:v>
      </x:c>
      <x:c r="C999" s="30" t="n">
        <x:v>0</x:v>
      </x:c>
      <x:c r="D999" s="30" t="n">
        <x:v>0</x:v>
      </x:c>
      <x:c r="E999" s="32" t="str">
        <x:f>IF(AND(ISNUMBER(C999),ISNUMBER(D999),D999&gt;0),C999/D999,"")</x:f>
      </x:c>
      <x:c r="F999" s="34"/>
      <x:c r="G999" s="30" t="n">
        <x:v>0</x:v>
      </x:c>
    </x:row>
    <x:row r="1000" ht="42" customHeight="1">
      <x:c r="A1000" s="14" t="str">
        <x:v>сургут лазерная косметология</x:v>
      </x:c>
      <x:c r="B1000" s="14" t="str">
        <x:v>https://kozhaclinic.ru/lazernaya-kosmetologiya/</x:v>
      </x:c>
      <x:c r="C1000" s="31" t="n">
        <x:v>0</x:v>
      </x:c>
      <x:c r="D1000" s="31" t="n">
        <x:v>0</x:v>
      </x:c>
      <x:c r="E1000" s="33" t="str">
        <x:f>IF(AND(ISNUMBER(C1000),ISNUMBER(D1000),D1000&gt;0),C1000/D1000,"")</x:f>
      </x:c>
      <x:c r="F1000" s="35"/>
      <x:c r="G1000" s="31" t="n">
        <x:v>0</x:v>
      </x:c>
    </x:row>
    <x:row r="1001" ht="42" customHeight="1">
      <x:c r="A1001" s="12" t="str">
        <x:v>удаление родинок лазером в сургуте</x:v>
      </x:c>
      <x:c r="B1001" s="12" t="str">
        <x:v>https://kozhaclinic.ru/apparatnaya-kosmetologiya/udalenie-novoobrazovaniy/</x:v>
      </x:c>
      <x:c r="C1001" s="30" t="n">
        <x:v>0</x:v>
      </x:c>
      <x:c r="D1001" s="30" t="n">
        <x:v>1</x:v>
      </x:c>
      <x:c r="E1001" s="32" t="n">
        <x:f>IF(AND(ISNUMBER(C1001),ISNUMBER(D1001),D1001&gt;0),C1001/D1001,"")</x:f>
        <x:v>0</x:v>
      </x:c>
      <x:c r="F1001" s="34" t="n">
        <x:v>9</x:v>
      </x:c>
      <x:c r="G1001" s="30" t="n">
        <x:v>1</x:v>
      </x:c>
    </x:row>
    <x:row r="1002" ht="42" customHeight="1">
      <x:c r="A1002" s="14" t="str">
        <x:v>удаление сосудов на ногах сургут</x:v>
      </x:c>
      <x:c r="B1002" s="14" t="str">
        <x:v>https://kozhaclinic.ru/apparatnaya-kosmetologiya/ustranenie-sosudistykh-zvyezdochek-kuperoz/</x:v>
      </x:c>
      <x:c r="C1002" s="31" t="n">
        <x:v>0</x:v>
      </x:c>
      <x:c r="D1002" s="31" t="n">
        <x:v>5</x:v>
      </x:c>
      <x:c r="E1002" s="33" t="n">
        <x:f>IF(AND(ISNUMBER(C1002),ISNUMBER(D1002),D1002&gt;0),C1002/D1002,"")</x:f>
        <x:v>0</x:v>
      </x:c>
      <x:c r="F1002" s="35" t="n">
        <x:v>10.2</x:v>
      </x:c>
      <x:c r="G1002" s="31" t="n">
        <x:v>5</x:v>
      </x:c>
    </x:row>
    <x:row r="1003" ht="42" customHeight="1">
      <x:c r="A1003" s="12" t="str">
        <x:v>удаление шрамов в сургуте</x:v>
      </x:c>
      <x:c r="B1003" s="12" t="str">
        <x:v>https://kozhaclinic.ru/ubrat-shram/</x:v>
      </x:c>
      <x:c r="C1003" s="30" t="n">
        <x:v>0</x:v>
      </x:c>
      <x:c r="D1003" s="30" t="n">
        <x:v>0</x:v>
      </x:c>
      <x:c r="E1003" s="32" t="str">
        <x:f>IF(AND(ISNUMBER(C1003),ISNUMBER(D1003),D1003&gt;0),C1003/D1003,"")</x:f>
      </x:c>
      <x:c r="F1003" s="34"/>
      <x:c r="G1003" s="30" t="n">
        <x:v>0</x:v>
      </x:c>
    </x:row>
    <x:row r="1004" ht="42" customHeight="1">
      <x:c r="A1004" s="14" t="str">
        <x:v>удалить бородавку</x:v>
      </x:c>
      <x:c r="B1004" s="14" t="str">
        <x:v>https://kozhaclinic.ru/udalenie-novoobrazovanij/udalenie-borodavok/</x:v>
      </x:c>
      <x:c r="C1004" s="31" t="n">
        <x:v>0</x:v>
      </x:c>
      <x:c r="D1004" s="31" t="n">
        <x:v>1</x:v>
      </x:c>
      <x:c r="E1004" s="33" t="n">
        <x:f>IF(AND(ISNUMBER(C1004),ISNUMBER(D1004),D1004&gt;0),C1004/D1004,"")</x:f>
        <x:v>0</x:v>
      </x:c>
      <x:c r="F1004" s="35" t="n">
        <x:v>5</x:v>
      </x:c>
      <x:c r="G1004" s="31" t="n">
        <x:v>468</x:v>
      </x:c>
    </x:row>
    <x:row r="1005" ht="42" customHeight="1">
      <x:c r="A1005" s="12" t="str">
        <x:v>записаться к дерматологу косметологу сургут</x:v>
      </x:c>
      <x:c r="B1005" s="12" t="str">
        <x:v>https://kozhaclinic.ru/</x:v>
      </x:c>
      <x:c r="C1005" s="30" t="n">
        <x:v>0</x:v>
      </x:c>
      <x:c r="D1005" s="30" t="n">
        <x:v>0</x:v>
      </x:c>
      <x:c r="E1005" s="32" t="str">
        <x:f>IF(AND(ISNUMBER(C1005),ISNUMBER(D1005),D1005&gt;0),C1005/D1005,"")</x:f>
      </x:c>
      <x:c r="F1005" s="34"/>
      <x:c r="G1005" s="30" t="n">
        <x:v>0</x:v>
      </x:c>
    </x:row>
    <x:row r="1006" ht="42" customHeight="1">
      <x:c r="A1006" s="14" t="str">
        <x:v>косметическая клиника сургут</x:v>
      </x:c>
      <x:c r="B1006" s="14" t="str">
        <x:v>https://kozhaclinic.ru/</x:v>
      </x:c>
      <x:c r="C1006" s="31" t="n">
        <x:v>0</x:v>
      </x:c>
      <x:c r="D1006" s="31" t="n">
        <x:v>0</x:v>
      </x:c>
      <x:c r="E1006" s="33" t="str">
        <x:f>IF(AND(ISNUMBER(C1006),ISNUMBER(D1006),D1006&gt;0),C1006/D1006,"")</x:f>
      </x:c>
      <x:c r="F1006" s="35"/>
      <x:c r="G1006" s="31" t="n">
        <x:v>0</x:v>
      </x:c>
    </x:row>
    <x:row r="1007" ht="42" customHeight="1">
      <x:c r="A1007" s="12" t="str">
        <x:v>косметологические услуги сургут</x:v>
      </x:c>
      <x:c r="B1007" s="12" t="str">
        <x:v>https://kozhaclinic.ru/</x:v>
      </x:c>
      <x:c r="C1007" s="30" t="n">
        <x:v>0</x:v>
      </x:c>
      <x:c r="D1007" s="30" t="n">
        <x:v>0</x:v>
      </x:c>
      <x:c r="E1007" s="32" t="str">
        <x:f>IF(AND(ISNUMBER(C1007),ISNUMBER(D1007),D1007&gt;0),C1007/D1007,"")</x:f>
      </x:c>
      <x:c r="F1007" s="34"/>
      <x:c r="G1007" s="30" t="n">
        <x:v>0</x:v>
      </x:c>
    </x:row>
    <x:row r="1008" ht="42" customHeight="1">
      <x:c r="A1008" s="14" t="str">
        <x:v>косметологический центр в сургуте</x:v>
      </x:c>
      <x:c r="B1008" s="14" t="str">
        <x:v>https://kozhaclinic.ru/</x:v>
      </x:c>
      <x:c r="C1008" s="31" t="n">
        <x:v>0</x:v>
      </x:c>
      <x:c r="D1008" s="31" t="n">
        <x:v>0</x:v>
      </x:c>
      <x:c r="E1008" s="33" t="str">
        <x:f>IF(AND(ISNUMBER(C1008),ISNUMBER(D1008),D1008&gt;0),C1008/D1008,"")</x:f>
      </x:c>
      <x:c r="F1008" s="35"/>
      <x:c r="G1008" s="31" t="n">
        <x:v>0</x:v>
      </x:c>
    </x:row>
    <x:row r="1009" ht="42" customHeight="1">
      <x:c r="A1009" s="12" t="str">
        <x:v>ленина</x:v>
      </x:c>
      <x:c r="B1009" s="12" t="str">
        <x:v>https://kozhaclinic.ru/</x:v>
      </x:c>
      <x:c r="C1009" s="30" t="n">
        <x:v>0</x:v>
      </x:c>
      <x:c r="D1009" s="30" t="n">
        <x:v>4</x:v>
      </x:c>
      <x:c r="E1009" s="32" t="n">
        <x:f>IF(AND(ISNUMBER(C1009),ISNUMBER(D1009),D1009&gt;0),C1009/D1009,"")</x:f>
        <x:v>0</x:v>
      </x:c>
      <x:c r="F1009" s="34" t="n">
        <x:v>11.5</x:v>
      </x:c>
      <x:c r="G1009" s="30" t="n">
        <x:v>3220</x:v>
      </x:c>
    </x:row>
    <x:row r="1010" ht="42" customHeight="1">
      <x:c r="A1010" s="14" t="str">
        <x:v>сургут убрать папилломы</x:v>
      </x:c>
      <x:c r="B1010" s="14" t="str">
        <x:v>https://kozhaclinic.ru/udalenie-novoobrazovanij/udalenie-papilom/</x:v>
      </x:c>
      <x:c r="C1010" s="31" t="n">
        <x:v>0</x:v>
      </x:c>
      <x:c r="D1010" s="31" t="n">
        <x:v>0</x:v>
      </x:c>
      <x:c r="E1010" s="33" t="str">
        <x:f>IF(AND(ISNUMBER(C1010),ISNUMBER(D1010),D1010&gt;0),C1010/D1010,"")</x:f>
      </x:c>
      <x:c r="F1010" s="35"/>
      <x:c r="G1010" s="31" t="n">
        <x:v>0</x:v>
      </x:c>
    </x:row>
    <x:row r="1011" ht="42" customHeight="1">
      <x:c r="A1011" s="12" t="str">
        <x:v>ультразвуковая чистка сургут</x:v>
      </x:c>
      <x:c r="B1011" s="12" t="str">
        <x:v>https://kozhaclinic.ru/uhodovye-procedury/chistki-litsa-i-spiny/ultrazvukovaya-chistka-litsa/</x:v>
      </x:c>
      <x:c r="C1011" s="30" t="n">
        <x:v>0</x:v>
      </x:c>
      <x:c r="D1011" s="30" t="n">
        <x:v>0</x:v>
      </x:c>
      <x:c r="E1011" s="32" t="str">
        <x:f>IF(AND(ISNUMBER(C1011),ISNUMBER(D1011),D1011&gt;0),C1011/D1011,"")</x:f>
      </x:c>
      <x:c r="F1011" s="34"/>
      <x:c r="G1011" s="30" t="n">
        <x:v>0</x:v>
      </x:c>
    </x:row>
    <x:row r="1012" ht="42" customHeight="1">
      <x:c r="A1012" s="14" t="str">
        <x:v>центр косметологии сургут</x:v>
      </x:c>
      <x:c r="B1012" s="14" t="str">
        <x:v>https://kozhaclinic.ru/</x:v>
      </x:c>
      <x:c r="C1012" s="31" t="n">
        <x:v>0</x:v>
      </x:c>
      <x:c r="D1012" s="31" t="n">
        <x:v>0</x:v>
      </x:c>
      <x:c r="E1012" s="33" t="str">
        <x:f>IF(AND(ISNUMBER(C1012),ISNUMBER(D1012),D1012&gt;0),C1012/D1012,"")</x:f>
      </x:c>
      <x:c r="F1012" s="35"/>
      <x:c r="G1012" s="31" t="n">
        <x:v>0</x:v>
      </x:c>
    </x:row>
    <x:row r="1013" ht="42" customHeight="1">
      <x:c r="A1013" s="12" t="str">
        <x:v>анатомия красоты сургут</x:v>
      </x:c>
      <x:c r="B1013" s="12" t="str">
        <x:v>https://kozhaclinic.ru/</x:v>
      </x:c>
      <x:c r="C1013" s="30" t="n">
        <x:v>0</x:v>
      </x:c>
      <x:c r="D1013" s="30" t="n">
        <x:v>3</x:v>
      </x:c>
      <x:c r="E1013" s="32" t="n">
        <x:f>IF(AND(ISNUMBER(C1013),ISNUMBER(D1013),D1013&gt;0),C1013/D1013,"")</x:f>
        <x:v>0</x:v>
      </x:c>
      <x:c r="F1013" s="34" t="n">
        <x:v>12</x:v>
      </x:c>
      <x:c r="G1013" s="30" t="n">
        <x:v>72</x:v>
      </x:c>
    </x:row>
    <x:row r="1014" ht="42" customHeight="1">
      <x:c r="A1014" s="14" t="str">
        <x:v>безинъекционная мезотерапия сургут</x:v>
      </x:c>
      <x:c r="B1014" s="14" t="str">
        <x:v>https://kozhaclinic.ru/inekcionnaya-kosmetologiya/omolozhenie-i-pitanie-kozhi/mezoterapiya/</x:v>
      </x:c>
      <x:c r="C1014" s="31" t="n">
        <x:v>0</x:v>
      </x:c>
      <x:c r="D1014" s="31" t="n">
        <x:v>0</x:v>
      </x:c>
      <x:c r="E1014" s="33" t="str">
        <x:f>IF(AND(ISNUMBER(C1014),ISNUMBER(D1014),D1014&gt;0),C1014/D1014,"")</x:f>
      </x:c>
      <x:c r="F1014" s="35"/>
      <x:c r="G1014" s="31" t="n">
        <x:v>0</x:v>
      </x:c>
    </x:row>
    <x:row r="1015" ht="42" customHeight="1">
      <x:c r="A1015" s="12" t="str">
        <x:v>врачебная косметика просп. ленина, 69 цены</x:v>
      </x:c>
      <x:c r="B1015" s="12" t="str">
        <x:v>https://kozhaclinic.ru/</x:v>
      </x:c>
      <x:c r="C1015" s="30" t="n">
        <x:v>0</x:v>
      </x:c>
      <x:c r="D1015" s="30" t="n">
        <x:v>1</x:v>
      </x:c>
      <x:c r="E1015" s="32" t="n">
        <x:f>IF(AND(ISNUMBER(C1015),ISNUMBER(D1015),D1015&gt;0),C1015/D1015,"")</x:f>
        <x:v>0</x:v>
      </x:c>
      <x:c r="F1015" s="34" t="n">
        <x:v>11</x:v>
      </x:c>
      <x:c r="G1015" s="30" t="n">
        <x:v>13</x:v>
      </x:c>
    </x:row>
    <x:row r="1016" ht="42" customHeight="1">
      <x:c r="A1016" s="14" t="str">
        <x:v>дерматолог сургут взрослый</x:v>
      </x:c>
      <x:c r="B1016" s="14" t="str">
        <x:v>https://kozhaclinic.ru/osmotry-i-konsultatsii/konsultatsiya-vracha-dermatologa-s-naznacheniem-plana-protsedur/</x:v>
      </x:c>
      <x:c r="C1016" s="31" t="n">
        <x:v>0</x:v>
      </x:c>
      <x:c r="D1016" s="31" t="n">
        <x:v>1</x:v>
      </x:c>
      <x:c r="E1016" s="33" t="n">
        <x:f>IF(AND(ISNUMBER(C1016),ISNUMBER(D1016),D1016&gt;0),C1016/D1016,"")</x:f>
        <x:v>0</x:v>
      </x:c>
      <x:c r="F1016" s="35" t="n">
        <x:v>18</x:v>
      </x:c>
      <x:c r="G1016" s="31" t="n">
        <x:v>101</x:v>
      </x:c>
    </x:row>
    <x:row r="1017" ht="42" customHeight="1">
      <x:c r="A1017" s="12" t="str">
        <x:v>дерматолог сургут записаться</x:v>
      </x:c>
      <x:c r="B1017" s="12" t="str">
        <x:v>https://kozhaclinic.ru/</x:v>
      </x:c>
      <x:c r="C1017" s="30" t="n">
        <x:v>0</x:v>
      </x:c>
      <x:c r="D1017" s="30" t="n">
        <x:v>0</x:v>
      </x:c>
      <x:c r="E1017" s="32" t="str">
        <x:f>IF(AND(ISNUMBER(C1017),ISNUMBER(D1017),D1017&gt;0),C1017/D1017,"")</x:f>
      </x:c>
      <x:c r="F1017" s="34"/>
      <x:c r="G1017" s="30" t="n">
        <x:v>14</x:v>
      </x:c>
    </x:row>
    <x:row r="1018" ht="42" customHeight="1">
      <x:c r="A1018" s="14" t="str">
        <x:v>евераж клиник</x:v>
      </x:c>
      <x:c r="B1018" s="14" t="str">
        <x:v>https://kozhaclinic.ru/</x:v>
      </x:c>
      <x:c r="C1018" s="31" t="n">
        <x:v>0</x:v>
      </x:c>
      <x:c r="D1018" s="31" t="n">
        <x:v>0</x:v>
      </x:c>
      <x:c r="E1018" s="33" t="str">
        <x:f>IF(AND(ISNUMBER(C1018),ISNUMBER(D1018),D1018&gt;0),C1018/D1018,"")</x:f>
      </x:c>
      <x:c r="F1018" s="35"/>
      <x:c r="G1018" s="31" t="n">
        <x:v>0</x:v>
      </x:c>
    </x:row>
    <x:row r="1019" ht="42" customHeight="1">
      <x:c r="A1019" s="12" t="str">
        <x:v>запись к дерматологу сургут</x:v>
      </x:c>
      <x:c r="B1019" s="12" t="str">
        <x:v>https://kozhaclinic.ru/</x:v>
      </x:c>
      <x:c r="C1019" s="30" t="n">
        <x:v>0</x:v>
      </x:c>
      <x:c r="D1019" s="30" t="n">
        <x:v>1</x:v>
      </x:c>
      <x:c r="E1019" s="32" t="n">
        <x:f>IF(AND(ISNUMBER(C1019),ISNUMBER(D1019),D1019&gt;0),C1019/D1019,"")</x:f>
        <x:v>0</x:v>
      </x:c>
      <x:c r="F1019" s="34" t="n">
        <x:v>12</x:v>
      </x:c>
      <x:c r="G1019" s="30" t="n">
        <x:v>24</x:v>
      </x:c>
    </x:row>
    <x:row r="1020" ht="42" customHeight="1">
      <x:c r="A1020" s="14" t="str">
        <x:v>клиника здоровой кожи</x:v>
      </x:c>
      <x:c r="B1020" s="14" t="str">
        <x:v>https://kozhaclinic.ru/</x:v>
      </x:c>
      <x:c r="C1020" s="31" t="n">
        <x:v>0</x:v>
      </x:c>
      <x:c r="D1020" s="31" t="n">
        <x:v>1</x:v>
      </x:c>
      <x:c r="E1020" s="33" t="n">
        <x:f>IF(AND(ISNUMBER(C1020),ISNUMBER(D1020),D1020&gt;0),C1020/D1020,"")</x:f>
        <x:v>0</x:v>
      </x:c>
      <x:c r="F1020" s="35" t="n">
        <x:v>7</x:v>
      </x:c>
      <x:c r="G1020" s="31" t="n">
        <x:v>49</x:v>
      </x:c>
    </x:row>
    <x:row r="1021" ht="42" customHeight="1">
      <x:c r="A1021" s="12" t="str">
        <x:v>клиника эстетической косметологии сургут</x:v>
      </x:c>
      <x:c r="B1021" s="12" t="str">
        <x:v>https://kozhaclinic.ru/</x:v>
      </x:c>
      <x:c r="C1021" s="30" t="n">
        <x:v>0</x:v>
      </x:c>
      <x:c r="D1021" s="30" t="n">
        <x:v>1</x:v>
      </x:c>
      <x:c r="E1021" s="32" t="n">
        <x:f>IF(AND(ISNUMBER(C1021),ISNUMBER(D1021),D1021&gt;0),C1021/D1021,"")</x:f>
        <x:v>0</x:v>
      </x:c>
      <x:c r="F1021" s="34" t="n">
        <x:v>7</x:v>
      </x:c>
      <x:c r="G1021" s="30" t="n">
        <x:v>1</x:v>
      </x:c>
    </x:row>
    <x:row r="1022" ht="42" customHeight="1">
      <x:c r="A1022" s="14" t="str">
        <x:v>нью фейс сургут официальный сайт</x:v>
      </x:c>
      <x:c r="B1022" s="14" t="str">
        <x:v>https://kozhaclinic.ru/</x:v>
      </x:c>
      <x:c r="C1022" s="31" t="n">
        <x:v>0</x:v>
      </x:c>
      <x:c r="D1022" s="31" t="n">
        <x:v>2</x:v>
      </x:c>
      <x:c r="E1022" s="33" t="n">
        <x:f>IF(AND(ISNUMBER(C1022),ISNUMBER(D1022),D1022&gt;0),C1022/D1022,"")</x:f>
        <x:v>0</x:v>
      </x:c>
      <x:c r="F1022" s="35" t="n">
        <x:v>9</x:v>
      </x:c>
      <x:c r="G1022" s="31" t="n">
        <x:v>13</x:v>
      </x:c>
    </x:row>
    <x:row r="1023" ht="42" customHeight="1">
      <x:c r="A1023" s="12" t="str">
        <x:v>салоны красоты сургут ленина</x:v>
      </x:c>
      <x:c r="B1023" s="12" t="str">
        <x:v>https://kozhaclinic.ru/</x:v>
      </x:c>
      <x:c r="C1023" s="30" t="n">
        <x:v>0</x:v>
      </x:c>
      <x:c r="D1023" s="30" t="n">
        <x:v>0</x:v>
      </x:c>
      <x:c r="E1023" s="32" t="str">
        <x:f>IF(AND(ISNUMBER(C1023),ISNUMBER(D1023),D1023&gt;0),C1023/D1023,"")</x:f>
      </x:c>
      <x:c r="F1023" s="34"/>
      <x:c r="G1023" s="30" t="n">
        <x:v>0</x:v>
      </x:c>
    </x:row>
    <x:row r="1024" ht="42" customHeight="1">
      <x:c r="A1024" s="14" t="str">
        <x:v>убрать морщины под глазами косметология цены</x:v>
      </x:c>
      <x:c r="B1024" s="14" t="str">
        <x:v>https://kozhaclinic.ru/ustranenie-mimicheskikh-morshchin/</x:v>
      </x:c>
      <x:c r="C1024" s="31" t="n">
        <x:v>0</x:v>
      </x:c>
      <x:c r="D1024" s="31" t="n">
        <x:v>0</x:v>
      </x:c>
      <x:c r="E1024" s="33" t="str">
        <x:f>IF(AND(ISNUMBER(C1024),ISNUMBER(D1024),D1024&gt;0),C1024/D1024,"")</x:f>
      </x:c>
      <x:c r="F1024" s="35"/>
      <x:c r="G1024" s="31" t="n">
        <x:v>13</x:v>
      </x:c>
    </x:row>
    <x:row r="1025" ht="42" customHeight="1">
      <x:c r="A1025" s="12" t="str">
        <x:v>врачебная косметика просп. ленина, 69, сургут цены</x:v>
      </x:c>
      <x:c r="B1025" s="12" t="str">
        <x:v>https://kozhaclinic.ru/</x:v>
      </x:c>
      <x:c r="C1025" s="30" t="n">
        <x:v>0</x:v>
      </x:c>
      <x:c r="D1025" s="30" t="n">
        <x:v>1</x:v>
      </x:c>
      <x:c r="E1025" s="32" t="n">
        <x:f>IF(AND(ISNUMBER(C1025),ISNUMBER(D1025),D1025&gt;0),C1025/D1025,"")</x:f>
        <x:v>0</x:v>
      </x:c>
      <x:c r="F1025" s="34" t="n">
        <x:v>10</x:v>
      </x:c>
      <x:c r="G1025" s="30" t="n">
        <x:v>2</x:v>
      </x:c>
    </x:row>
    <x:row r="1026" ht="42" customHeight="1">
      <x:c r="A1026" s="14" t="str">
        <x:v>дерматолог сургут взрослый платно</x:v>
      </x:c>
      <x:c r="B1026" s="14" t="str">
        <x:v>https://kozhaclinic.ru/</x:v>
      </x:c>
      <x:c r="C1026" s="31" t="n">
        <x:v>0</x:v>
      </x:c>
      <x:c r="D1026" s="31" t="n">
        <x:v>0</x:v>
      </x:c>
      <x:c r="E1026" s="33" t="str">
        <x:f>IF(AND(ISNUMBER(C1026),ISNUMBER(D1026),D1026&gt;0),C1026/D1026,"")</x:f>
      </x:c>
      <x:c r="F1026" s="35"/>
      <x:c r="G1026" s="31" t="n">
        <x:v>26</x:v>
      </x:c>
    </x:row>
    <x:row r="1027" ht="42" customHeight="1">
      <x:c r="A1027" s="12" t="str">
        <x:v>космо клиник сургут</x:v>
      </x:c>
      <x:c r="B1027" s="12" t="str">
        <x:v>https://kozhaclinic.ru/</x:v>
      </x:c>
      <x:c r="C1027" s="30" t="n">
        <x:v>0</x:v>
      </x:c>
      <x:c r="D1027" s="30" t="n">
        <x:v>0</x:v>
      </x:c>
      <x:c r="E1027" s="32" t="str">
        <x:f>IF(AND(ISNUMBER(C1027),ISNUMBER(D1027),D1027&gt;0),C1027/D1027,"")</x:f>
      </x:c>
      <x:c r="F1027" s="34"/>
      <x:c r="G1027" s="30" t="n">
        <x:v>13</x:v>
      </x:c>
    </x:row>
    <x:row r="1028" ht="42" customHeight="1">
      <x:c r="A1028" s="14" t="str">
        <x:v>ксеомин</x:v>
      </x:c>
      <x:c r="B1028" s="14" t="str">
        <x:v>https://kozhaclinic.ru/</x:v>
      </x:c>
      <x:c r="C1028" s="31" t="n">
        <x:v>0</x:v>
      </x:c>
      <x:c r="D1028" s="31" t="n">
        <x:v>0</x:v>
      </x:c>
      <x:c r="E1028" s="33" t="str">
        <x:f>IF(AND(ISNUMBER(C1028),ISNUMBER(D1028),D1028&gt;0),C1028/D1028,"")</x:f>
      </x:c>
      <x:c r="F1028" s="35"/>
      <x:c r="G1028" s="31" t="n">
        <x:v>3576</x:v>
      </x:c>
    </x:row>
    <x:row r="1029" ht="42" customHeight="1">
      <x:c r="A1029" s="12" t="str">
        <x:v>осветление подмышек лазером сургут</x:v>
      </x:c>
      <x:c r="B1029" s="12" t="str">
        <x:v>https://kozhaclinic.ru/</x:v>
      </x:c>
      <x:c r="C1029" s="30" t="n">
        <x:v>0</x:v>
      </x:c>
      <x:c r="D1029" s="30" t="n">
        <x:v>0</x:v>
      </x:c>
      <x:c r="E1029" s="32" t="str">
        <x:f>IF(AND(ISNUMBER(C1029),ISNUMBER(D1029),D1029&gt;0),C1029/D1029,"")</x:f>
      </x:c>
      <x:c r="F1029" s="34"/>
      <x:c r="G1029" s="30" t="n">
        <x:v>0</x:v>
      </x:c>
    </x:row>
    <x:row r="1030" ht="42" customHeight="1">
      <x:c r="A1030" s="14" t="str">
        <x:v>сургут проспект ленина 18</x:v>
      </x:c>
      <x:c r="B1030" s="14" t="str">
        <x:v>https://kozhaclinic.ru/</x:v>
      </x:c>
      <x:c r="C1030" s="31" t="n">
        <x:v>0</x:v>
      </x:c>
      <x:c r="D1030" s="31" t="n">
        <x:v>1</x:v>
      </x:c>
      <x:c r="E1030" s="33" t="n">
        <x:f>IF(AND(ISNUMBER(C1030),ISNUMBER(D1030),D1030&gt;0),C1030/D1030,"")</x:f>
        <x:v>0</x:v>
      </x:c>
      <x:c r="F1030" s="35" t="n">
        <x:v>7</x:v>
      </x:c>
      <x:c r="G1030" s="31" t="n">
        <x:v>1</x:v>
      </x:c>
    </x:row>
    <x:row r="1031" ht="42" customHeight="1">
      <x:c r="A1031" s="12" t="str">
        <x:v>удаление венерических бородавок сургут</x:v>
      </x:c>
      <x:c r="B1031" s="12" t="str">
        <x:v>https://kozhaclinic.ru/</x:v>
      </x:c>
      <x:c r="C1031" s="30" t="n">
        <x:v>0</x:v>
      </x:c>
      <x:c r="D1031" s="30" t="n">
        <x:v>0</x:v>
      </x:c>
      <x:c r="E1031" s="32" t="str">
        <x:f>IF(AND(ISNUMBER(C1031),ISNUMBER(D1031),D1031&gt;0),C1031/D1031,"")</x:f>
      </x:c>
      <x:c r="F1031" s="34"/>
      <x:c r="G1031" s="30" t="n">
        <x:v>0</x:v>
      </x:c>
    </x:row>
    <x:row r="1032" ht="42" customHeight="1">
      <x:c r="A1032" s="14" t="str">
        <x:v>дерматовенеролог сургут</x:v>
      </x:c>
      <x:c r="B1032" s="14" t="str">
        <x:v>https://kozhaclinic.ru/</x:v>
      </x:c>
      <x:c r="C1032" s="31" t="n">
        <x:v>0</x:v>
      </x:c>
      <x:c r="D1032" s="31" t="n">
        <x:v>0</x:v>
      </x:c>
      <x:c r="E1032" s="33" t="str">
        <x:f>IF(AND(ISNUMBER(C1032),ISNUMBER(D1032),D1032&gt;0),C1032/D1032,"")</x:f>
      </x:c>
      <x:c r="F1032" s="35"/>
      <x:c r="G1032" s="31" t="n">
        <x:v>38</x:v>
      </x:c>
    </x:row>
    <x:row r="1033" ht="42" customHeight="1">
      <x:c r="A1033" s="12" t="str">
        <x:v>массаж в сургуте</x:v>
      </x:c>
      <x:c r="B1033" s="12" t="str">
        <x:v>https://kozhaclinic.ru/</x:v>
      </x:c>
      <x:c r="C1033" s="30" t="n">
        <x:v>0</x:v>
      </x:c>
      <x:c r="D1033" s="30" t="n">
        <x:v>1</x:v>
      </x:c>
      <x:c r="E1033" s="32" t="n">
        <x:f>IF(AND(ISNUMBER(C1033),ISNUMBER(D1033),D1033&gt;0),C1033/D1033,"")</x:f>
        <x:v>0</x:v>
      </x:c>
      <x:c r="F1033" s="34" t="n">
        <x:v>12</x:v>
      </x:c>
      <x:c r="G1033" s="30" t="n">
        <x:v>372</x:v>
      </x:c>
    </x:row>
    <x:row r="1034" ht="42" customHeight="1">
      <x:c r="A1034" s="14" t="str">
        <x:v>студия фейслифтинга сургут</x:v>
      </x:c>
      <x:c r="B1034" s="14" t="str">
        <x:v>https://kozhaclinic.ru/</x:v>
      </x:c>
      <x:c r="C1034" s="31" t="n">
        <x:v>0</x:v>
      </x:c>
      <x:c r="D1034" s="31" t="n">
        <x:v>0</x:v>
      </x:c>
      <x:c r="E1034" s="33" t="str">
        <x:f>IF(AND(ISNUMBER(C1034),ISNUMBER(D1034),D1034&gt;0),C1034/D1034,"")</x:f>
      </x:c>
      <x:c r="F1034" s="35"/>
      <x:c r="G1034" s="31" t="n">
        <x:v>6</x:v>
      </x:c>
    </x:row>
    <x:row r="1035" ht="42" customHeight="1">
      <x:c r="A1035" s="12" t="str">
        <x:v>эсти клиника сургут</x:v>
      </x:c>
      <x:c r="B1035" s="12" t="str">
        <x:v>https://kozhaclinic.ru/</x:v>
      </x:c>
      <x:c r="C1035" s="30" t="n">
        <x:v>0</x:v>
      </x:c>
      <x:c r="D1035" s="30" t="n">
        <x:v>0</x:v>
      </x:c>
      <x:c r="E1035" s="32" t="str">
        <x:f>IF(AND(ISNUMBER(C1035),ISNUMBER(D1035),D1035&gt;0),C1035/D1035,"")</x:f>
      </x:c>
      <x:c r="F1035" s="34"/>
      <x:c r="G1035" s="30" t="n">
        <x:v>55</x:v>
      </x:c>
    </x:row>
    <x:row r="1036" ht="42" customHeight="1">
      <x:c r="A1036" s="14" t="str">
        <x:v>эсти клиника сургут официальный сайт</x:v>
      </x:c>
      <x:c r="B1036" s="14" t="str">
        <x:v>https://kozhaclinic.ru/</x:v>
      </x:c>
      <x:c r="C1036" s="31" t="n">
        <x:v>0</x:v>
      </x:c>
      <x:c r="D1036" s="31" t="n">
        <x:v>0</x:v>
      </x:c>
      <x:c r="E1036" s="33" t="str">
        <x:f>IF(AND(ISNUMBER(C1036),ISNUMBER(D1036),D1036&gt;0),C1036/D1036,"")</x:f>
      </x:c>
      <x:c r="F1036" s="35"/>
      <x:c r="G1036" s="31" t="n">
        <x:v>31</x:v>
      </x:c>
    </x:row>
    <x:row r="1037" ht="42" customHeight="1">
      <x:c r="A1037" s="12" t="str">
        <x:v>депиляция сургут</x:v>
      </x:c>
      <x:c r="B1037" s="12" t="str">
        <x:v>https://kozhaclinic.ru/</x:v>
      </x:c>
      <x:c r="C1037" s="30" t="n">
        <x:v>0</x:v>
      </x:c>
      <x:c r="D1037" s="30" t="n">
        <x:v>1</x:v>
      </x:c>
      <x:c r="E1037" s="32" t="n">
        <x:f>IF(AND(ISNUMBER(C1037),ISNUMBER(D1037),D1037&gt;0),C1037/D1037,"")</x:f>
        <x:v>0</x:v>
      </x:c>
      <x:c r="F1037" s="34" t="n">
        <x:v>13</x:v>
      </x:c>
      <x:c r="G1037" s="30" t="n">
        <x:v>22</x:v>
      </x:c>
    </x:row>
    <x:row r="1038" ht="42" customHeight="1">
      <x:c r="A1038" s="14" t="str">
        <x:v>дерматолог сургут запись</x:v>
      </x:c>
      <x:c r="B1038" s="14" t="str">
        <x:v>https://kozhaclinic.ru/osmotry-i-konsultatsii/konsultatsiya-vracha-dermatologa-s-naznacheniem-plana-protsedur/</x:v>
      </x:c>
      <x:c r="C1038" s="31" t="n">
        <x:v>0</x:v>
      </x:c>
      <x:c r="D1038" s="31" t="n">
        <x:v>1</x:v>
      </x:c>
      <x:c r="E1038" s="33" t="n">
        <x:f>IF(AND(ISNUMBER(C1038),ISNUMBER(D1038),D1038&gt;0),C1038/D1038,"")</x:f>
        <x:v>0</x:v>
      </x:c>
      <x:c r="F1038" s="35" t="n">
        <x:v>13</x:v>
      </x:c>
      <x:c r="G1038" s="31" t="n">
        <x:v>6</x:v>
      </x:c>
    </x:row>
    <x:row r="1039" ht="42" customHeight="1">
      <x:c r="A1039" s="12" t="str">
        <x:v>ести клиник сургут</x:v>
      </x:c>
      <x:c r="B1039" s="12" t="str">
        <x:v>https://kozhaclinic.ru/</x:v>
      </x:c>
      <x:c r="C1039" s="30" t="n">
        <x:v>0</x:v>
      </x:c>
      <x:c r="D1039" s="30" t="n">
        <x:v>0</x:v>
      </x:c>
      <x:c r="E1039" s="32" t="str">
        <x:f>IF(AND(ISNUMBER(C1039),ISNUMBER(D1039),D1039&gt;0),C1039/D1039,"")</x:f>
      </x:c>
      <x:c r="F1039" s="34"/>
      <x:c r="G1039" s="30" t="n">
        <x:v>59</x:v>
      </x:c>
    </x:row>
    <x:row r="1040" ht="42" customHeight="1">
      <x:c r="A1040" s="14" t="str">
        <x:v>скин мед сургут</x:v>
      </x:c>
      <x:c r="B1040" s="14" t="str">
        <x:v>https://kozhaclinic.ru/</x:v>
      </x:c>
      <x:c r="C1040" s="31" t="n">
        <x:v>0</x:v>
      </x:c>
      <x:c r="D1040" s="31" t="n">
        <x:v>0</x:v>
      </x:c>
      <x:c r="E1040" s="33" t="str">
        <x:f>IF(AND(ISNUMBER(C1040),ISNUMBER(D1040),D1040&gt;0),C1040/D1040,"")</x:f>
      </x:c>
      <x:c r="F1040" s="35"/>
      <x:c r="G1040" s="31" t="n">
        <x:v>60</x:v>
      </x:c>
    </x:row>
    <x:row r="1041" ht="42" customHeight="1">
      <x:c r="A1041" s="12" t="str">
        <x:v>дерматолог в сургуте</x:v>
      </x:c>
      <x:c r="B1041" s="12" t="str">
        <x:v>https://kozhaclinic.ru/</x:v>
      </x:c>
      <x:c r="C1041" s="30" t="n">
        <x:v>0</x:v>
      </x:c>
      <x:c r="D1041" s="30" t="n">
        <x:v>0</x:v>
      </x:c>
      <x:c r="E1041" s="32" t="str">
        <x:f>IF(AND(ISNUMBER(C1041),ISNUMBER(D1041),D1041&gt;0),C1041/D1041,"")</x:f>
      </x:c>
      <x:c r="F1041" s="34"/>
      <x:c r="G1041" s="30" t="n">
        <x:v>15</x:v>
      </x:c>
    </x:row>
    <x:row r="1042" ht="42" customHeight="1">
      <x:c r="A1042" s="14" t="str">
        <x:v>дерматологи в сургуте</x:v>
      </x:c>
      <x:c r="B1042" s="14" t="str">
        <x:v>https://kozhaclinic.ru/</x:v>
      </x:c>
      <x:c r="C1042" s="31" t="n">
        <x:v>0</x:v>
      </x:c>
      <x:c r="D1042" s="31" t="n">
        <x:v>1</x:v>
      </x:c>
      <x:c r="E1042" s="33" t="n">
        <x:f>IF(AND(ISNUMBER(C1042),ISNUMBER(D1042),D1042&gt;0),C1042/D1042,"")</x:f>
        <x:v>0</x:v>
      </x:c>
      <x:c r="F1042" s="35" t="n">
        <x:v>3</x:v>
      </x:c>
      <x:c r="G1042" s="31" t="n">
        <x:v>27</x:v>
      </x:c>
    </x:row>
    <x:row r="1043" ht="42" customHeight="1">
      <x:c r="A1043" s="12" t="str">
        <x:v>дерматологи сургут</x:v>
      </x:c>
      <x:c r="B1043" s="12" t="str">
        <x:v>https://kozhaclinic.ru/</x:v>
      </x:c>
      <x:c r="C1043" s="30" t="n">
        <x:v>0</x:v>
      </x:c>
      <x:c r="D1043" s="30" t="n">
        <x:v>1</x:v>
      </x:c>
      <x:c r="E1043" s="32" t="n">
        <x:f>IF(AND(ISNUMBER(C1043),ISNUMBER(D1043),D1043&gt;0),C1043/D1043,"")</x:f>
        <x:v>0</x:v>
      </x:c>
      <x:c r="F1043" s="34" t="n">
        <x:v>11</x:v>
      </x:c>
      <x:c r="G1043" s="30" t="n">
        <x:v>22</x:v>
      </x:c>
    </x:row>
    <x:row r="1044" ht="42" customHeight="1">
      <x:c r="A1044" s="14" t="str">
        <x:v>трихологи в сургуте</x:v>
      </x:c>
      <x:c r="B1044" s="14" t="str">
        <x:v>https://kozhaclinic.ru/</x:v>
      </x:c>
      <x:c r="C1044" s="31" t="n">
        <x:v>0</x:v>
      </x:c>
      <x:c r="D1044" s="31" t="n">
        <x:v>0</x:v>
      </x:c>
      <x:c r="E1044" s="33" t="str">
        <x:f>IF(AND(ISNUMBER(C1044),ISNUMBER(D1044),D1044&gt;0),C1044/D1044,"")</x:f>
      </x:c>
      <x:c r="F1044" s="35"/>
      <x:c r="G1044" s="31" t="n">
        <x:v>3</x:v>
      </x:c>
    </x:row>
    <x:row r="1045" ht="42" customHeight="1">
      <x:c r="A1045" s="12" t="str">
        <x:v>эсте клиник сургут официальный</x:v>
      </x:c>
      <x:c r="B1045" s="12" t="str">
        <x:v>https://kozhaclinic.ru/</x:v>
      </x:c>
      <x:c r="C1045" s="30" t="n">
        <x:v>0</x:v>
      </x:c>
      <x:c r="D1045" s="30" t="n">
        <x:v>0</x:v>
      </x:c>
      <x:c r="E1045" s="32" t="str">
        <x:f>IF(AND(ISNUMBER(C1045),ISNUMBER(D1045),D1045&gt;0),C1045/D1045,"")</x:f>
      </x:c>
      <x:c r="F1045" s="34"/>
      <x:c r="G1045" s="30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44b4195e937b49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78.75" hidden="0" customWidth="1"/>
    <x:col min="4" max="4" width="77.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Источники и метод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A3" s="3" t="str">
        <x:v>Исследование выполнено 17.10.2026. Сайт проверен в режиме чтения, платные проверки не запускались.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8" customHeight="1">
      <x:c r="A6" s="10" t="str">
        <x:v>Источник</x:v>
      </x:c>
      <x:c r="B6" s="10" t="str">
        <x:v>Период / дата</x:v>
      </x:c>
      <x:c r="C6" s="10" t="str">
        <x:v>Что использовано</x:v>
      </x:c>
      <x:c r="D6" s="10" t="str">
        <x:v>Источник / описание метода</x:v>
      </x:c>
    </x:row>
    <x:row r="7" ht="74" customHeight="1">
      <x:c r="A7" s="12" t="str">
        <x:v>Сайт клиники</x:v>
      </x:c>
      <x:c r="B7" s="12" t="str">
        <x:v>17.10.2026</x:v>
      </x:c>
      <x:c r="C7" s="12" t="str">
        <x:v>154 действующие страницы: sitemap, заголовки, основной текст, цены и ссылки. Наличие самостоятельной страницы сверено по всему обходу.</x:v>
      </x:c>
      <x:c r="D7" s="15" t="str">
        <x:v>https://kozhaclinic.ru/sitemap.xml</x:v>
      </x:c>
    </x:row>
    <x:row r="8" ht="74" customHeight="1">
      <x:c r="A8" s="14" t="str">
        <x:v>Топвизор: Google</x:v>
      </x:c>
      <x:c r="B8" s="14" t="str">
        <x:v>16.10.2026; сравнение 27.09</x:v>
      </x:c>
      <x:c r="C8" s="14" t="str">
        <x:v>API history, проект 25767208: 410 запросов, Сургут, смартфоны. Текущая глубина 10; исторические настройки отдельно не сохранены.</x:v>
      </x:c>
      <x:c r="D8" s="16" t="str">
        <x:v>https://topvisor.com/ru/api/positions-2/get-history/</x:v>
      </x:c>
    </x:row>
    <x:row r="9" ht="74" customHeight="1">
      <x:c r="A9" s="12" t="str">
        <x:v>Топвизор: Яндекс</x:v>
      </x:c>
      <x:c r="B9" s="12" t="str">
        <x:v>27.09.2026; сравнение 16.09</x:v>
      </x:c>
      <x:c r="C9" s="12" t="str">
        <x:v>API history, проект 25767208: 410 запросов. Полного октябрьского замера нет. Текущая глубина 100.</x:v>
      </x:c>
      <x:c r="D9" s="15" t="str">
        <x:v>https://topvisor.com/ru/api/positions-2/get-history/</x:v>
      </x:c>
    </x:row>
    <x:row r="10" ht="74" customHeight="1">
      <x:c r="A10" s="14" t="str">
        <x:v>Google Search Console</x:v>
      </x:c>
      <x:c r="B10" s="14" t="str">
        <x:v>15.07–14.10 и 17.09–14.10</x:v>
      </x:c>
      <x:c r="C10" s="14" t="str">
        <x:v>Общие выгрузки: по 1 000 запросов, 175 и 156 страниц. Дополнительно 18 точных фильтров URL и 996 раскрытых запросов.</x:v>
      </x:c>
      <x:c r="D10" s="16" t="str">
        <x:v>https://search.google.com/search-console/performance/search-analytics?resource_id=https%3A%2F%2Fkozhaclinic.ru%2F</x:v>
      </x:c>
    </x:row>
    <x:row r="11" ht="74" customHeight="1">
      <x:c r="A11" s="12" t="str">
        <x:v>Google: индексация</x:v>
      </x:c>
      <x:c r="B11" s="12" t="str">
        <x:v>Обновление 12.10; прочитано 17.10</x:v>
      </x:c>
      <x:c r="C11" s="12" t="str">
        <x:v>147 индексированных страниц, 35 исключений. Семь действующих примеров имеют статус «Обнаружена, не проиндексирована». Остальные исключения не объявлены ошибками.</x:v>
      </x:c>
      <x:c r="D11" s="15" t="str">
        <x:v>https://search.google.com/search-console/index?resource_id=https%3A%2F%2Fkozhaclinic.ru%2F</x:v>
      </x:c>
    </x:row>
    <x:row r="12" ht="74" customHeight="1">
      <x:c r="A12" s="14" t="str">
        <x:v>Яндекс.Вебмастер</x:v>
      </x:c>
      <x:c r="B12" s="14" t="str">
        <x:v>Сентябрь; ежедневные данные до 06.10</x:v>
      </x:c>
      <x:c r="C12" s="14" t="str">
        <x:v>Месячная выгрузка: 1 039 строк запросов и 165 URL. Ежедневная: 2 458 строк за 23.09–06.10. В интерфейсе есть предупреждение о задержке обновления.</x:v>
      </x:c>
      <x:c r="D12" s="16" t="str">
        <x:v>https://webmaster.yandex.ru/site/https:kozhaclinic.ru:443/efficiency/monitoring/</x:v>
      </x:c>
    </x:row>
    <x:row r="13" ht="74" customHeight="1">
      <x:c r="A13" s="12" t="str">
        <x:v>Предложение клиники</x:v>
      </x:c>
      <x:c r="B13" s="12" t="str">
        <x:v>17.10.2026</x:v>
      </x:c>
      <x:c r="C13" s="12" t="str">
        <x:v>Новые услуги-кандидаты подтверждены текущим прайсом; общие каталоги помечены как отдельные решения после проверки спроса.</x:v>
      </x:c>
      <x:c r="D13" s="15" t="str">
        <x:v>https://kozhaclinic.ru/ceny-prajs-list/</x:v>
      </x:c>
    </x:row>
    <x:row r="14" ht="74" customHeight="1">
      <x:c r="A14" s="14" t="str">
        <x:v>Примеры других клиник</x:v>
      </x:c>
      <x:c r="B14" s="14" t="str">
        <x:v>Прочитаны 17.10.2026</x:v>
      </x:c>
      <x:c r="C14" s="14" t="str">
        <x:v>Ссылки у кандидатов показывают существование формата. «А Клиника» находится в Москве, Skin Line и клиника доктора Дорофеевой — в Сургуте. Это не региональный ТОП и не измерение частотности.</x:v>
      </x:c>
      <x:c r="D14" s="16" t="str">
        <x:v>https://dr-dorofeeva.ru/pilling_me_line/</x:v>
      </x:c>
    </x:row>
    <x:row r="17">
      <x:c r="A17" s="17" t="str">
        <x:v>Как читать рекомендации</x:v>
      </x:c>
    </x:row>
    <x:row r="19" ht="38" customHeight="1">
      <x:c r="A19" s="10" t="str">
        <x:v>Тема</x:v>
      </x:c>
      <x:c r="B19" s="10" t="str">
        <x:v>Кратко</x:v>
      </x:c>
      <x:c r="C19" s="10" t="str">
        <x:v>Правило</x:v>
      </x:c>
    </x:row>
    <x:row r="20" ht="76" customHeight="1">
      <x:c r="A20" s="12" t="str">
        <x:v>Приоритет</x:v>
      </x:c>
      <x:c r="B20" s="12" t="str">
        <x:v>Экспертная оценка</x:v>
      </x:c>
      <x:c r="C20" s="12" t="str">
        <x:v>P1 — первый пакет, P2 — следующая очередь, P3 — контроль или резерв. Приоритет учитывает проблему, подтверждение источниками и наличие услуги; это не числовой SEO-балл и не прогноз трафика.</x:v>
      </x:c>
    </x:row>
    <x:row r="21" ht="76" customHeight="1">
      <x:c r="A21" s="14" t="str">
        <x:v>«Не найдено»</x:v>
      </x:c>
      <x:c r="B21" s="14" t="str">
        <x:v>Граница измерения</x:v>
      </x:c>
      <x:c r="C21" s="14" t="str">
        <x:v>Отсутствие в глубине проверки не равно отсутствию в индексе. Особенно важно для Google с текущей глубиной ТОП-10.</x:v>
      </x:c>
    </x:row>
    <x:row r="22" ht="76" customHeight="1">
      <x:c r="A22" s="12" t="str">
        <x:v>Средняя позиция</x:v>
      </x:c>
      <x:c r="B22" s="12" t="str">
        <x:v>Отдельная метрика</x:v>
      </x:c>
      <x:c r="C22" s="12" t="str">
        <x:v>Search Console и Вебмастер усредняют показы за период, по устройствам и регионам. Эти значения не усредняются с Топвизором и не заменяют точный региональный замер.</x:v>
      </x:c>
    </x:row>
    <x:row r="23" ht="76" customHeight="1">
      <x:c r="A23" s="14" t="str">
        <x:v>Пусто и ноль</x:v>
      </x:c>
      <x:c r="B23" s="14" t="str">
        <x:v>Разные состояния</x:v>
      </x:c>
      <x:c r="C23" s="14" t="str">
        <x:v>Нет строки в выгрузке — неизвестное значение. Ноль показов записан только при явном результате источника. При нуле показов CTR и позиция оставлены пустыми.</x:v>
      </x:c>
    </x:row>
    <x:row r="24" ht="76" customHeight="1">
      <x:c r="A24" s="12" t="str">
        <x:v>Скрытые запросы</x:v>
      </x:c>
      <x:c r="B24" s="12" t="str">
        <x:v>Ограничение Google</x:v>
      </x:c>
      <x:c r="C24" s="12" t="str">
        <x:v>Выгрузка запросов не включает все поисковые фразы. Для RSL есть 7 показов при пустом списке раскрытых запросов. Сумма запросов может быть меньше итога страницы.</x:v>
      </x:c>
    </x:row>
    <x:row r="25" ht="76" customHeight="1">
      <x:c r="A25" s="14" t="str">
        <x:v>URL с параметрами</x:v>
      </x:c>
      <x:c r="B25" s="14" t="str">
        <x:v>Без склейки</x:v>
      </x:c>
      <x:c r="C25" s="14" t="str">
        <x:v>Рекламные и служебные варианты не объединялись автоматически с основными URL. Сводка страниц сопоставляет точный адрес.</x:v>
      </x:c>
    </x:row>
    <x:row r="26" ht="76" customHeight="1">
      <x:c r="A26" s="12" t="str">
        <x:v>Переписывание</x:v>
      </x:c>
      <x:c r="B26" s="12" t="str">
        <x:v>Только при обосновании</x:v>
      </x:c>
      <x:c r="C26" s="12" t="str">
        <x:v>Плохая позиция сама по себе не устанавливает причину. Для большинства страниц предложена диагностика или частичная доработка; полноценный текст явно отсутствует у RSL Sculpting.</x:v>
      </x:c>
    </x:row>
    <x:row r="27" ht="76" customHeight="1">
      <x:c r="A27" s="14" t="str">
        <x:v>Новые страницы</x:v>
      </x:c>
      <x:c r="B27" s="14" t="str">
        <x:v>Частотность не измерена</x:v>
      </x:c>
      <x:c r="C27" s="14" t="str">
        <x:v>Наличие препарата в прайсе и примера у другой клиники подтверждает предложение и формат, но не обещает поисковый трафик. До выпуска проверить локальный спрос и различие с существующими страницами.</x:v>
      </x:c>
    </x:row>
    <x:row r="28" ht="76" customHeight="1">
      <x:c r="A28" s="12" t="str">
        <x:v>Действия на сайте</x:v>
      </x:c>
      <x:c r="B28" s="12" t="str">
        <x:v>План, не внедрение</x:v>
      </x:c>
      <x:c r="C28" s="12" t="str">
        <x:v>Создание новых страниц, правка существующих материалов, изменение robots/canonical и платные проверки позиций не выполнялись в рамках этого исследования.</x:v>
      </x:c>
    </x:row>
  </x:sheetData>
  <x:pageMargins left="0.7" right="0.7" top="0.75" bottom="0.75" header="0.3" footer="0.3"/>
  <x:tableParts count="2">
    <x:tablePart xmlns:r="http://schemas.openxmlformats.org/officeDocument/2006/relationships" r:id="Re3dec77092cd496d"/>
    <x:tablePart xmlns:r="http://schemas.openxmlformats.org/officeDocument/2006/relationships" r:id="R7519ecd50d034154"/>
  </x:tableParts>
</x:worksheet>
</file>